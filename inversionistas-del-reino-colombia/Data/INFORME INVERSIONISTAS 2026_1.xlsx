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Iglesia\INVERSIONISTAS DEL REINO\2026\1. ENERO\"/>
    </mc:Choice>
  </mc:AlternateContent>
  <xr:revisionPtr revIDLastSave="0" documentId="13_ncr:1_{36B50199-BECE-4DAA-9017-F0F361D25C60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Base Inversionistas" sheetId="1" r:id="rId1"/>
    <sheet name="Gastos" sheetId="10" r:id="rId2"/>
    <sheet name="Resumen 2025" sheetId="5" r:id="rId3"/>
    <sheet name="Base Inversionistas 26" sheetId="9" r:id="rId4"/>
    <sheet name="Gastos 26" sheetId="4" r:id="rId5"/>
    <sheet name="Resumen 2026" sheetId="8" r:id="rId6"/>
    <sheet name="XLOCALIDAD" sheetId="7" r:id="rId7"/>
    <sheet name="Nuevos IDR Cepev" sheetId="6" r:id="rId8"/>
    <sheet name="Central_IDR" sheetId="11" r:id="rId9"/>
  </sheets>
  <externalReferences>
    <externalReference r:id="rId10"/>
    <externalReference r:id="rId11"/>
  </externalReferences>
  <definedNames>
    <definedName name="_xlnm._FilterDatabase" localSheetId="0" hidden="1">'Base Inversionistas'!$A$4:$Z$297</definedName>
    <definedName name="_xlnm._FilterDatabase" localSheetId="3" hidden="1">'Base Inversionistas 26'!$A$4:$Y$401</definedName>
    <definedName name="_xlnm._FilterDatabase" localSheetId="8" hidden="1">Central_IDR!$A$1:$L$376</definedName>
    <definedName name="_xlnm._FilterDatabase" localSheetId="1" hidden="1">Gastos!$A$4:$T$53</definedName>
    <definedName name="_xlnm._FilterDatabase" localSheetId="4" hidden="1">'Gastos 26'!$A$4:$T$53</definedName>
    <definedName name="_xlnm._FilterDatabase" localSheetId="7" hidden="1">'Nuevos IDR Cepev'!$A$2:$F$56</definedName>
    <definedName name="_xlnm._FilterDatabase" localSheetId="2" hidden="1">'Resumen 2025'!$A$26:$C$96</definedName>
    <definedName name="_xlnm._FilterDatabase" localSheetId="5" hidden="1">'Resumen 2026'!$A$26:$C$99</definedName>
    <definedName name="_xlnm._FilterDatabase" localSheetId="6" hidden="1">XLOCALIDAD!$J$2:$M$55</definedName>
  </definedNames>
  <calcPr calcId="191029"/>
  <pivotCaches>
    <pivotCache cacheId="0" r:id="rId12"/>
    <pivotCache cacheId="1" r:id="rId13"/>
    <pivotCache cacheId="2" r:id="rId14"/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8" l="1"/>
  <c r="B13" i="8"/>
  <c r="V382" i="9"/>
  <c r="W382" i="9" s="1"/>
  <c r="Y382" i="9" s="1"/>
  <c r="X382" i="9"/>
  <c r="V383" i="9"/>
  <c r="W383" i="9" s="1"/>
  <c r="Y383" i="9" s="1"/>
  <c r="X383" i="9"/>
  <c r="V384" i="9"/>
  <c r="W384" i="9" s="1"/>
  <c r="Y384" i="9" s="1"/>
  <c r="X384" i="9"/>
  <c r="V385" i="9"/>
  <c r="W385" i="9" s="1"/>
  <c r="Y385" i="9" s="1"/>
  <c r="X385" i="9"/>
  <c r="V386" i="9"/>
  <c r="W386" i="9" s="1"/>
  <c r="Y386" i="9" s="1"/>
  <c r="X386" i="9"/>
  <c r="V387" i="9"/>
  <c r="W387" i="9" s="1"/>
  <c r="Y387" i="9" s="1"/>
  <c r="X387" i="9"/>
  <c r="V388" i="9"/>
  <c r="W388" i="9" s="1"/>
  <c r="Y388" i="9" s="1"/>
  <c r="X388" i="9"/>
  <c r="V389" i="9"/>
  <c r="W389" i="9" s="1"/>
  <c r="Y389" i="9" s="1"/>
  <c r="X389" i="9"/>
  <c r="V390" i="9"/>
  <c r="W390" i="9" s="1"/>
  <c r="Y390" i="9" s="1"/>
  <c r="X390" i="9"/>
  <c r="X381" i="9"/>
  <c r="V381" i="9"/>
  <c r="W381" i="9" s="1"/>
  <c r="Y381" i="9" s="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F327" i="11"/>
  <c r="F328" i="11"/>
  <c r="F329" i="11"/>
  <c r="F330" i="11"/>
  <c r="F331" i="11"/>
  <c r="F332" i="11"/>
  <c r="F333" i="11"/>
  <c r="F334" i="11"/>
  <c r="F335" i="11"/>
  <c r="F336" i="11"/>
  <c r="F337" i="11"/>
  <c r="F338" i="11"/>
  <c r="F339" i="11"/>
  <c r="F340" i="11"/>
  <c r="F341" i="11"/>
  <c r="F342" i="11"/>
  <c r="F343" i="11"/>
  <c r="F344" i="11"/>
  <c r="F345" i="11"/>
  <c r="F346" i="11"/>
  <c r="F347" i="11"/>
  <c r="F348" i="11"/>
  <c r="F349" i="11"/>
  <c r="F350" i="11"/>
  <c r="F351" i="11"/>
  <c r="F352" i="11"/>
  <c r="F353" i="11"/>
  <c r="F354" i="11"/>
  <c r="F355" i="11"/>
  <c r="F356" i="11"/>
  <c r="F357" i="11"/>
  <c r="F358" i="11"/>
  <c r="F359" i="11"/>
  <c r="F360" i="11"/>
  <c r="F361" i="11"/>
  <c r="F362" i="11"/>
  <c r="F363" i="11"/>
  <c r="F364" i="11"/>
  <c r="F365" i="11"/>
  <c r="F366" i="11"/>
  <c r="F367" i="11"/>
  <c r="F368" i="11"/>
  <c r="F369" i="11"/>
  <c r="F370" i="11"/>
  <c r="F371" i="11"/>
  <c r="F372" i="11"/>
  <c r="F373" i="11"/>
  <c r="F374" i="11"/>
  <c r="F375" i="11"/>
  <c r="F376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L2" i="11"/>
  <c r="K2" i="11"/>
  <c r="J2" i="11"/>
  <c r="I2" i="11"/>
  <c r="H2" i="11"/>
  <c r="G2" i="11"/>
  <c r="F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2" i="11"/>
  <c r="X394" i="9"/>
  <c r="V394" i="9"/>
  <c r="W394" i="9" s="1"/>
  <c r="Y394" i="9" s="1"/>
  <c r="X393" i="9"/>
  <c r="V393" i="9"/>
  <c r="W393" i="9" s="1"/>
  <c r="Y393" i="9" s="1"/>
  <c r="X392" i="9"/>
  <c r="V392" i="9"/>
  <c r="W392" i="9" s="1"/>
  <c r="Y392" i="9" s="1"/>
  <c r="X391" i="9"/>
  <c r="V391" i="9"/>
  <c r="W391" i="9" s="1"/>
  <c r="Y391" i="9" s="1"/>
  <c r="X380" i="9"/>
  <c r="V380" i="9"/>
  <c r="W380" i="9" s="1"/>
  <c r="Y380" i="9" s="1"/>
  <c r="X379" i="9"/>
  <c r="V379" i="9"/>
  <c r="W379" i="9" s="1"/>
  <c r="Y379" i="9" s="1"/>
  <c r="R4" i="8"/>
  <c r="Q4" i="8"/>
  <c r="R3" i="8"/>
  <c r="Q3" i="8"/>
  <c r="V376" i="9" l="1"/>
  <c r="W376" i="9" s="1"/>
  <c r="Y376" i="9" s="1"/>
  <c r="X376" i="9"/>
  <c r="V377" i="9"/>
  <c r="W377" i="9" s="1"/>
  <c r="Y377" i="9" s="1"/>
  <c r="X377" i="9"/>
  <c r="V378" i="9"/>
  <c r="W378" i="9" s="1"/>
  <c r="Y378" i="9" s="1"/>
  <c r="X378" i="9"/>
  <c r="V395" i="9"/>
  <c r="W395" i="9" s="1"/>
  <c r="Y395" i="9" s="1"/>
  <c r="X395" i="9"/>
  <c r="V396" i="9"/>
  <c r="W396" i="9" s="1"/>
  <c r="Y396" i="9" s="1"/>
  <c r="X396" i="9"/>
  <c r="V397" i="9"/>
  <c r="W397" i="9" s="1"/>
  <c r="Y397" i="9" s="1"/>
  <c r="X397" i="9"/>
  <c r="V398" i="9"/>
  <c r="W398" i="9" s="1"/>
  <c r="Y398" i="9" s="1"/>
  <c r="X398" i="9"/>
  <c r="V399" i="9"/>
  <c r="W399" i="9" s="1"/>
  <c r="Y399" i="9" s="1"/>
  <c r="X399" i="9"/>
  <c r="V400" i="9"/>
  <c r="W400" i="9" s="1"/>
  <c r="Y400" i="9" s="1"/>
  <c r="X400" i="9"/>
  <c r="C11" i="8" l="1"/>
  <c r="X366" i="9" l="1"/>
  <c r="V366" i="9"/>
  <c r="W366" i="9" s="1"/>
  <c r="Y366" i="9" s="1"/>
  <c r="X365" i="9"/>
  <c r="V365" i="9"/>
  <c r="W365" i="9" s="1"/>
  <c r="Y365" i="9" s="1"/>
  <c r="X364" i="9"/>
  <c r="V364" i="9"/>
  <c r="W364" i="9" s="1"/>
  <c r="Y364" i="9" s="1"/>
  <c r="X363" i="9"/>
  <c r="V363" i="9"/>
  <c r="W363" i="9" s="1"/>
  <c r="Y363" i="9" s="1"/>
  <c r="X362" i="9"/>
  <c r="V362" i="9"/>
  <c r="W362" i="9" s="1"/>
  <c r="Y362" i="9" s="1"/>
  <c r="X361" i="9"/>
  <c r="V361" i="9"/>
  <c r="W361" i="9" s="1"/>
  <c r="Y361" i="9" s="1"/>
  <c r="X360" i="9"/>
  <c r="V360" i="9"/>
  <c r="W360" i="9" s="1"/>
  <c r="Y360" i="9" s="1"/>
  <c r="V352" i="9"/>
  <c r="W352" i="9" s="1"/>
  <c r="Y352" i="9" s="1"/>
  <c r="X352" i="9"/>
  <c r="V353" i="9"/>
  <c r="W353" i="9" s="1"/>
  <c r="Y353" i="9" s="1"/>
  <c r="X353" i="9"/>
  <c r="V354" i="9"/>
  <c r="W354" i="9" s="1"/>
  <c r="Y354" i="9" s="1"/>
  <c r="X354" i="9"/>
  <c r="V355" i="9"/>
  <c r="W355" i="9" s="1"/>
  <c r="Y355" i="9" s="1"/>
  <c r="X355" i="9"/>
  <c r="V356" i="9"/>
  <c r="W356" i="9" s="1"/>
  <c r="Y356" i="9" s="1"/>
  <c r="X356" i="9"/>
  <c r="V357" i="9"/>
  <c r="W357" i="9" s="1"/>
  <c r="Y357" i="9" s="1"/>
  <c r="X357" i="9"/>
  <c r="V358" i="9"/>
  <c r="W358" i="9" s="1"/>
  <c r="Y358" i="9" s="1"/>
  <c r="X358" i="9"/>
  <c r="C10" i="8"/>
  <c r="P4" i="8" l="1"/>
  <c r="P3" i="8"/>
  <c r="O4" i="8"/>
  <c r="O3" i="8"/>
  <c r="N4" i="8"/>
  <c r="N3" i="8"/>
  <c r="M3" i="8"/>
  <c r="V344" i="9"/>
  <c r="W344" i="9" s="1"/>
  <c r="Y344" i="9" s="1"/>
  <c r="X344" i="9"/>
  <c r="V345" i="9"/>
  <c r="W345" i="9" s="1"/>
  <c r="Y345" i="9" s="1"/>
  <c r="X345" i="9"/>
  <c r="V346" i="9"/>
  <c r="W346" i="9" s="1"/>
  <c r="Y346" i="9" s="1"/>
  <c r="X346" i="9"/>
  <c r="V347" i="9"/>
  <c r="W347" i="9" s="1"/>
  <c r="Y347" i="9" s="1"/>
  <c r="X347" i="9"/>
  <c r="V348" i="9"/>
  <c r="W348" i="9" s="1"/>
  <c r="Y348" i="9" s="1"/>
  <c r="X348" i="9"/>
  <c r="V349" i="9"/>
  <c r="W349" i="9" s="1"/>
  <c r="Y349" i="9" s="1"/>
  <c r="X349" i="9"/>
  <c r="V350" i="9"/>
  <c r="W350" i="9" s="1"/>
  <c r="Y350" i="9" s="1"/>
  <c r="X350" i="9"/>
  <c r="V351" i="9"/>
  <c r="W351" i="9" s="1"/>
  <c r="Y351" i="9" s="1"/>
  <c r="X351" i="9"/>
  <c r="V359" i="9"/>
  <c r="W359" i="9" s="1"/>
  <c r="Y359" i="9" s="1"/>
  <c r="X359" i="9"/>
  <c r="V367" i="9"/>
  <c r="W367" i="9" s="1"/>
  <c r="Y367" i="9" s="1"/>
  <c r="X367" i="9"/>
  <c r="V368" i="9"/>
  <c r="W368" i="9" s="1"/>
  <c r="Y368" i="9" s="1"/>
  <c r="X368" i="9"/>
  <c r="V369" i="9"/>
  <c r="W369" i="9" s="1"/>
  <c r="Y369" i="9" s="1"/>
  <c r="X369" i="9"/>
  <c r="V370" i="9"/>
  <c r="W370" i="9" s="1"/>
  <c r="Y370" i="9" s="1"/>
  <c r="X370" i="9"/>
  <c r="V371" i="9"/>
  <c r="W371" i="9" s="1"/>
  <c r="Y371" i="9" s="1"/>
  <c r="X371" i="9"/>
  <c r="X375" i="9"/>
  <c r="V375" i="9"/>
  <c r="W375" i="9" s="1"/>
  <c r="Y375" i="9" s="1"/>
  <c r="X374" i="9"/>
  <c r="V374" i="9"/>
  <c r="W374" i="9" s="1"/>
  <c r="Y374" i="9" s="1"/>
  <c r="X373" i="9"/>
  <c r="V373" i="9"/>
  <c r="W373" i="9" s="1"/>
  <c r="Y373" i="9" s="1"/>
  <c r="X372" i="9"/>
  <c r="V372" i="9"/>
  <c r="W372" i="9" s="1"/>
  <c r="Y372" i="9" s="1"/>
  <c r="X336" i="9" l="1"/>
  <c r="V336" i="9"/>
  <c r="W336" i="9" s="1"/>
  <c r="Y336" i="9" s="1"/>
  <c r="X335" i="9"/>
  <c r="V335" i="9"/>
  <c r="W335" i="9" s="1"/>
  <c r="Y335" i="9" s="1"/>
  <c r="X334" i="9"/>
  <c r="V334" i="9"/>
  <c r="W334" i="9" s="1"/>
  <c r="Y334" i="9" s="1"/>
  <c r="X333" i="9"/>
  <c r="V333" i="9"/>
  <c r="W333" i="9" s="1"/>
  <c r="Y333" i="9" s="1"/>
  <c r="X332" i="9"/>
  <c r="V332" i="9"/>
  <c r="W332" i="9" s="1"/>
  <c r="Y332" i="9" s="1"/>
  <c r="X331" i="9"/>
  <c r="V331" i="9"/>
  <c r="W331" i="9" s="1"/>
  <c r="Y331" i="9" s="1"/>
  <c r="X330" i="9"/>
  <c r="V330" i="9"/>
  <c r="W330" i="9" s="1"/>
  <c r="Y330" i="9" s="1"/>
  <c r="X329" i="9"/>
  <c r="V329" i="9"/>
  <c r="W329" i="9" s="1"/>
  <c r="Y329" i="9" s="1"/>
  <c r="X328" i="9"/>
  <c r="V328" i="9"/>
  <c r="W328" i="9" s="1"/>
  <c r="Y328" i="9" s="1"/>
  <c r="X327" i="9"/>
  <c r="V327" i="9"/>
  <c r="W327" i="9" s="1"/>
  <c r="Y327" i="9" s="1"/>
  <c r="X326" i="9"/>
  <c r="V326" i="9"/>
  <c r="W326" i="9" s="1"/>
  <c r="Y326" i="9" s="1"/>
  <c r="M4" i="8"/>
  <c r="L3" i="8"/>
  <c r="C8" i="8"/>
  <c r="C7" i="8"/>
  <c r="C6" i="8"/>
  <c r="C5" i="8"/>
  <c r="K401" i="9"/>
  <c r="B6" i="8" s="1"/>
  <c r="L401" i="9"/>
  <c r="B7" i="8" s="1"/>
  <c r="M401" i="9"/>
  <c r="B8" i="8" s="1"/>
  <c r="N401" i="9"/>
  <c r="O401" i="9"/>
  <c r="B10" i="8" s="1"/>
  <c r="P401" i="9"/>
  <c r="B11" i="8" s="1"/>
  <c r="Q401" i="9"/>
  <c r="B12" i="8" s="1"/>
  <c r="R401" i="9"/>
  <c r="S401" i="9"/>
  <c r="T401" i="9"/>
  <c r="U401" i="9"/>
  <c r="V325" i="9"/>
  <c r="W325" i="9" s="1"/>
  <c r="Y325" i="9" s="1"/>
  <c r="X325" i="9"/>
  <c r="V337" i="9"/>
  <c r="W337" i="9" s="1"/>
  <c r="Y337" i="9" s="1"/>
  <c r="X337" i="9"/>
  <c r="V338" i="9"/>
  <c r="W338" i="9" s="1"/>
  <c r="Y338" i="9" s="1"/>
  <c r="X338" i="9"/>
  <c r="V339" i="9"/>
  <c r="W339" i="9" s="1"/>
  <c r="Y339" i="9" s="1"/>
  <c r="X339" i="9"/>
  <c r="V340" i="9"/>
  <c r="W340" i="9" s="1"/>
  <c r="Y340" i="9" s="1"/>
  <c r="X340" i="9"/>
  <c r="V341" i="9"/>
  <c r="W341" i="9" s="1"/>
  <c r="Y341" i="9" s="1"/>
  <c r="X341" i="9"/>
  <c r="V342" i="9"/>
  <c r="W342" i="9" s="1"/>
  <c r="Y342" i="9" s="1"/>
  <c r="X342" i="9"/>
  <c r="V343" i="9"/>
  <c r="W343" i="9" s="1"/>
  <c r="Y343" i="9" s="1"/>
  <c r="X343" i="9"/>
  <c r="G401" i="9"/>
  <c r="J401" i="9"/>
  <c r="X306" i="9"/>
  <c r="X307" i="9"/>
  <c r="X308" i="9"/>
  <c r="X309" i="9"/>
  <c r="X310" i="9"/>
  <c r="X311" i="9"/>
  <c r="X312" i="9"/>
  <c r="X313" i="9"/>
  <c r="X314" i="9"/>
  <c r="X315" i="9"/>
  <c r="X316" i="9"/>
  <c r="X317" i="9"/>
  <c r="X318" i="9"/>
  <c r="X319" i="9"/>
  <c r="X320" i="9"/>
  <c r="X321" i="9"/>
  <c r="X322" i="9"/>
  <c r="X323" i="9"/>
  <c r="X324" i="9"/>
  <c r="V306" i="9"/>
  <c r="W306" i="9" s="1"/>
  <c r="Y306" i="9" s="1"/>
  <c r="V307" i="9"/>
  <c r="W307" i="9" s="1"/>
  <c r="Y307" i="9" s="1"/>
  <c r="V308" i="9"/>
  <c r="W308" i="9" s="1"/>
  <c r="Y308" i="9" s="1"/>
  <c r="V309" i="9"/>
  <c r="W309" i="9" s="1"/>
  <c r="Y309" i="9" s="1"/>
  <c r="V310" i="9"/>
  <c r="W310" i="9" s="1"/>
  <c r="Y310" i="9" s="1"/>
  <c r="V311" i="9"/>
  <c r="W311" i="9" s="1"/>
  <c r="Y311" i="9" s="1"/>
  <c r="V312" i="9"/>
  <c r="W312" i="9" s="1"/>
  <c r="Y312" i="9" s="1"/>
  <c r="V313" i="9"/>
  <c r="W313" i="9" s="1"/>
  <c r="Y313" i="9" s="1"/>
  <c r="V314" i="9"/>
  <c r="W314" i="9" s="1"/>
  <c r="Y314" i="9" s="1"/>
  <c r="V315" i="9"/>
  <c r="W315" i="9" s="1"/>
  <c r="Y315" i="9" s="1"/>
  <c r="V316" i="9"/>
  <c r="W316" i="9" s="1"/>
  <c r="Y316" i="9" s="1"/>
  <c r="V317" i="9"/>
  <c r="W317" i="9" s="1"/>
  <c r="Y317" i="9" s="1"/>
  <c r="V318" i="9"/>
  <c r="W318" i="9" s="1"/>
  <c r="Y318" i="9" s="1"/>
  <c r="V319" i="9"/>
  <c r="W319" i="9" s="1"/>
  <c r="Y319" i="9" s="1"/>
  <c r="V320" i="9"/>
  <c r="W320" i="9" s="1"/>
  <c r="Y320" i="9" s="1"/>
  <c r="V321" i="9"/>
  <c r="W321" i="9" s="1"/>
  <c r="Y321" i="9" s="1"/>
  <c r="V322" i="9"/>
  <c r="W322" i="9" s="1"/>
  <c r="Y322" i="9" s="1"/>
  <c r="V323" i="9"/>
  <c r="W323" i="9" s="1"/>
  <c r="Y323" i="9" s="1"/>
  <c r="V324" i="9"/>
  <c r="W324" i="9" s="1"/>
  <c r="Y324" i="9" s="1"/>
  <c r="C9" i="8" l="1"/>
  <c r="B9" i="8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" i="7"/>
  <c r="D6" i="7"/>
  <c r="D7" i="7"/>
  <c r="D8" i="7"/>
  <c r="D4" i="7"/>
  <c r="D3" i="7"/>
  <c r="F16" i="5"/>
  <c r="F15" i="5"/>
  <c r="F14" i="5"/>
  <c r="B5" i="8"/>
  <c r="V287" i="9"/>
  <c r="W287" i="9" s="1"/>
  <c r="Y287" i="9" s="1"/>
  <c r="X287" i="9"/>
  <c r="V288" i="9"/>
  <c r="W288" i="9" s="1"/>
  <c r="Y288" i="9" s="1"/>
  <c r="X288" i="9"/>
  <c r="V289" i="9"/>
  <c r="W289" i="9" s="1"/>
  <c r="Y289" i="9" s="1"/>
  <c r="X289" i="9"/>
  <c r="V290" i="9"/>
  <c r="W290" i="9" s="1"/>
  <c r="Y290" i="9" s="1"/>
  <c r="X290" i="9"/>
  <c r="V291" i="9"/>
  <c r="W291" i="9" s="1"/>
  <c r="Y291" i="9" s="1"/>
  <c r="X291" i="9"/>
  <c r="V292" i="9"/>
  <c r="W292" i="9" s="1"/>
  <c r="Y292" i="9" s="1"/>
  <c r="X292" i="9"/>
  <c r="V293" i="9"/>
  <c r="W293" i="9" s="1"/>
  <c r="Y293" i="9" s="1"/>
  <c r="X293" i="9"/>
  <c r="V294" i="9"/>
  <c r="W294" i="9" s="1"/>
  <c r="Y294" i="9" s="1"/>
  <c r="X294" i="9"/>
  <c r="V295" i="9"/>
  <c r="W295" i="9" s="1"/>
  <c r="Y295" i="9" s="1"/>
  <c r="X295" i="9"/>
  <c r="V296" i="9"/>
  <c r="W296" i="9" s="1"/>
  <c r="Y296" i="9" s="1"/>
  <c r="X296" i="9"/>
  <c r="V297" i="9"/>
  <c r="W297" i="9" s="1"/>
  <c r="Y297" i="9" s="1"/>
  <c r="X297" i="9"/>
  <c r="V298" i="9"/>
  <c r="W298" i="9" s="1"/>
  <c r="Y298" i="9" s="1"/>
  <c r="X298" i="9"/>
  <c r="V299" i="9"/>
  <c r="W299" i="9" s="1"/>
  <c r="Y299" i="9" s="1"/>
  <c r="X299" i="9"/>
  <c r="V300" i="9"/>
  <c r="W300" i="9" s="1"/>
  <c r="Y300" i="9" s="1"/>
  <c r="X300" i="9"/>
  <c r="V301" i="9"/>
  <c r="W301" i="9" s="1"/>
  <c r="Y301" i="9" s="1"/>
  <c r="X301" i="9"/>
  <c r="V302" i="9"/>
  <c r="W302" i="9" s="1"/>
  <c r="Y302" i="9" s="1"/>
  <c r="X302" i="9"/>
  <c r="V303" i="9"/>
  <c r="W303" i="9" s="1"/>
  <c r="Y303" i="9" s="1"/>
  <c r="X303" i="9"/>
  <c r="V304" i="9"/>
  <c r="W304" i="9" s="1"/>
  <c r="Y304" i="9" s="1"/>
  <c r="X304" i="9"/>
  <c r="J3" i="5"/>
  <c r="K3" i="5"/>
  <c r="I3" i="5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H75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V305" i="9"/>
  <c r="W305" i="9" s="1"/>
  <c r="Y305" i="9" s="1"/>
  <c r="V286" i="9"/>
  <c r="W286" i="9" s="1"/>
  <c r="Y286" i="9" s="1"/>
  <c r="V285" i="9"/>
  <c r="V284" i="9"/>
  <c r="V283" i="9"/>
  <c r="V282" i="9"/>
  <c r="V281" i="9"/>
  <c r="V280" i="9"/>
  <c r="W280" i="9" s="1"/>
  <c r="Y280" i="9" s="1"/>
  <c r="V279" i="9"/>
  <c r="V278" i="9"/>
  <c r="W278" i="9" s="1"/>
  <c r="Y278" i="9" s="1"/>
  <c r="V277" i="9"/>
  <c r="W277" i="9" s="1"/>
  <c r="Y277" i="9" s="1"/>
  <c r="V276" i="9"/>
  <c r="V275" i="9"/>
  <c r="W275" i="9" s="1"/>
  <c r="Y275" i="9" s="1"/>
  <c r="V274" i="9"/>
  <c r="W274" i="9" s="1"/>
  <c r="Y274" i="9" s="1"/>
  <c r="V273" i="9"/>
  <c r="V272" i="9"/>
  <c r="V271" i="9"/>
  <c r="V270" i="9"/>
  <c r="W270" i="9" s="1"/>
  <c r="Y270" i="9" s="1"/>
  <c r="V269" i="9"/>
  <c r="W269" i="9" s="1"/>
  <c r="Y269" i="9" s="1"/>
  <c r="V268" i="9"/>
  <c r="W268" i="9" s="1"/>
  <c r="Y268" i="9" s="1"/>
  <c r="V267" i="9"/>
  <c r="W267" i="9" s="1"/>
  <c r="Y267" i="9" s="1"/>
  <c r="V266" i="9"/>
  <c r="W266" i="9" s="1"/>
  <c r="Y266" i="9" s="1"/>
  <c r="V265" i="9"/>
  <c r="W265" i="9" s="1"/>
  <c r="Y265" i="9" s="1"/>
  <c r="V264" i="9"/>
  <c r="W264" i="9" s="1"/>
  <c r="Y264" i="9" s="1"/>
  <c r="V263" i="9"/>
  <c r="V262" i="9"/>
  <c r="W262" i="9" s="1"/>
  <c r="Y262" i="9" s="1"/>
  <c r="V261" i="9"/>
  <c r="W261" i="9" s="1"/>
  <c r="Y261" i="9" s="1"/>
  <c r="V260" i="9"/>
  <c r="V259" i="9"/>
  <c r="V258" i="9"/>
  <c r="V257" i="9"/>
  <c r="V256" i="9"/>
  <c r="W256" i="9" s="1"/>
  <c r="Y256" i="9" s="1"/>
  <c r="V255" i="9"/>
  <c r="V254" i="9"/>
  <c r="W254" i="9" s="1"/>
  <c r="Y254" i="9" s="1"/>
  <c r="V253" i="9"/>
  <c r="W253" i="9" s="1"/>
  <c r="Y253" i="9" s="1"/>
  <c r="V252" i="9"/>
  <c r="V251" i="9"/>
  <c r="W251" i="9" s="1"/>
  <c r="Y251" i="9" s="1"/>
  <c r="V250" i="9"/>
  <c r="V249" i="9"/>
  <c r="W249" i="9" s="1"/>
  <c r="Y249" i="9" s="1"/>
  <c r="V248" i="9"/>
  <c r="V247" i="9"/>
  <c r="V246" i="9"/>
  <c r="W246" i="9" s="1"/>
  <c r="Y246" i="9" s="1"/>
  <c r="V245" i="9"/>
  <c r="W245" i="9" s="1"/>
  <c r="Y245" i="9" s="1"/>
  <c r="V244" i="9"/>
  <c r="V243" i="9"/>
  <c r="W243" i="9" s="1"/>
  <c r="Y243" i="9" s="1"/>
  <c r="V242" i="9"/>
  <c r="W242" i="9" s="1"/>
  <c r="Y242" i="9" s="1"/>
  <c r="V241" i="9"/>
  <c r="W241" i="9" s="1"/>
  <c r="Y241" i="9" s="1"/>
  <c r="V240" i="9"/>
  <c r="W240" i="9" s="1"/>
  <c r="Y240" i="9" s="1"/>
  <c r="V239" i="9"/>
  <c r="V238" i="9"/>
  <c r="W238" i="9" s="1"/>
  <c r="Y238" i="9" s="1"/>
  <c r="V237" i="9"/>
  <c r="W237" i="9" s="1"/>
  <c r="Y237" i="9" s="1"/>
  <c r="V236" i="9"/>
  <c r="V235" i="9"/>
  <c r="V234" i="9"/>
  <c r="V233" i="9"/>
  <c r="W233" i="9" s="1"/>
  <c r="Y233" i="9" s="1"/>
  <c r="V232" i="9"/>
  <c r="W232" i="9" s="1"/>
  <c r="Y232" i="9" s="1"/>
  <c r="V231" i="9"/>
  <c r="V230" i="9"/>
  <c r="W230" i="9" s="1"/>
  <c r="Y230" i="9" s="1"/>
  <c r="V229" i="9"/>
  <c r="W229" i="9" s="1"/>
  <c r="Y229" i="9" s="1"/>
  <c r="V228" i="9"/>
  <c r="V227" i="9"/>
  <c r="V226" i="9"/>
  <c r="V225" i="9"/>
  <c r="V224" i="9"/>
  <c r="W224" i="9" s="1"/>
  <c r="Y224" i="9" s="1"/>
  <c r="V223" i="9"/>
  <c r="V222" i="9"/>
  <c r="W222" i="9" s="1"/>
  <c r="Y222" i="9" s="1"/>
  <c r="V221" i="9"/>
  <c r="W221" i="9" s="1"/>
  <c r="Y221" i="9" s="1"/>
  <c r="V220" i="9"/>
  <c r="W220" i="9" s="1"/>
  <c r="Y220" i="9" s="1"/>
  <c r="V219" i="9"/>
  <c r="W219" i="9" s="1"/>
  <c r="Y219" i="9" s="1"/>
  <c r="V218" i="9"/>
  <c r="W218" i="9" s="1"/>
  <c r="Y218" i="9" s="1"/>
  <c r="V217" i="9"/>
  <c r="W217" i="9" s="1"/>
  <c r="Y217" i="9" s="1"/>
  <c r="V216" i="9"/>
  <c r="W216" i="9" s="1"/>
  <c r="Y216" i="9" s="1"/>
  <c r="V215" i="9"/>
  <c r="V214" i="9"/>
  <c r="W214" i="9" s="1"/>
  <c r="Y214" i="9" s="1"/>
  <c r="V213" i="9"/>
  <c r="W213" i="9" s="1"/>
  <c r="Y213" i="9" s="1"/>
  <c r="V212" i="9"/>
  <c r="W212" i="9" s="1"/>
  <c r="Y212" i="9" s="1"/>
  <c r="V211" i="9"/>
  <c r="W211" i="9" s="1"/>
  <c r="Y211" i="9" s="1"/>
  <c r="V210" i="9"/>
  <c r="W210" i="9" s="1"/>
  <c r="Y210" i="9" s="1"/>
  <c r="V209" i="9"/>
  <c r="W209" i="9" s="1"/>
  <c r="Y209" i="9" s="1"/>
  <c r="V208" i="9"/>
  <c r="W208" i="9" s="1"/>
  <c r="Y208" i="9" s="1"/>
  <c r="V207" i="9"/>
  <c r="V206" i="9"/>
  <c r="V205" i="9"/>
  <c r="W205" i="9" s="1"/>
  <c r="Y205" i="9" s="1"/>
  <c r="V204" i="9"/>
  <c r="W204" i="9" s="1"/>
  <c r="Y204" i="9" s="1"/>
  <c r="V203" i="9"/>
  <c r="W203" i="9" s="1"/>
  <c r="Y203" i="9" s="1"/>
  <c r="V202" i="9"/>
  <c r="W202" i="9" s="1"/>
  <c r="Y202" i="9" s="1"/>
  <c r="V201" i="9"/>
  <c r="V200" i="9"/>
  <c r="W200" i="9" s="1"/>
  <c r="Y200" i="9" s="1"/>
  <c r="V199" i="9"/>
  <c r="V198" i="9"/>
  <c r="W198" i="9" s="1"/>
  <c r="Y198" i="9" s="1"/>
  <c r="V197" i="9"/>
  <c r="W197" i="9" s="1"/>
  <c r="Y197" i="9" s="1"/>
  <c r="V196" i="9"/>
  <c r="V195" i="9"/>
  <c r="V194" i="9"/>
  <c r="V193" i="9"/>
  <c r="V192" i="9"/>
  <c r="W192" i="9" s="1"/>
  <c r="Y192" i="9" s="1"/>
  <c r="V191" i="9"/>
  <c r="V190" i="9"/>
  <c r="W190" i="9" s="1"/>
  <c r="Y190" i="9" s="1"/>
  <c r="V189" i="9"/>
  <c r="W189" i="9" s="1"/>
  <c r="Y189" i="9" s="1"/>
  <c r="V188" i="9"/>
  <c r="V187" i="9"/>
  <c r="V186" i="9"/>
  <c r="W186" i="9" s="1"/>
  <c r="Y186" i="9" s="1"/>
  <c r="V185" i="9"/>
  <c r="W185" i="9" s="1"/>
  <c r="Y185" i="9" s="1"/>
  <c r="V184" i="9"/>
  <c r="W184" i="9" s="1"/>
  <c r="Y184" i="9" s="1"/>
  <c r="V183" i="9"/>
  <c r="V182" i="9"/>
  <c r="W182" i="9" s="1"/>
  <c r="Y182" i="9" s="1"/>
  <c r="V181" i="9"/>
  <c r="W181" i="9" s="1"/>
  <c r="Y181" i="9" s="1"/>
  <c r="V180" i="9"/>
  <c r="V179" i="9"/>
  <c r="W179" i="9" s="1"/>
  <c r="Y179" i="9" s="1"/>
  <c r="V178" i="9"/>
  <c r="W178" i="9" s="1"/>
  <c r="Y178" i="9" s="1"/>
  <c r="V177" i="9"/>
  <c r="V176" i="9"/>
  <c r="W176" i="9" s="1"/>
  <c r="Y176" i="9" s="1"/>
  <c r="V175" i="9"/>
  <c r="V174" i="9"/>
  <c r="V173" i="9"/>
  <c r="W173" i="9" s="1"/>
  <c r="Y173" i="9" s="1"/>
  <c r="V172" i="9"/>
  <c r="V171" i="9"/>
  <c r="W171" i="9" s="1"/>
  <c r="Y171" i="9" s="1"/>
  <c r="V170" i="9"/>
  <c r="V169" i="9"/>
  <c r="V168" i="9"/>
  <c r="V167" i="9"/>
  <c r="W167" i="9" s="1"/>
  <c r="Y167" i="9" s="1"/>
  <c r="V166" i="9"/>
  <c r="W166" i="9" s="1"/>
  <c r="Y166" i="9" s="1"/>
  <c r="V165" i="9"/>
  <c r="W165" i="9" s="1"/>
  <c r="Y165" i="9" s="1"/>
  <c r="V164" i="9"/>
  <c r="W164" i="9" s="1"/>
  <c r="Y164" i="9" s="1"/>
  <c r="V163" i="9"/>
  <c r="W163" i="9" s="1"/>
  <c r="Y163" i="9" s="1"/>
  <c r="V162" i="9"/>
  <c r="W162" i="9" s="1"/>
  <c r="Y162" i="9" s="1"/>
  <c r="V161" i="9"/>
  <c r="W161" i="9" s="1"/>
  <c r="Y161" i="9" s="1"/>
  <c r="V160" i="9"/>
  <c r="W160" i="9" s="1"/>
  <c r="Y160" i="9" s="1"/>
  <c r="V159" i="9"/>
  <c r="V158" i="9"/>
  <c r="W158" i="9" s="1"/>
  <c r="Y158" i="9" s="1"/>
  <c r="V157" i="9"/>
  <c r="W157" i="9" s="1"/>
  <c r="Y157" i="9" s="1"/>
  <c r="V156" i="9"/>
  <c r="W156" i="9" s="1"/>
  <c r="Y156" i="9" s="1"/>
  <c r="V155" i="9"/>
  <c r="W155" i="9" s="1"/>
  <c r="Y155" i="9" s="1"/>
  <c r="V154" i="9"/>
  <c r="V153" i="9"/>
  <c r="W153" i="9" s="1"/>
  <c r="Y153" i="9" s="1"/>
  <c r="V152" i="9"/>
  <c r="V151" i="9"/>
  <c r="W151" i="9" s="1"/>
  <c r="Y151" i="9" s="1"/>
  <c r="V150" i="9"/>
  <c r="W150" i="9" s="1"/>
  <c r="Y150" i="9" s="1"/>
  <c r="V149" i="9"/>
  <c r="W149" i="9" s="1"/>
  <c r="Y149" i="9" s="1"/>
  <c r="V148" i="9"/>
  <c r="V147" i="9"/>
  <c r="V146" i="9"/>
  <c r="W146" i="9" s="1"/>
  <c r="Y146" i="9" s="1"/>
  <c r="V145" i="9"/>
  <c r="V144" i="9"/>
  <c r="W144" i="9" s="1"/>
  <c r="Y144" i="9" s="1"/>
  <c r="V143" i="9"/>
  <c r="V142" i="9"/>
  <c r="W142" i="9" s="1"/>
  <c r="Y142" i="9" s="1"/>
  <c r="V141" i="9"/>
  <c r="W141" i="9" s="1"/>
  <c r="Y141" i="9" s="1"/>
  <c r="V140" i="9"/>
  <c r="V139" i="9"/>
  <c r="V138" i="9"/>
  <c r="W138" i="9" s="1"/>
  <c r="Y138" i="9" s="1"/>
  <c r="V137" i="9"/>
  <c r="W137" i="9" s="1"/>
  <c r="Y137" i="9" s="1"/>
  <c r="V136" i="9"/>
  <c r="V135" i="9"/>
  <c r="V134" i="9"/>
  <c r="W134" i="9" s="1"/>
  <c r="Y134" i="9" s="1"/>
  <c r="V133" i="9"/>
  <c r="W133" i="9" s="1"/>
  <c r="Y133" i="9" s="1"/>
  <c r="V132" i="9"/>
  <c r="V131" i="9"/>
  <c r="W131" i="9" s="1"/>
  <c r="Y131" i="9" s="1"/>
  <c r="V130" i="9"/>
  <c r="W130" i="9" s="1"/>
  <c r="Y130" i="9" s="1"/>
  <c r="V129" i="9"/>
  <c r="V128" i="9"/>
  <c r="V127" i="9"/>
  <c r="V126" i="9"/>
  <c r="V125" i="9"/>
  <c r="W125" i="9" s="1"/>
  <c r="Y125" i="9" s="1"/>
  <c r="V124" i="9"/>
  <c r="V123" i="9"/>
  <c r="W123" i="9" s="1"/>
  <c r="Y123" i="9" s="1"/>
  <c r="V122" i="9"/>
  <c r="V121" i="9"/>
  <c r="W121" i="9" s="1"/>
  <c r="Y121" i="9" s="1"/>
  <c r="V120" i="9"/>
  <c r="V119" i="9"/>
  <c r="V118" i="9"/>
  <c r="W118" i="9" s="1"/>
  <c r="Y118" i="9" s="1"/>
  <c r="V117" i="9"/>
  <c r="W117" i="9" s="1"/>
  <c r="Y117" i="9" s="1"/>
  <c r="V116" i="9"/>
  <c r="V115" i="9"/>
  <c r="W115" i="9" s="1"/>
  <c r="Y115" i="9" s="1"/>
  <c r="V114" i="9"/>
  <c r="W114" i="9" s="1"/>
  <c r="Y114" i="9" s="1"/>
  <c r="V113" i="9"/>
  <c r="W113" i="9" s="1"/>
  <c r="Y113" i="9" s="1"/>
  <c r="V112" i="9"/>
  <c r="V111" i="9"/>
  <c r="V110" i="9"/>
  <c r="V109" i="9"/>
  <c r="W109" i="9" s="1"/>
  <c r="Y109" i="9" s="1"/>
  <c r="V108" i="9"/>
  <c r="V107" i="9"/>
  <c r="V106" i="9"/>
  <c r="W106" i="9" s="1"/>
  <c r="Y106" i="9" s="1"/>
  <c r="V105" i="9"/>
  <c r="V104" i="9"/>
  <c r="V103" i="9"/>
  <c r="V102" i="9"/>
  <c r="W102" i="9" s="1"/>
  <c r="Y102" i="9" s="1"/>
  <c r="V101" i="9"/>
  <c r="W101" i="9" s="1"/>
  <c r="Y101" i="9" s="1"/>
  <c r="V100" i="9"/>
  <c r="V99" i="9"/>
  <c r="V98" i="9"/>
  <c r="V97" i="9"/>
  <c r="W97" i="9" s="1"/>
  <c r="Y97" i="9" s="1"/>
  <c r="V96" i="9"/>
  <c r="V95" i="9"/>
  <c r="W95" i="9" s="1"/>
  <c r="Y95" i="9" s="1"/>
  <c r="V94" i="9"/>
  <c r="W94" i="9" s="1"/>
  <c r="Y94" i="9" s="1"/>
  <c r="V93" i="9"/>
  <c r="V92" i="9"/>
  <c r="V91" i="9"/>
  <c r="V90" i="9"/>
  <c r="V89" i="9"/>
  <c r="W89" i="9" s="1"/>
  <c r="Y89" i="9" s="1"/>
  <c r="V88" i="9"/>
  <c r="V87" i="9"/>
  <c r="W87" i="9" s="1"/>
  <c r="Y87" i="9" s="1"/>
  <c r="V86" i="9"/>
  <c r="V85" i="9"/>
  <c r="V84" i="9"/>
  <c r="V83" i="9"/>
  <c r="V82" i="9"/>
  <c r="W82" i="9" s="1"/>
  <c r="Y82" i="9" s="1"/>
  <c r="V81" i="9"/>
  <c r="W81" i="9" s="1"/>
  <c r="Y81" i="9" s="1"/>
  <c r="V80" i="9"/>
  <c r="V79" i="9"/>
  <c r="V78" i="9"/>
  <c r="W78" i="9" s="1"/>
  <c r="Y78" i="9" s="1"/>
  <c r="V77" i="9"/>
  <c r="V76" i="9"/>
  <c r="V75" i="9"/>
  <c r="W75" i="9" s="1"/>
  <c r="Y75" i="9" s="1"/>
  <c r="V74" i="9"/>
  <c r="W74" i="9" s="1"/>
  <c r="Y74" i="9" s="1"/>
  <c r="V73" i="9"/>
  <c r="W73" i="9" s="1"/>
  <c r="Y73" i="9" s="1"/>
  <c r="V72" i="9"/>
  <c r="W72" i="9" s="1"/>
  <c r="Y72" i="9" s="1"/>
  <c r="V71" i="9"/>
  <c r="W71" i="9" s="1"/>
  <c r="Y71" i="9" s="1"/>
  <c r="V70" i="9"/>
  <c r="W70" i="9" s="1"/>
  <c r="Y70" i="9" s="1"/>
  <c r="V69" i="9"/>
  <c r="V68" i="9"/>
  <c r="V67" i="9"/>
  <c r="W67" i="9" s="1"/>
  <c r="Y67" i="9" s="1"/>
  <c r="V66" i="9"/>
  <c r="V65" i="9"/>
  <c r="V64" i="9"/>
  <c r="V63" i="9"/>
  <c r="V62" i="9"/>
  <c r="W62" i="9" s="1"/>
  <c r="Y62" i="9" s="1"/>
  <c r="V61" i="9"/>
  <c r="W61" i="9" s="1"/>
  <c r="Y61" i="9" s="1"/>
  <c r="V60" i="9"/>
  <c r="V59" i="9"/>
  <c r="W59" i="9" s="1"/>
  <c r="Y59" i="9" s="1"/>
  <c r="V58" i="9"/>
  <c r="W58" i="9" s="1"/>
  <c r="Y58" i="9" s="1"/>
  <c r="V57" i="9"/>
  <c r="V56" i="9"/>
  <c r="V55" i="9"/>
  <c r="W55" i="9" s="1"/>
  <c r="Y55" i="9" s="1"/>
  <c r="V54" i="9"/>
  <c r="W54" i="9" s="1"/>
  <c r="Y54" i="9" s="1"/>
  <c r="V53" i="9"/>
  <c r="W53" i="9" s="1"/>
  <c r="Y53" i="9" s="1"/>
  <c r="V52" i="9"/>
  <c r="V51" i="9"/>
  <c r="V50" i="9"/>
  <c r="V49" i="9"/>
  <c r="W49" i="9" s="1"/>
  <c r="Y49" i="9" s="1"/>
  <c r="V48" i="9"/>
  <c r="V47" i="9"/>
  <c r="V46" i="9"/>
  <c r="W46" i="9" s="1"/>
  <c r="Y46" i="9" s="1"/>
  <c r="V45" i="9"/>
  <c r="W45" i="9" s="1"/>
  <c r="Y45" i="9" s="1"/>
  <c r="V44" i="9"/>
  <c r="W44" i="9" s="1"/>
  <c r="Y44" i="9" s="1"/>
  <c r="V43" i="9"/>
  <c r="V42" i="9"/>
  <c r="V41" i="9"/>
  <c r="V40" i="9"/>
  <c r="W40" i="9" s="1"/>
  <c r="Y40" i="9" s="1"/>
  <c r="V39" i="9"/>
  <c r="V38" i="9"/>
  <c r="W38" i="9" s="1"/>
  <c r="Y38" i="9" s="1"/>
  <c r="V37" i="9"/>
  <c r="W37" i="9" s="1"/>
  <c r="Y37" i="9" s="1"/>
  <c r="V36" i="9"/>
  <c r="W36" i="9" s="1"/>
  <c r="Y36" i="9" s="1"/>
  <c r="V35" i="9"/>
  <c r="V34" i="9"/>
  <c r="W34" i="9" s="1"/>
  <c r="Y34" i="9" s="1"/>
  <c r="V33" i="9"/>
  <c r="V32" i="9"/>
  <c r="V31" i="9"/>
  <c r="V30" i="9"/>
  <c r="W30" i="9" s="1"/>
  <c r="Y30" i="9" s="1"/>
  <c r="V29" i="9"/>
  <c r="W29" i="9" s="1"/>
  <c r="Y29" i="9" s="1"/>
  <c r="V28" i="9"/>
  <c r="W28" i="9" s="1"/>
  <c r="Y28" i="9" s="1"/>
  <c r="V27" i="9"/>
  <c r="V26" i="9"/>
  <c r="W26" i="9" s="1"/>
  <c r="Y26" i="9" s="1"/>
  <c r="V25" i="9"/>
  <c r="V24" i="9"/>
  <c r="V23" i="9"/>
  <c r="W23" i="9" s="1"/>
  <c r="Y23" i="9" s="1"/>
  <c r="V22" i="9"/>
  <c r="W22" i="9" s="1"/>
  <c r="Y22" i="9" s="1"/>
  <c r="V21" i="9"/>
  <c r="W21" i="9" s="1"/>
  <c r="Y21" i="9" s="1"/>
  <c r="V20" i="9"/>
  <c r="V19" i="9"/>
  <c r="V18" i="9"/>
  <c r="W18" i="9" s="1"/>
  <c r="Y18" i="9" s="1"/>
  <c r="V17" i="9"/>
  <c r="W17" i="9" s="1"/>
  <c r="Y17" i="9" s="1"/>
  <c r="V16" i="9"/>
  <c r="W16" i="9" s="1"/>
  <c r="Y16" i="9" s="1"/>
  <c r="V15" i="9"/>
  <c r="V14" i="9"/>
  <c r="W14" i="9" s="1"/>
  <c r="Y14" i="9" s="1"/>
  <c r="V13" i="9"/>
  <c r="W13" i="9" s="1"/>
  <c r="Y13" i="9" s="1"/>
  <c r="V12" i="9"/>
  <c r="V11" i="9"/>
  <c r="V10" i="9"/>
  <c r="V9" i="9"/>
  <c r="V8" i="9"/>
  <c r="W8" i="9" s="1"/>
  <c r="Y8" i="9" s="1"/>
  <c r="V7" i="9"/>
  <c r="V6" i="9"/>
  <c r="W6" i="9" s="1"/>
  <c r="Y6" i="9" s="1"/>
  <c r="V5" i="9"/>
  <c r="V296" i="1"/>
  <c r="Y296" i="1" s="1"/>
  <c r="V295" i="1"/>
  <c r="V294" i="1"/>
  <c r="Y294" i="1" s="1"/>
  <c r="V293" i="1"/>
  <c r="Y293" i="1" s="1"/>
  <c r="V292" i="1"/>
  <c r="Y292" i="1" s="1"/>
  <c r="V291" i="1"/>
  <c r="V290" i="1"/>
  <c r="W290" i="1" s="1"/>
  <c r="X290" i="1" s="1"/>
  <c r="Z290" i="1" s="1"/>
  <c r="V289" i="1"/>
  <c r="Y289" i="1" s="1"/>
  <c r="V288" i="1"/>
  <c r="W288" i="1" s="1"/>
  <c r="X288" i="1" s="1"/>
  <c r="Z288" i="1" s="1"/>
  <c r="V287" i="1"/>
  <c r="W287" i="1" s="1"/>
  <c r="X287" i="1" s="1"/>
  <c r="Z287" i="1" s="1"/>
  <c r="V286" i="1"/>
  <c r="W286" i="1" s="1"/>
  <c r="X286" i="1" s="1"/>
  <c r="Z286" i="1" s="1"/>
  <c r="V285" i="1"/>
  <c r="V284" i="1"/>
  <c r="Y284" i="1" s="1"/>
  <c r="V283" i="1"/>
  <c r="V282" i="1"/>
  <c r="Y282" i="1" s="1"/>
  <c r="V281" i="1"/>
  <c r="Y281" i="1" s="1"/>
  <c r="V280" i="1"/>
  <c r="Y280" i="1" s="1"/>
  <c r="V279" i="1"/>
  <c r="Y279" i="1" s="1"/>
  <c r="V278" i="1"/>
  <c r="W278" i="1" s="1"/>
  <c r="X278" i="1" s="1"/>
  <c r="Z278" i="1" s="1"/>
  <c r="V277" i="1"/>
  <c r="Y277" i="1" s="1"/>
  <c r="V276" i="1"/>
  <c r="W276" i="1" s="1"/>
  <c r="X276" i="1" s="1"/>
  <c r="Z276" i="1" s="1"/>
  <c r="V275" i="1"/>
  <c r="Y275" i="1" s="1"/>
  <c r="V274" i="1"/>
  <c r="W274" i="1" s="1"/>
  <c r="X274" i="1" s="1"/>
  <c r="Z274" i="1" s="1"/>
  <c r="V273" i="1"/>
  <c r="Y273" i="1" s="1"/>
  <c r="V272" i="1"/>
  <c r="W272" i="1" s="1"/>
  <c r="X272" i="1" s="1"/>
  <c r="Z272" i="1" s="1"/>
  <c r="V271" i="1"/>
  <c r="Y271" i="1" s="1"/>
  <c r="V270" i="1"/>
  <c r="Y270" i="1" s="1"/>
  <c r="V269" i="1"/>
  <c r="Y269" i="1" s="1"/>
  <c r="V268" i="1"/>
  <c r="W268" i="1" s="1"/>
  <c r="X268" i="1" s="1"/>
  <c r="Z268" i="1" s="1"/>
  <c r="V267" i="1"/>
  <c r="V266" i="1"/>
  <c r="Y266" i="1" s="1"/>
  <c r="V265" i="1"/>
  <c r="Y265" i="1" s="1"/>
  <c r="V264" i="1"/>
  <c r="W264" i="1" s="1"/>
  <c r="X264" i="1" s="1"/>
  <c r="Z264" i="1" s="1"/>
  <c r="V263" i="1"/>
  <c r="W263" i="1" s="1"/>
  <c r="X263" i="1" s="1"/>
  <c r="Z263" i="1" s="1"/>
  <c r="V262" i="1"/>
  <c r="W262" i="1" s="1"/>
  <c r="X262" i="1" s="1"/>
  <c r="Z262" i="1" s="1"/>
  <c r="V261" i="1"/>
  <c r="Y261" i="1" s="1"/>
  <c r="V260" i="1"/>
  <c r="W260" i="1" s="1"/>
  <c r="X260" i="1" s="1"/>
  <c r="Z260" i="1" s="1"/>
  <c r="V259" i="1"/>
  <c r="Y259" i="1" s="1"/>
  <c r="V258" i="1"/>
  <c r="Y258" i="1" s="1"/>
  <c r="V257" i="1"/>
  <c r="Y257" i="1" s="1"/>
  <c r="V256" i="1"/>
  <c r="Y256" i="1" s="1"/>
  <c r="V255" i="1"/>
  <c r="W255" i="1" s="1"/>
  <c r="X255" i="1" s="1"/>
  <c r="Z255" i="1" s="1"/>
  <c r="V254" i="1"/>
  <c r="Y254" i="1" s="1"/>
  <c r="V253" i="1"/>
  <c r="Y253" i="1" s="1"/>
  <c r="V252" i="1"/>
  <c r="W252" i="1" s="1"/>
  <c r="X252" i="1" s="1"/>
  <c r="Z252" i="1" s="1"/>
  <c r="V251" i="1"/>
  <c r="W251" i="1" s="1"/>
  <c r="X251" i="1" s="1"/>
  <c r="Z251" i="1" s="1"/>
  <c r="V250" i="1"/>
  <c r="W250" i="1" s="1"/>
  <c r="X250" i="1" s="1"/>
  <c r="Z250" i="1" s="1"/>
  <c r="V249" i="1"/>
  <c r="Y249" i="1" s="1"/>
  <c r="V248" i="1"/>
  <c r="W248" i="1" s="1"/>
  <c r="X248" i="1" s="1"/>
  <c r="Z248" i="1" s="1"/>
  <c r="V247" i="1"/>
  <c r="Y247" i="1" s="1"/>
  <c r="V246" i="1"/>
  <c r="Y246" i="1" s="1"/>
  <c r="V245" i="1"/>
  <c r="W245" i="1" s="1"/>
  <c r="X245" i="1" s="1"/>
  <c r="Z245" i="1" s="1"/>
  <c r="V244" i="1"/>
  <c r="W244" i="1" s="1"/>
  <c r="X244" i="1" s="1"/>
  <c r="Z244" i="1" s="1"/>
  <c r="V243" i="1"/>
  <c r="W243" i="1" s="1"/>
  <c r="X243" i="1" s="1"/>
  <c r="Z243" i="1" s="1"/>
  <c r="V242" i="1"/>
  <c r="Y242" i="1" s="1"/>
  <c r="V241" i="1"/>
  <c r="W241" i="1" s="1"/>
  <c r="X241" i="1" s="1"/>
  <c r="Z241" i="1" s="1"/>
  <c r="V240" i="1"/>
  <c r="Y240" i="1" s="1"/>
  <c r="V239" i="1"/>
  <c r="W239" i="1" s="1"/>
  <c r="X239" i="1" s="1"/>
  <c r="Z239" i="1" s="1"/>
  <c r="V238" i="1"/>
  <c r="Y238" i="1" s="1"/>
  <c r="V237" i="1"/>
  <c r="W237" i="1" s="1"/>
  <c r="X237" i="1" s="1"/>
  <c r="Z237" i="1" s="1"/>
  <c r="V236" i="1"/>
  <c r="W236" i="1" s="1"/>
  <c r="X236" i="1" s="1"/>
  <c r="Z236" i="1" s="1"/>
  <c r="V235" i="1"/>
  <c r="Y235" i="1" s="1"/>
  <c r="V234" i="1"/>
  <c r="Y234" i="1" s="1"/>
  <c r="V233" i="1"/>
  <c r="W233" i="1" s="1"/>
  <c r="X233" i="1" s="1"/>
  <c r="Z233" i="1" s="1"/>
  <c r="V232" i="1"/>
  <c r="Y232" i="1" s="1"/>
  <c r="V231" i="1"/>
  <c r="W231" i="1" s="1"/>
  <c r="X231" i="1" s="1"/>
  <c r="Z231" i="1" s="1"/>
  <c r="V230" i="1"/>
  <c r="W230" i="1" s="1"/>
  <c r="X230" i="1" s="1"/>
  <c r="Z230" i="1" s="1"/>
  <c r="V229" i="1"/>
  <c r="W229" i="1" s="1"/>
  <c r="X229" i="1" s="1"/>
  <c r="Z229" i="1" s="1"/>
  <c r="V228" i="1"/>
  <c r="W228" i="1" s="1"/>
  <c r="X228" i="1" s="1"/>
  <c r="Z228" i="1" s="1"/>
  <c r="V227" i="1"/>
  <c r="V226" i="1"/>
  <c r="Y226" i="1" s="1"/>
  <c r="V225" i="1"/>
  <c r="Y225" i="1" s="1"/>
  <c r="V224" i="1"/>
  <c r="W224" i="1" s="1"/>
  <c r="X224" i="1" s="1"/>
  <c r="Z224" i="1" s="1"/>
  <c r="V223" i="1"/>
  <c r="W223" i="1" s="1"/>
  <c r="X223" i="1" s="1"/>
  <c r="Z223" i="1" s="1"/>
  <c r="V222" i="1"/>
  <c r="W222" i="1" s="1"/>
  <c r="X222" i="1" s="1"/>
  <c r="Z222" i="1" s="1"/>
  <c r="V221" i="1"/>
  <c r="V220" i="1"/>
  <c r="Y220" i="1" s="1"/>
  <c r="V219" i="1"/>
  <c r="V218" i="1"/>
  <c r="W218" i="1" s="1"/>
  <c r="X218" i="1" s="1"/>
  <c r="Z218" i="1" s="1"/>
  <c r="V217" i="1"/>
  <c r="W217" i="1" s="1"/>
  <c r="X217" i="1" s="1"/>
  <c r="Z217" i="1" s="1"/>
  <c r="V216" i="1"/>
  <c r="W216" i="1" s="1"/>
  <c r="X216" i="1" s="1"/>
  <c r="Z216" i="1" s="1"/>
  <c r="V215" i="1"/>
  <c r="W215" i="1" s="1"/>
  <c r="V214" i="1"/>
  <c r="Y214" i="1" s="1"/>
  <c r="V213" i="1"/>
  <c r="Y213" i="1" s="1"/>
  <c r="V212" i="1"/>
  <c r="W212" i="1" s="1"/>
  <c r="V211" i="1"/>
  <c r="Y211" i="1" s="1"/>
  <c r="V210" i="1"/>
  <c r="W210" i="1" s="1"/>
  <c r="V209" i="1"/>
  <c r="Y209" i="1" s="1"/>
  <c r="V208" i="1"/>
  <c r="Y208" i="1" s="1"/>
  <c r="V207" i="1"/>
  <c r="Y207" i="1" s="1"/>
  <c r="V206" i="1"/>
  <c r="W206" i="1" s="1"/>
  <c r="V205" i="1"/>
  <c r="Y205" i="1" s="1"/>
  <c r="V204" i="1"/>
  <c r="V203" i="1"/>
  <c r="V202" i="1"/>
  <c r="Y202" i="1" s="1"/>
  <c r="V201" i="1"/>
  <c r="W201" i="1" s="1"/>
  <c r="V200" i="1"/>
  <c r="Y200" i="1" s="1"/>
  <c r="V199" i="1"/>
  <c r="W199" i="1" s="1"/>
  <c r="V198" i="1"/>
  <c r="W198" i="1" s="1"/>
  <c r="V197" i="1"/>
  <c r="Y197" i="1" s="1"/>
  <c r="V196" i="1"/>
  <c r="W196" i="1" s="1"/>
  <c r="V195" i="1"/>
  <c r="Y195" i="1" s="1"/>
  <c r="V194" i="1"/>
  <c r="W194" i="1" s="1"/>
  <c r="V193" i="1"/>
  <c r="Y193" i="1" s="1"/>
  <c r="V192" i="1"/>
  <c r="W192" i="1" s="1"/>
  <c r="V191" i="1"/>
  <c r="W191" i="1" s="1"/>
  <c r="V190" i="1"/>
  <c r="W190" i="1" s="1"/>
  <c r="V189" i="1"/>
  <c r="Y189" i="1" s="1"/>
  <c r="V188" i="1"/>
  <c r="W188" i="1" s="1"/>
  <c r="V187" i="1"/>
  <c r="Y187" i="1" s="1"/>
  <c r="V186" i="1"/>
  <c r="Y186" i="1" s="1"/>
  <c r="V185" i="1"/>
  <c r="Y185" i="1" s="1"/>
  <c r="V184" i="1"/>
  <c r="Y184" i="1" s="1"/>
  <c r="V183" i="1"/>
  <c r="Y183" i="1" s="1"/>
  <c r="V182" i="1"/>
  <c r="Y182" i="1" s="1"/>
  <c r="V181" i="1"/>
  <c r="Y181" i="1" s="1"/>
  <c r="V180" i="1"/>
  <c r="W180" i="1" s="1"/>
  <c r="V179" i="1"/>
  <c r="V178" i="1"/>
  <c r="Y178" i="1" s="1"/>
  <c r="V177" i="1"/>
  <c r="W177" i="1" s="1"/>
  <c r="V176" i="1"/>
  <c r="Y176" i="1" s="1"/>
  <c r="V175" i="1"/>
  <c r="W175" i="1" s="1"/>
  <c r="V174" i="1"/>
  <c r="Y174" i="1" s="1"/>
  <c r="V173" i="1"/>
  <c r="W173" i="1" s="1"/>
  <c r="V172" i="1"/>
  <c r="W172" i="1" s="1"/>
  <c r="V171" i="1"/>
  <c r="W171" i="1" s="1"/>
  <c r="V170" i="1"/>
  <c r="W170" i="1" s="1"/>
  <c r="V169" i="1"/>
  <c r="W169" i="1" s="1"/>
  <c r="V168" i="1"/>
  <c r="W168" i="1" s="1"/>
  <c r="V167" i="1"/>
  <c r="Y167" i="1" s="1"/>
  <c r="V166" i="1"/>
  <c r="Y166" i="1" s="1"/>
  <c r="V165" i="1"/>
  <c r="W165" i="1" s="1"/>
  <c r="V164" i="1"/>
  <c r="W164" i="1" s="1"/>
  <c r="V163" i="1"/>
  <c r="W163" i="1" s="1"/>
  <c r="V162" i="1"/>
  <c r="Y162" i="1" s="1"/>
  <c r="V161" i="1"/>
  <c r="V160" i="1"/>
  <c r="Y160" i="1" s="1"/>
  <c r="V159" i="1"/>
  <c r="Y159" i="1" s="1"/>
  <c r="V158" i="1"/>
  <c r="V157" i="1"/>
  <c r="Y157" i="1" s="1"/>
  <c r="V156" i="1"/>
  <c r="V155" i="1"/>
  <c r="Y155" i="1" s="1"/>
  <c r="V154" i="1"/>
  <c r="Y154" i="1" s="1"/>
  <c r="V153" i="1"/>
  <c r="Y153" i="1" s="1"/>
  <c r="V152" i="1"/>
  <c r="Y152" i="1" s="1"/>
  <c r="V151" i="1"/>
  <c r="W151" i="1" s="1"/>
  <c r="V150" i="1"/>
  <c r="W150" i="1" s="1"/>
  <c r="V149" i="1"/>
  <c r="Y149" i="1" s="1"/>
  <c r="V148" i="1"/>
  <c r="W148" i="1" s="1"/>
  <c r="V147" i="1"/>
  <c r="Y147" i="1" s="1"/>
  <c r="V146" i="1"/>
  <c r="Y146" i="1" s="1"/>
  <c r="V145" i="1"/>
  <c r="Y145" i="1" s="1"/>
  <c r="V144" i="1"/>
  <c r="V143" i="1"/>
  <c r="Y143" i="1" s="1"/>
  <c r="V142" i="1"/>
  <c r="Y142" i="1" s="1"/>
  <c r="V141" i="1"/>
  <c r="Y141" i="1" s="1"/>
  <c r="V140" i="1"/>
  <c r="W140" i="1" s="1"/>
  <c r="V139" i="1"/>
  <c r="Y139" i="1" s="1"/>
  <c r="V138" i="1"/>
  <c r="Y138" i="1" s="1"/>
  <c r="V137" i="1"/>
  <c r="Y137" i="1" s="1"/>
  <c r="V136" i="1"/>
  <c r="W136" i="1" s="1"/>
  <c r="V135" i="1"/>
  <c r="Y135" i="1" s="1"/>
  <c r="V134" i="1"/>
  <c r="W134" i="1" s="1"/>
  <c r="V133" i="1"/>
  <c r="Y133" i="1" s="1"/>
  <c r="V132" i="1"/>
  <c r="W132" i="1" s="1"/>
  <c r="V131" i="1"/>
  <c r="Y131" i="1" s="1"/>
  <c r="V130" i="1"/>
  <c r="Y130" i="1" s="1"/>
  <c r="V129" i="1"/>
  <c r="Y129" i="1" s="1"/>
  <c r="V128" i="1"/>
  <c r="Y128" i="1" s="1"/>
  <c r="V127" i="1"/>
  <c r="W127" i="1" s="1"/>
  <c r="V126" i="1"/>
  <c r="Y126" i="1" s="1"/>
  <c r="V125" i="1"/>
  <c r="Y125" i="1" s="1"/>
  <c r="V124" i="1"/>
  <c r="W124" i="1" s="1"/>
  <c r="V123" i="1"/>
  <c r="V122" i="1"/>
  <c r="W122" i="1" s="1"/>
  <c r="V121" i="1"/>
  <c r="W121" i="1" s="1"/>
  <c r="V120" i="1"/>
  <c r="W120" i="1" s="1"/>
  <c r="V119" i="1"/>
  <c r="Y119" i="1" s="1"/>
  <c r="V118" i="1"/>
  <c r="Y118" i="1" s="1"/>
  <c r="V117" i="1"/>
  <c r="Y117" i="1" s="1"/>
  <c r="V116" i="1"/>
  <c r="W116" i="1" s="1"/>
  <c r="V115" i="1"/>
  <c r="Y115" i="1" s="1"/>
  <c r="V114" i="1"/>
  <c r="Y114" i="1" s="1"/>
  <c r="V113" i="1"/>
  <c r="Y113" i="1" s="1"/>
  <c r="V112" i="1"/>
  <c r="Y112" i="1" s="1"/>
  <c r="V111" i="1"/>
  <c r="W111" i="1" s="1"/>
  <c r="V110" i="1"/>
  <c r="Y110" i="1" s="1"/>
  <c r="V109" i="1"/>
  <c r="W109" i="1" s="1"/>
  <c r="V108" i="1"/>
  <c r="W108" i="1" s="1"/>
  <c r="V107" i="1"/>
  <c r="V106" i="1"/>
  <c r="W106" i="1" s="1"/>
  <c r="V105" i="1"/>
  <c r="W105" i="1" s="1"/>
  <c r="V104" i="1"/>
  <c r="Y104" i="1" s="1"/>
  <c r="V103" i="1"/>
  <c r="Y103" i="1" s="1"/>
  <c r="V102" i="1"/>
  <c r="V101" i="1"/>
  <c r="V100" i="1"/>
  <c r="V99" i="1"/>
  <c r="Y99" i="1" s="1"/>
  <c r="V98" i="1"/>
  <c r="Y98" i="1" s="1"/>
  <c r="V97" i="1"/>
  <c r="Y97" i="1" s="1"/>
  <c r="V96" i="1"/>
  <c r="Y96" i="1" s="1"/>
  <c r="V95" i="1"/>
  <c r="Y95" i="1" s="1"/>
  <c r="V94" i="1"/>
  <c r="W94" i="1" s="1"/>
  <c r="V93" i="1"/>
  <c r="Y93" i="1" s="1"/>
  <c r="V92" i="1"/>
  <c r="Y92" i="1" s="1"/>
  <c r="V91" i="1"/>
  <c r="Y91" i="1" s="1"/>
  <c r="V90" i="1"/>
  <c r="W90" i="1" s="1"/>
  <c r="V89" i="1"/>
  <c r="Y89" i="1" s="1"/>
  <c r="V88" i="1"/>
  <c r="Y88" i="1" s="1"/>
  <c r="V87" i="1"/>
  <c r="W87" i="1" s="1"/>
  <c r="V86" i="1"/>
  <c r="W86" i="1" s="1"/>
  <c r="V85" i="1"/>
  <c r="W85" i="1" s="1"/>
  <c r="V84" i="1"/>
  <c r="W84" i="1" s="1"/>
  <c r="V83" i="1"/>
  <c r="Y83" i="1" s="1"/>
  <c r="V82" i="1"/>
  <c r="Y82" i="1" s="1"/>
  <c r="V81" i="1"/>
  <c r="W81" i="1" s="1"/>
  <c r="V80" i="1"/>
  <c r="W80" i="1" s="1"/>
  <c r="V79" i="1"/>
  <c r="Y79" i="1" s="1"/>
  <c r="V78" i="1"/>
  <c r="Y78" i="1" s="1"/>
  <c r="V77" i="1"/>
  <c r="Y77" i="1" s="1"/>
  <c r="V76" i="1"/>
  <c r="W76" i="1" s="1"/>
  <c r="V75" i="1"/>
  <c r="Y75" i="1" s="1"/>
  <c r="V74" i="1"/>
  <c r="W74" i="1" s="1"/>
  <c r="V73" i="1"/>
  <c r="V72" i="1"/>
  <c r="Y72" i="1" s="1"/>
  <c r="V71" i="1"/>
  <c r="Y71" i="1" s="1"/>
  <c r="V70" i="1"/>
  <c r="W70" i="1" s="1"/>
  <c r="V69" i="1"/>
  <c r="W69" i="1" s="1"/>
  <c r="V68" i="1"/>
  <c r="W68" i="1" s="1"/>
  <c r="V67" i="1"/>
  <c r="Y67" i="1" s="1"/>
  <c r="V66" i="1"/>
  <c r="W66" i="1" s="1"/>
  <c r="V65" i="1"/>
  <c r="Y65" i="1" s="1"/>
  <c r="V64" i="1"/>
  <c r="Y64" i="1" s="1"/>
  <c r="V63" i="1"/>
  <c r="W63" i="1" s="1"/>
  <c r="V62" i="1"/>
  <c r="W62" i="1" s="1"/>
  <c r="V61" i="1"/>
  <c r="Y61" i="1" s="1"/>
  <c r="V60" i="1"/>
  <c r="V59" i="1"/>
  <c r="V58" i="1"/>
  <c r="W58" i="1" s="1"/>
  <c r="V57" i="1"/>
  <c r="Y57" i="1" s="1"/>
  <c r="V56" i="1"/>
  <c r="W56" i="1" s="1"/>
  <c r="V55" i="1"/>
  <c r="Y55" i="1" s="1"/>
  <c r="V54" i="1"/>
  <c r="Y54" i="1" s="1"/>
  <c r="V53" i="1"/>
  <c r="W53" i="1" s="1"/>
  <c r="V52" i="1"/>
  <c r="W52" i="1" s="1"/>
  <c r="V51" i="1"/>
  <c r="Y51" i="1" s="1"/>
  <c r="V50" i="1"/>
  <c r="Y50" i="1" s="1"/>
  <c r="V49" i="1"/>
  <c r="W49" i="1" s="1"/>
  <c r="V48" i="1"/>
  <c r="W48" i="1" s="1"/>
  <c r="V47" i="1"/>
  <c r="W47" i="1" s="1"/>
  <c r="V46" i="1"/>
  <c r="V45" i="1"/>
  <c r="W45" i="1" s="1"/>
  <c r="V44" i="1"/>
  <c r="W44" i="1" s="1"/>
  <c r="V43" i="1"/>
  <c r="V42" i="1"/>
  <c r="Y42" i="1" s="1"/>
  <c r="V41" i="1"/>
  <c r="V40" i="1"/>
  <c r="Y40" i="1" s="1"/>
  <c r="V39" i="1"/>
  <c r="W39" i="1" s="1"/>
  <c r="V38" i="1"/>
  <c r="Y38" i="1" s="1"/>
  <c r="V37" i="1"/>
  <c r="W37" i="1" s="1"/>
  <c r="V36" i="1"/>
  <c r="Y36" i="1" s="1"/>
  <c r="V35" i="1"/>
  <c r="Y35" i="1" s="1"/>
  <c r="V34" i="1"/>
  <c r="W34" i="1" s="1"/>
  <c r="V33" i="1"/>
  <c r="Y33" i="1" s="1"/>
  <c r="V32" i="1"/>
  <c r="W32" i="1" s="1"/>
  <c r="V31" i="1"/>
  <c r="W31" i="1" s="1"/>
  <c r="V30" i="1"/>
  <c r="V29" i="1"/>
  <c r="Y29" i="1" s="1"/>
  <c r="V28" i="1"/>
  <c r="W28" i="1" s="1"/>
  <c r="V27" i="1"/>
  <c r="Y27" i="1" s="1"/>
  <c r="V26" i="1"/>
  <c r="Y26" i="1" s="1"/>
  <c r="V25" i="1"/>
  <c r="Y25" i="1" s="1"/>
  <c r="V24" i="1"/>
  <c r="W24" i="1" s="1"/>
  <c r="V23" i="1"/>
  <c r="W23" i="1" s="1"/>
  <c r="V22" i="1"/>
  <c r="Y22" i="1" s="1"/>
  <c r="V21" i="1"/>
  <c r="W21" i="1" s="1"/>
  <c r="V20" i="1"/>
  <c r="W20" i="1" s="1"/>
  <c r="V19" i="1"/>
  <c r="Y19" i="1" s="1"/>
  <c r="V18" i="1"/>
  <c r="Y18" i="1" s="1"/>
  <c r="V17" i="1"/>
  <c r="Y17" i="1" s="1"/>
  <c r="V16" i="1"/>
  <c r="V15" i="1"/>
  <c r="Y15" i="1" s="1"/>
  <c r="V14" i="1"/>
  <c r="Y14" i="1" s="1"/>
  <c r="V13" i="1"/>
  <c r="Y13" i="1" s="1"/>
  <c r="V12" i="1"/>
  <c r="W12" i="1" s="1"/>
  <c r="V11" i="1"/>
  <c r="V10" i="1"/>
  <c r="W10" i="1" s="1"/>
  <c r="V9" i="1"/>
  <c r="W9" i="1" s="1"/>
  <c r="V8" i="1"/>
  <c r="W8" i="1" s="1"/>
  <c r="V7" i="1"/>
  <c r="W7" i="1" s="1"/>
  <c r="V6" i="1"/>
  <c r="W6" i="1" s="1"/>
  <c r="V5" i="1"/>
  <c r="X6" i="9"/>
  <c r="X7" i="9"/>
  <c r="X9" i="9"/>
  <c r="X10" i="9"/>
  <c r="X12" i="9"/>
  <c r="X15" i="9"/>
  <c r="X16" i="9"/>
  <c r="X20" i="9"/>
  <c r="X26" i="9"/>
  <c r="X33" i="9"/>
  <c r="X38" i="9"/>
  <c r="X39" i="9"/>
  <c r="X44" i="9"/>
  <c r="X46" i="9"/>
  <c r="X47" i="9"/>
  <c r="X48" i="9"/>
  <c r="X49" i="9"/>
  <c r="X52" i="9"/>
  <c r="X57" i="9"/>
  <c r="X64" i="9"/>
  <c r="X65" i="9"/>
  <c r="X70" i="9"/>
  <c r="X76" i="9"/>
  <c r="X79" i="9"/>
  <c r="X84" i="9"/>
  <c r="X90" i="9"/>
  <c r="X92" i="9"/>
  <c r="X94" i="9"/>
  <c r="X95" i="9"/>
  <c r="X96" i="9"/>
  <c r="X100" i="9"/>
  <c r="X108" i="9"/>
  <c r="X111" i="9"/>
  <c r="X112" i="9"/>
  <c r="X116" i="9"/>
  <c r="X120" i="9"/>
  <c r="X122" i="9"/>
  <c r="X124" i="9"/>
  <c r="X132" i="9"/>
  <c r="X140" i="9"/>
  <c r="X145" i="9"/>
  <c r="X148" i="9"/>
  <c r="X152" i="9"/>
  <c r="X154" i="9"/>
  <c r="X159" i="9"/>
  <c r="X165" i="9"/>
  <c r="X168" i="9"/>
  <c r="X169" i="9"/>
  <c r="X170" i="9"/>
  <c r="X177" i="9"/>
  <c r="X180" i="9"/>
  <c r="X183" i="9"/>
  <c r="X188" i="9"/>
  <c r="X189" i="9"/>
  <c r="X193" i="9"/>
  <c r="X194" i="9"/>
  <c r="X196" i="9"/>
  <c r="X198" i="9"/>
  <c r="X202" i="9"/>
  <c r="X206" i="9"/>
  <c r="X214" i="9"/>
  <c r="X217" i="9"/>
  <c r="X222" i="9"/>
  <c r="X223" i="9"/>
  <c r="X225" i="9"/>
  <c r="X226" i="9"/>
  <c r="X228" i="9"/>
  <c r="X234" i="9"/>
  <c r="X236" i="9"/>
  <c r="X238" i="9"/>
  <c r="X244" i="9"/>
  <c r="X250" i="9"/>
  <c r="X252" i="9"/>
  <c r="X255" i="9"/>
  <c r="X256" i="9"/>
  <c r="X257" i="9"/>
  <c r="X258" i="9"/>
  <c r="X260" i="9"/>
  <c r="X261" i="9"/>
  <c r="X262" i="9"/>
  <c r="X272" i="9"/>
  <c r="X273" i="9"/>
  <c r="X276" i="9"/>
  <c r="X278" i="9"/>
  <c r="X279" i="9"/>
  <c r="X280" i="9"/>
  <c r="X281" i="9"/>
  <c r="X282" i="9"/>
  <c r="X285" i="9"/>
  <c r="X277" i="9"/>
  <c r="X275" i="9"/>
  <c r="X274" i="9"/>
  <c r="X270" i="9"/>
  <c r="X269" i="9"/>
  <c r="X254" i="9"/>
  <c r="X253" i="9"/>
  <c r="X246" i="9"/>
  <c r="X245" i="9"/>
  <c r="X240" i="9"/>
  <c r="X237" i="9"/>
  <c r="X232" i="9"/>
  <c r="X231" i="9"/>
  <c r="X230" i="9"/>
  <c r="X229" i="9"/>
  <c r="X224" i="9"/>
  <c r="X221" i="9"/>
  <c r="X213" i="9"/>
  <c r="X209" i="9"/>
  <c r="X208" i="9"/>
  <c r="X205" i="9"/>
  <c r="X200" i="9"/>
  <c r="X197" i="9"/>
  <c r="X192" i="9"/>
  <c r="X190" i="9"/>
  <c r="X182" i="9"/>
  <c r="X181" i="9"/>
  <c r="X178" i="9"/>
  <c r="X174" i="9"/>
  <c r="X172" i="9"/>
  <c r="X161" i="9"/>
  <c r="X157" i="9"/>
  <c r="X149" i="9"/>
  <c r="X141" i="9"/>
  <c r="X136" i="9"/>
  <c r="X133" i="9"/>
  <c r="X125" i="9"/>
  <c r="X117" i="9"/>
  <c r="X115" i="9"/>
  <c r="X113" i="9"/>
  <c r="X101" i="9"/>
  <c r="X89" i="9"/>
  <c r="X88" i="9"/>
  <c r="X78" i="9"/>
  <c r="X73" i="9"/>
  <c r="X72" i="9"/>
  <c r="X62" i="9"/>
  <c r="X58" i="9"/>
  <c r="X56" i="9"/>
  <c r="X54" i="9"/>
  <c r="X51" i="9"/>
  <c r="X35" i="9"/>
  <c r="X32" i="9"/>
  <c r="X30" i="9"/>
  <c r="X29" i="9"/>
  <c r="X22" i="9"/>
  <c r="X14" i="9"/>
  <c r="X8" i="9"/>
  <c r="X5" i="9"/>
  <c r="Y179" i="1"/>
  <c r="Y203" i="1"/>
  <c r="Y219" i="1"/>
  <c r="Y227" i="1"/>
  <c r="Y251" i="1"/>
  <c r="Y267" i="1"/>
  <c r="Y283" i="1"/>
  <c r="Y291" i="1"/>
  <c r="W123" i="4"/>
  <c r="Y218" i="1"/>
  <c r="Y274" i="1"/>
  <c r="W235" i="1"/>
  <c r="X235" i="1" s="1"/>
  <c r="Z235" i="1" s="1"/>
  <c r="W242" i="1"/>
  <c r="X242" i="1" s="1"/>
  <c r="Z242" i="1" s="1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K4" i="8"/>
  <c r="J4" i="8"/>
  <c r="I4" i="8"/>
  <c r="K3" i="8"/>
  <c r="J3" i="8"/>
  <c r="I3" i="8"/>
  <c r="U22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C16" i="5"/>
  <c r="C15" i="5"/>
  <c r="U297" i="1"/>
  <c r="B16" i="5" s="1"/>
  <c r="D22" i="5" s="1"/>
  <c r="V123" i="4"/>
  <c r="T297" i="1"/>
  <c r="B15" i="5" s="1"/>
  <c r="G297" i="1"/>
  <c r="J297" i="1"/>
  <c r="K297" i="1"/>
  <c r="L297" i="1"/>
  <c r="M297" i="1"/>
  <c r="N297" i="1"/>
  <c r="O297" i="1"/>
  <c r="P297" i="1"/>
  <c r="Q297" i="1"/>
  <c r="R297" i="1"/>
  <c r="S297" i="1"/>
  <c r="U123" i="4"/>
  <c r="C14" i="5"/>
  <c r="Y212" i="1" l="1"/>
  <c r="W181" i="1"/>
  <c r="X181" i="1" s="1"/>
  <c r="Z181" i="1" s="1"/>
  <c r="Y245" i="1"/>
  <c r="W284" i="1"/>
  <c r="X284" i="1" s="1"/>
  <c r="Z284" i="1" s="1"/>
  <c r="W186" i="1"/>
  <c r="Y276" i="1"/>
  <c r="Y264" i="1"/>
  <c r="W240" i="1"/>
  <c r="X240" i="1" s="1"/>
  <c r="Z240" i="1" s="1"/>
  <c r="W184" i="1"/>
  <c r="X184" i="1" s="1"/>
  <c r="Z184" i="1" s="1"/>
  <c r="Y177" i="1"/>
  <c r="W265" i="1"/>
  <c r="X265" i="1" s="1"/>
  <c r="Z265" i="1" s="1"/>
  <c r="W282" i="1"/>
  <c r="X282" i="1" s="1"/>
  <c r="Z282" i="1" s="1"/>
  <c r="Y288" i="1"/>
  <c r="I4" i="5"/>
  <c r="J4" i="5"/>
  <c r="W266" i="1"/>
  <c r="X266" i="1" s="1"/>
  <c r="Z266" i="1" s="1"/>
  <c r="Y210" i="1"/>
  <c r="W258" i="1"/>
  <c r="X258" i="1" s="1"/>
  <c r="Z258" i="1" s="1"/>
  <c r="W234" i="1"/>
  <c r="X234" i="1" s="1"/>
  <c r="Z234" i="1" s="1"/>
  <c r="W178" i="1"/>
  <c r="X178" i="1" s="1"/>
  <c r="Z178" i="1" s="1"/>
  <c r="Y243" i="1"/>
  <c r="W226" i="1"/>
  <c r="X226" i="1" s="1"/>
  <c r="Z226" i="1" s="1"/>
  <c r="Y290" i="1"/>
  <c r="Y250" i="1"/>
  <c r="Y194" i="1"/>
  <c r="K4" i="5"/>
  <c r="W187" i="1"/>
  <c r="X187" i="1" s="1"/>
  <c r="Z187" i="1" s="1"/>
  <c r="Y190" i="1"/>
  <c r="Y230" i="1"/>
  <c r="Y105" i="1"/>
  <c r="W98" i="1"/>
  <c r="X98" i="1" s="1"/>
  <c r="Z98" i="1" s="1"/>
  <c r="Y224" i="1"/>
  <c r="W202" i="1"/>
  <c r="X202" i="1" s="1"/>
  <c r="Z202" i="1" s="1"/>
  <c r="W95" i="1"/>
  <c r="X95" i="1" s="1"/>
  <c r="Z95" i="1" s="1"/>
  <c r="W270" i="1"/>
  <c r="X270" i="1" s="1"/>
  <c r="Z270" i="1" s="1"/>
  <c r="W214" i="1"/>
  <c r="X214" i="1" s="1"/>
  <c r="Z214" i="1" s="1"/>
  <c r="W182" i="1"/>
  <c r="X182" i="1" s="1"/>
  <c r="Z182" i="1" s="1"/>
  <c r="Y262" i="1"/>
  <c r="W294" i="1"/>
  <c r="X294" i="1" s="1"/>
  <c r="Z294" i="1" s="1"/>
  <c r="W238" i="1"/>
  <c r="X238" i="1" s="1"/>
  <c r="Z238" i="1" s="1"/>
  <c r="W208" i="1"/>
  <c r="X208" i="1" s="1"/>
  <c r="Z208" i="1" s="1"/>
  <c r="W79" i="1"/>
  <c r="X79" i="1" s="1"/>
  <c r="Z79" i="1" s="1"/>
  <c r="W279" i="1"/>
  <c r="X279" i="1" s="1"/>
  <c r="Z279" i="1" s="1"/>
  <c r="W160" i="1"/>
  <c r="X160" i="1" s="1"/>
  <c r="Z160" i="1" s="1"/>
  <c r="W64" i="1"/>
  <c r="X64" i="1" s="1"/>
  <c r="Z64" i="1" s="1"/>
  <c r="Y94" i="1"/>
  <c r="W71" i="1"/>
  <c r="X71" i="1" s="1"/>
  <c r="Z71" i="1" s="1"/>
  <c r="W54" i="1"/>
  <c r="X54" i="1" s="1"/>
  <c r="Z54" i="1" s="1"/>
  <c r="Y198" i="1"/>
  <c r="Y56" i="1"/>
  <c r="W145" i="1"/>
  <c r="X145" i="1" s="1"/>
  <c r="Z145" i="1" s="1"/>
  <c r="W22" i="1"/>
  <c r="X22" i="1" s="1"/>
  <c r="Z22" i="1" s="1"/>
  <c r="Y32" i="1"/>
  <c r="Y222" i="1"/>
  <c r="Y80" i="1"/>
  <c r="W146" i="1"/>
  <c r="X146" i="1" s="1"/>
  <c r="Z146" i="1" s="1"/>
  <c r="W119" i="1"/>
  <c r="X119" i="1" s="1"/>
  <c r="Z119" i="1" s="1"/>
  <c r="W17" i="1"/>
  <c r="X17" i="1" s="1"/>
  <c r="Z17" i="1" s="1"/>
  <c r="Y231" i="1"/>
  <c r="Y24" i="1"/>
  <c r="W126" i="1"/>
  <c r="X126" i="1" s="1"/>
  <c r="Z126" i="1" s="1"/>
  <c r="W138" i="1"/>
  <c r="X138" i="1" s="1"/>
  <c r="Z138" i="1" s="1"/>
  <c r="W42" i="1"/>
  <c r="Y122" i="1"/>
  <c r="Y10" i="1"/>
  <c r="W130" i="1"/>
  <c r="X130" i="1" s="1"/>
  <c r="Z130" i="1" s="1"/>
  <c r="W82" i="1"/>
  <c r="X82" i="1" s="1"/>
  <c r="Z82" i="1" s="1"/>
  <c r="W26" i="1"/>
  <c r="X26" i="1" s="1"/>
  <c r="Z26" i="1" s="1"/>
  <c r="Y74" i="1"/>
  <c r="Y163" i="1"/>
  <c r="W155" i="1"/>
  <c r="X155" i="1" s="1"/>
  <c r="Z155" i="1" s="1"/>
  <c r="W18" i="1"/>
  <c r="X18" i="1" s="1"/>
  <c r="Z18" i="1" s="1"/>
  <c r="Y278" i="1"/>
  <c r="Y66" i="1"/>
  <c r="W115" i="1"/>
  <c r="X115" i="1" s="1"/>
  <c r="Z115" i="1" s="1"/>
  <c r="Y151" i="1"/>
  <c r="W247" i="1"/>
  <c r="X247" i="1" s="1"/>
  <c r="Z247" i="1" s="1"/>
  <c r="Y106" i="1"/>
  <c r="W246" i="1"/>
  <c r="X246" i="1" s="1"/>
  <c r="Z246" i="1" s="1"/>
  <c r="W159" i="1"/>
  <c r="X159" i="1" s="1"/>
  <c r="Z159" i="1" s="1"/>
  <c r="W114" i="1"/>
  <c r="X114" i="1" s="1"/>
  <c r="Z114" i="1" s="1"/>
  <c r="W55" i="1"/>
  <c r="X55" i="1" s="1"/>
  <c r="Z55" i="1" s="1"/>
  <c r="W296" i="1"/>
  <c r="X296" i="1" s="1"/>
  <c r="Z296" i="1" s="1"/>
  <c r="W104" i="1"/>
  <c r="X104" i="1" s="1"/>
  <c r="Z104" i="1" s="1"/>
  <c r="Y53" i="1"/>
  <c r="W50" i="1"/>
  <c r="X50" i="1" s="1"/>
  <c r="Z50" i="1" s="1"/>
  <c r="Y34" i="1"/>
  <c r="W117" i="1"/>
  <c r="X117" i="1" s="1"/>
  <c r="Z117" i="1" s="1"/>
  <c r="W36" i="1"/>
  <c r="X36" i="1" s="1"/>
  <c r="Z36" i="1" s="1"/>
  <c r="W271" i="1"/>
  <c r="X271" i="1" s="1"/>
  <c r="Z271" i="1" s="1"/>
  <c r="W142" i="1"/>
  <c r="X142" i="1" s="1"/>
  <c r="Z142" i="1" s="1"/>
  <c r="W78" i="1"/>
  <c r="X78" i="1" s="1"/>
  <c r="Z78" i="1" s="1"/>
  <c r="W15" i="1"/>
  <c r="X15" i="1" s="1"/>
  <c r="Z15" i="1" s="1"/>
  <c r="Y199" i="1"/>
  <c r="Y70" i="1"/>
  <c r="W103" i="1"/>
  <c r="X103" i="1" s="1"/>
  <c r="Z103" i="1" s="1"/>
  <c r="W40" i="1"/>
  <c r="X40" i="1" s="1"/>
  <c r="Z40" i="1" s="1"/>
  <c r="Y248" i="1"/>
  <c r="Y223" i="1"/>
  <c r="Y192" i="1"/>
  <c r="Y134" i="1"/>
  <c r="Y263" i="1"/>
  <c r="Y170" i="1"/>
  <c r="Y31" i="1"/>
  <c r="W97" i="1"/>
  <c r="X97" i="1" s="1"/>
  <c r="Z97" i="1" s="1"/>
  <c r="W38" i="1"/>
  <c r="X38" i="1" s="1"/>
  <c r="Z38" i="1" s="1"/>
  <c r="Y191" i="1"/>
  <c r="Y127" i="1"/>
  <c r="W162" i="1"/>
  <c r="X162" i="1" s="1"/>
  <c r="Z162" i="1" s="1"/>
  <c r="W128" i="1"/>
  <c r="X128" i="1" s="1"/>
  <c r="Z128" i="1" s="1"/>
  <c r="W96" i="1"/>
  <c r="X96" i="1" s="1"/>
  <c r="Z96" i="1" s="1"/>
  <c r="Y48" i="1"/>
  <c r="Y58" i="1"/>
  <c r="Y161" i="1"/>
  <c r="W161" i="1"/>
  <c r="X161" i="1" s="1"/>
  <c r="Z161" i="1" s="1"/>
  <c r="W249" i="1"/>
  <c r="X249" i="1" s="1"/>
  <c r="Z249" i="1" s="1"/>
  <c r="W185" i="1"/>
  <c r="X185" i="1" s="1"/>
  <c r="Z185" i="1" s="1"/>
  <c r="W193" i="1"/>
  <c r="X193" i="1" s="1"/>
  <c r="Z193" i="1" s="1"/>
  <c r="W154" i="1"/>
  <c r="X154" i="1" s="1"/>
  <c r="Z154" i="1" s="1"/>
  <c r="Y8" i="1"/>
  <c r="Y90" i="1"/>
  <c r="X233" i="9"/>
  <c r="W65" i="9"/>
  <c r="Y65" i="9" s="1"/>
  <c r="W63" i="9"/>
  <c r="Y63" i="9" s="1"/>
  <c r="X63" i="9"/>
  <c r="W255" i="9"/>
  <c r="Y255" i="9" s="1"/>
  <c r="W15" i="9"/>
  <c r="Y15" i="9" s="1"/>
  <c r="W86" i="9"/>
  <c r="Y86" i="9" s="1"/>
  <c r="X86" i="9"/>
  <c r="W225" i="1"/>
  <c r="X225" i="1" s="1"/>
  <c r="Z225" i="1" s="1"/>
  <c r="X19" i="9"/>
  <c r="X40" i="9"/>
  <c r="X71" i="9"/>
  <c r="X216" i="9"/>
  <c r="X264" i="9"/>
  <c r="W272" i="9"/>
  <c r="Y272" i="9" s="1"/>
  <c r="W206" i="9"/>
  <c r="Y206" i="9" s="1"/>
  <c r="W159" i="9"/>
  <c r="Y159" i="9" s="1"/>
  <c r="W47" i="9"/>
  <c r="Y47" i="9" s="1"/>
  <c r="X199" i="9"/>
  <c r="X239" i="9"/>
  <c r="W79" i="9"/>
  <c r="Y79" i="9" s="1"/>
  <c r="W7" i="9"/>
  <c r="Y7" i="9" s="1"/>
  <c r="W187" i="9"/>
  <c r="Y187" i="9" s="1"/>
  <c r="X187" i="9"/>
  <c r="W83" i="9"/>
  <c r="Y83" i="9" s="1"/>
  <c r="X83" i="9"/>
  <c r="X263" i="9"/>
  <c r="X215" i="9"/>
  <c r="W215" i="9"/>
  <c r="Y215" i="9" s="1"/>
  <c r="X127" i="9"/>
  <c r="W25" i="1"/>
  <c r="X25" i="1" s="1"/>
  <c r="Z25" i="1" s="1"/>
  <c r="X23" i="9"/>
  <c r="X103" i="9"/>
  <c r="X66" i="9"/>
  <c r="W66" i="9"/>
  <c r="Y66" i="9" s="1"/>
  <c r="X50" i="9"/>
  <c r="W50" i="9"/>
  <c r="Y50" i="9" s="1"/>
  <c r="W42" i="9"/>
  <c r="Y42" i="9" s="1"/>
  <c r="X42" i="9"/>
  <c r="W46" i="1"/>
  <c r="X46" i="1" s="1"/>
  <c r="Z46" i="1" s="1"/>
  <c r="Y46" i="1"/>
  <c r="Y102" i="1"/>
  <c r="W102" i="1"/>
  <c r="X102" i="1" s="1"/>
  <c r="Z102" i="1" s="1"/>
  <c r="X247" i="9"/>
  <c r="W247" i="9"/>
  <c r="Y247" i="9" s="1"/>
  <c r="Y121" i="1"/>
  <c r="X55" i="9"/>
  <c r="X201" i="9"/>
  <c r="W201" i="9"/>
  <c r="Y201" i="9" s="1"/>
  <c r="W129" i="9"/>
  <c r="Y129" i="9" s="1"/>
  <c r="X129" i="9"/>
  <c r="X41" i="9"/>
  <c r="W41" i="9"/>
  <c r="Y41" i="9" s="1"/>
  <c r="X25" i="9"/>
  <c r="W25" i="9"/>
  <c r="Y25" i="9" s="1"/>
  <c r="X143" i="9"/>
  <c r="Y81" i="1"/>
  <c r="W33" i="1"/>
  <c r="X33" i="1" s="1"/>
  <c r="Z33" i="1" s="1"/>
  <c r="X248" i="9"/>
  <c r="W248" i="9"/>
  <c r="Y248" i="9" s="1"/>
  <c r="W104" i="9"/>
  <c r="Y104" i="9" s="1"/>
  <c r="X104" i="9"/>
  <c r="W24" i="9"/>
  <c r="Y24" i="9" s="1"/>
  <c r="X24" i="9"/>
  <c r="W176" i="1"/>
  <c r="X176" i="1" s="1"/>
  <c r="Z176" i="1" s="1"/>
  <c r="Y175" i="1"/>
  <c r="W99" i="1"/>
  <c r="X99" i="1" s="1"/>
  <c r="Z99" i="1" s="1"/>
  <c r="X109" i="9"/>
  <c r="W92" i="1"/>
  <c r="X92" i="1" s="1"/>
  <c r="Z92" i="1" s="1"/>
  <c r="W147" i="1"/>
  <c r="X147" i="1" s="1"/>
  <c r="Z147" i="1" s="1"/>
  <c r="Y28" i="1"/>
  <c r="W11" i="1"/>
  <c r="X11" i="1" s="1"/>
  <c r="Z11" i="1" s="1"/>
  <c r="Y11" i="1"/>
  <c r="W43" i="1"/>
  <c r="X43" i="1" s="1"/>
  <c r="Z43" i="1" s="1"/>
  <c r="Y43" i="1"/>
  <c r="W59" i="1"/>
  <c r="X59" i="1" s="1"/>
  <c r="Z59" i="1" s="1"/>
  <c r="Y59" i="1"/>
  <c r="Y107" i="1"/>
  <c r="W107" i="1"/>
  <c r="X107" i="1" s="1"/>
  <c r="Z107" i="1" s="1"/>
  <c r="Y123" i="1"/>
  <c r="W123" i="1"/>
  <c r="X123" i="1" s="1"/>
  <c r="Z123" i="1" s="1"/>
  <c r="Y164" i="1"/>
  <c r="W110" i="1"/>
  <c r="X110" i="1" s="1"/>
  <c r="Z110" i="1" s="1"/>
  <c r="W14" i="1"/>
  <c r="X14" i="1" s="1"/>
  <c r="Z14" i="1" s="1"/>
  <c r="W174" i="1"/>
  <c r="X174" i="1" s="1"/>
  <c r="Z174" i="1" s="1"/>
  <c r="Y150" i="1"/>
  <c r="Y87" i="1"/>
  <c r="Y171" i="1"/>
  <c r="Y86" i="1"/>
  <c r="Y6" i="1"/>
  <c r="W143" i="1"/>
  <c r="X143" i="1" s="1"/>
  <c r="Z143" i="1" s="1"/>
  <c r="X74" i="9"/>
  <c r="W226" i="9"/>
  <c r="Y226" i="9" s="1"/>
  <c r="W122" i="9"/>
  <c r="Y122" i="9" s="1"/>
  <c r="X18" i="9"/>
  <c r="X210" i="9"/>
  <c r="X249" i="9"/>
  <c r="W273" i="9"/>
  <c r="Y273" i="9" s="1"/>
  <c r="W250" i="9"/>
  <c r="Y250" i="9" s="1"/>
  <c r="W225" i="9"/>
  <c r="Y225" i="9" s="1"/>
  <c r="W145" i="9"/>
  <c r="Y145" i="9" s="1"/>
  <c r="X138" i="9"/>
  <c r="X185" i="9"/>
  <c r="X265" i="9"/>
  <c r="W234" i="9"/>
  <c r="Y234" i="9" s="1"/>
  <c r="W170" i="9"/>
  <c r="Y170" i="9" s="1"/>
  <c r="W90" i="9"/>
  <c r="Y90" i="9" s="1"/>
  <c r="X81" i="9"/>
  <c r="X97" i="9"/>
  <c r="X186" i="9"/>
  <c r="X266" i="9"/>
  <c r="W258" i="9"/>
  <c r="Y258" i="9" s="1"/>
  <c r="W169" i="9"/>
  <c r="Y169" i="9" s="1"/>
  <c r="W154" i="9"/>
  <c r="Y154" i="9" s="1"/>
  <c r="W33" i="9"/>
  <c r="Y33" i="9" s="1"/>
  <c r="W10" i="9"/>
  <c r="Y10" i="9" s="1"/>
  <c r="X82" i="9"/>
  <c r="W282" i="9"/>
  <c r="Y282" i="9" s="1"/>
  <c r="W257" i="9"/>
  <c r="Y257" i="9" s="1"/>
  <c r="W194" i="9"/>
  <c r="Y194" i="9" s="1"/>
  <c r="W9" i="9"/>
  <c r="Y9" i="9" s="1"/>
  <c r="X241" i="9"/>
  <c r="W281" i="9"/>
  <c r="Y281" i="9" s="1"/>
  <c r="W193" i="9"/>
  <c r="Y193" i="9" s="1"/>
  <c r="W177" i="9"/>
  <c r="Y177" i="9" s="1"/>
  <c r="X218" i="9"/>
  <c r="X242" i="9"/>
  <c r="X59" i="9"/>
  <c r="W236" i="9"/>
  <c r="Y236" i="9" s="1"/>
  <c r="X75" i="9"/>
  <c r="X211" i="9"/>
  <c r="X268" i="9"/>
  <c r="X43" i="9"/>
  <c r="X106" i="9"/>
  <c r="X203" i="9"/>
  <c r="W57" i="9"/>
  <c r="Y57" i="9" s="1"/>
  <c r="X11" i="9"/>
  <c r="X34" i="9"/>
  <c r="X80" i="9"/>
  <c r="X184" i="9"/>
  <c r="X286" i="9"/>
  <c r="X305" i="9"/>
  <c r="W285" i="9"/>
  <c r="Y285" i="9" s="1"/>
  <c r="X36" i="9"/>
  <c r="X68" i="9"/>
  <c r="X283" i="9"/>
  <c r="W108" i="9"/>
  <c r="Y108" i="9" s="1"/>
  <c r="Y41" i="1"/>
  <c r="W41" i="1"/>
  <c r="X41" i="1" s="1"/>
  <c r="Z41" i="1" s="1"/>
  <c r="W273" i="1"/>
  <c r="X273" i="1" s="1"/>
  <c r="Z273" i="1" s="1"/>
  <c r="W209" i="1"/>
  <c r="X209" i="1" s="1"/>
  <c r="Z209" i="1" s="1"/>
  <c r="W183" i="1"/>
  <c r="X183" i="1" s="1"/>
  <c r="Z183" i="1" s="1"/>
  <c r="W129" i="1"/>
  <c r="X129" i="1" s="1"/>
  <c r="Z129" i="1" s="1"/>
  <c r="W118" i="1"/>
  <c r="X118" i="1" s="1"/>
  <c r="Z118" i="1" s="1"/>
  <c r="W65" i="1"/>
  <c r="X65" i="1" s="1"/>
  <c r="Z65" i="1" s="1"/>
  <c r="Y233" i="1"/>
  <c r="Y49" i="1"/>
  <c r="Y9" i="1"/>
  <c r="Y144" i="1"/>
  <c r="W144" i="1"/>
  <c r="X144" i="1" s="1"/>
  <c r="Z144" i="1" s="1"/>
  <c r="W16" i="1"/>
  <c r="X16" i="1" s="1"/>
  <c r="Z16" i="1" s="1"/>
  <c r="Y16" i="1"/>
  <c r="X87" i="9"/>
  <c r="X191" i="9"/>
  <c r="W279" i="9"/>
  <c r="Y279" i="9" s="1"/>
  <c r="W39" i="9"/>
  <c r="Y39" i="9" s="1"/>
  <c r="Y30" i="1"/>
  <c r="W30" i="1"/>
  <c r="X30" i="1" s="1"/>
  <c r="Z30" i="1" s="1"/>
  <c r="W153" i="1"/>
  <c r="X153" i="1" s="1"/>
  <c r="Z153" i="1" s="1"/>
  <c r="Y217" i="1"/>
  <c r="Y120" i="1"/>
  <c r="Y47" i="1"/>
  <c r="Y7" i="1"/>
  <c r="W281" i="1"/>
  <c r="X281" i="1" s="1"/>
  <c r="Z281" i="1" s="1"/>
  <c r="W232" i="1"/>
  <c r="X232" i="1" s="1"/>
  <c r="Z232" i="1" s="1"/>
  <c r="W137" i="1"/>
  <c r="X137" i="1" s="1"/>
  <c r="Z137" i="1" s="1"/>
  <c r="W221" i="1"/>
  <c r="X221" i="1" s="1"/>
  <c r="Z221" i="1" s="1"/>
  <c r="Y221" i="1"/>
  <c r="X271" i="9"/>
  <c r="W271" i="9"/>
  <c r="Y271" i="9" s="1"/>
  <c r="W175" i="9"/>
  <c r="Y175" i="9" s="1"/>
  <c r="X175" i="9"/>
  <c r="W31" i="9"/>
  <c r="Y31" i="9" s="1"/>
  <c r="X31" i="9"/>
  <c r="W152" i="1"/>
  <c r="X152" i="1" s="1"/>
  <c r="Z152" i="1" s="1"/>
  <c r="W89" i="1"/>
  <c r="X89" i="1" s="1"/>
  <c r="Z89" i="1" s="1"/>
  <c r="Y272" i="1"/>
  <c r="Y206" i="1"/>
  <c r="Y168" i="1"/>
  <c r="Y63" i="1"/>
  <c r="W254" i="1"/>
  <c r="X254" i="1" s="1"/>
  <c r="Z254" i="1" s="1"/>
  <c r="W166" i="1"/>
  <c r="X166" i="1" s="1"/>
  <c r="Z166" i="1" s="1"/>
  <c r="W88" i="1"/>
  <c r="X88" i="1" s="1"/>
  <c r="Z88" i="1" s="1"/>
  <c r="Y255" i="1"/>
  <c r="Y215" i="1"/>
  <c r="Y136" i="1"/>
  <c r="Y39" i="1"/>
  <c r="Y23" i="1"/>
  <c r="W156" i="1"/>
  <c r="X156" i="1" s="1"/>
  <c r="Z156" i="1" s="1"/>
  <c r="Y156" i="1"/>
  <c r="W73" i="1"/>
  <c r="X73" i="1" s="1"/>
  <c r="Z73" i="1" s="1"/>
  <c r="Y73" i="1"/>
  <c r="W257" i="1"/>
  <c r="X257" i="1" s="1"/>
  <c r="Z257" i="1" s="1"/>
  <c r="W256" i="1"/>
  <c r="X256" i="1" s="1"/>
  <c r="Z256" i="1" s="1"/>
  <c r="W207" i="1"/>
  <c r="X207" i="1" s="1"/>
  <c r="Z207" i="1" s="1"/>
  <c r="Y287" i="1"/>
  <c r="Y169" i="1"/>
  <c r="W158" i="1"/>
  <c r="X158" i="1" s="1"/>
  <c r="Z158" i="1" s="1"/>
  <c r="Y158" i="1"/>
  <c r="W167" i="1"/>
  <c r="X167" i="1" s="1"/>
  <c r="Z167" i="1" s="1"/>
  <c r="Y241" i="1"/>
  <c r="Y216" i="1"/>
  <c r="W101" i="1"/>
  <c r="X101" i="1" s="1"/>
  <c r="Z101" i="1" s="1"/>
  <c r="Y101" i="1"/>
  <c r="W280" i="1"/>
  <c r="X280" i="1" s="1"/>
  <c r="Z280" i="1" s="1"/>
  <c r="W113" i="1"/>
  <c r="X113" i="1" s="1"/>
  <c r="Z113" i="1" s="1"/>
  <c r="W72" i="1"/>
  <c r="X72" i="1" s="1"/>
  <c r="Z72" i="1" s="1"/>
  <c r="Y201" i="1"/>
  <c r="Y62" i="1"/>
  <c r="W100" i="1"/>
  <c r="X100" i="1" s="1"/>
  <c r="Z100" i="1" s="1"/>
  <c r="Y100" i="1"/>
  <c r="W60" i="1"/>
  <c r="X60" i="1" s="1"/>
  <c r="Z60" i="1" s="1"/>
  <c r="Y60" i="1"/>
  <c r="W200" i="1"/>
  <c r="X200" i="1" s="1"/>
  <c r="Z200" i="1" s="1"/>
  <c r="W135" i="1"/>
  <c r="X135" i="1" s="1"/>
  <c r="Z135" i="1" s="1"/>
  <c r="W112" i="1"/>
  <c r="X112" i="1" s="1"/>
  <c r="Z112" i="1" s="1"/>
  <c r="W57" i="1"/>
  <c r="X57" i="1" s="1"/>
  <c r="Z57" i="1" s="1"/>
  <c r="Y239" i="1"/>
  <c r="Y165" i="1"/>
  <c r="Y111" i="1"/>
  <c r="X207" i="9"/>
  <c r="W179" i="1"/>
  <c r="X179" i="1" s="1"/>
  <c r="Z179" i="1" s="1"/>
  <c r="W51" i="1"/>
  <c r="X51" i="1" s="1"/>
  <c r="Z51" i="1" s="1"/>
  <c r="X147" i="9"/>
  <c r="W147" i="9"/>
  <c r="Y147" i="9" s="1"/>
  <c r="X107" i="9"/>
  <c r="W107" i="9"/>
  <c r="Y107" i="9" s="1"/>
  <c r="X99" i="9"/>
  <c r="W99" i="9"/>
  <c r="Y99" i="9" s="1"/>
  <c r="X91" i="9"/>
  <c r="W91" i="9"/>
  <c r="Y91" i="9" s="1"/>
  <c r="X27" i="9"/>
  <c r="W27" i="9"/>
  <c r="Y27" i="9" s="1"/>
  <c r="X204" i="9"/>
  <c r="W188" i="9"/>
  <c r="Y188" i="9" s="1"/>
  <c r="W124" i="9"/>
  <c r="Y124" i="9" s="1"/>
  <c r="W244" i="9"/>
  <c r="Y244" i="9" s="1"/>
  <c r="W52" i="9"/>
  <c r="Y52" i="9" s="1"/>
  <c r="W227" i="9"/>
  <c r="Y227" i="9" s="1"/>
  <c r="X227" i="9"/>
  <c r="X139" i="9"/>
  <c r="W139" i="9"/>
  <c r="Y139" i="9" s="1"/>
  <c r="X131" i="9"/>
  <c r="X155" i="9"/>
  <c r="X220" i="9"/>
  <c r="W260" i="9"/>
  <c r="Y260" i="9" s="1"/>
  <c r="W196" i="9"/>
  <c r="Y196" i="9" s="1"/>
  <c r="W132" i="9"/>
  <c r="Y132" i="9" s="1"/>
  <c r="X284" i="9"/>
  <c r="X212" i="9"/>
  <c r="X156" i="9"/>
  <c r="W140" i="9"/>
  <c r="Y140" i="9" s="1"/>
  <c r="W276" i="9"/>
  <c r="Y276" i="9" s="1"/>
  <c r="W148" i="9"/>
  <c r="Y148" i="9" s="1"/>
  <c r="W84" i="9"/>
  <c r="Y84" i="9" s="1"/>
  <c r="W180" i="9"/>
  <c r="Y180" i="9" s="1"/>
  <c r="X259" i="9"/>
  <c r="W259" i="9"/>
  <c r="Y259" i="9" s="1"/>
  <c r="X235" i="9"/>
  <c r="W235" i="9"/>
  <c r="Y235" i="9" s="1"/>
  <c r="W76" i="9"/>
  <c r="Y76" i="9" s="1"/>
  <c r="W12" i="9"/>
  <c r="Y12" i="9" s="1"/>
  <c r="X123" i="9"/>
  <c r="X179" i="9"/>
  <c r="X243" i="9"/>
  <c r="X251" i="9"/>
  <c r="W92" i="9"/>
  <c r="Y92" i="9" s="1"/>
  <c r="X163" i="9"/>
  <c r="W116" i="9"/>
  <c r="Y116" i="9" s="1"/>
  <c r="X195" i="9"/>
  <c r="W195" i="9"/>
  <c r="Y195" i="9" s="1"/>
  <c r="X164" i="9"/>
  <c r="X219" i="9"/>
  <c r="W252" i="9"/>
  <c r="Y252" i="9" s="1"/>
  <c r="X67" i="9"/>
  <c r="X171" i="9"/>
  <c r="X267" i="9"/>
  <c r="W228" i="9"/>
  <c r="Y228" i="9" s="1"/>
  <c r="W100" i="9"/>
  <c r="Y100" i="9" s="1"/>
  <c r="X21" i="9"/>
  <c r="W51" i="9"/>
  <c r="Y51" i="9" s="1"/>
  <c r="W77" i="9"/>
  <c r="Y77" i="9" s="1"/>
  <c r="X77" i="9"/>
  <c r="W80" i="9"/>
  <c r="Y80" i="9" s="1"/>
  <c r="W19" i="9"/>
  <c r="Y19" i="9" s="1"/>
  <c r="W32" i="9"/>
  <c r="Y32" i="9" s="1"/>
  <c r="X37" i="9"/>
  <c r="X60" i="9"/>
  <c r="W60" i="9"/>
  <c r="Y60" i="9" s="1"/>
  <c r="W93" i="9"/>
  <c r="Y93" i="9" s="1"/>
  <c r="X93" i="9"/>
  <c r="W96" i="9"/>
  <c r="Y96" i="9" s="1"/>
  <c r="W103" i="9"/>
  <c r="Y103" i="9" s="1"/>
  <c r="W110" i="9"/>
  <c r="Y110" i="9" s="1"/>
  <c r="X110" i="9"/>
  <c r="W126" i="9"/>
  <c r="Y126" i="9" s="1"/>
  <c r="X126" i="9"/>
  <c r="W135" i="9"/>
  <c r="Y135" i="9" s="1"/>
  <c r="X135" i="9"/>
  <c r="W69" i="9"/>
  <c r="Y69" i="9" s="1"/>
  <c r="X69" i="9"/>
  <c r="W35" i="9"/>
  <c r="Y35" i="9" s="1"/>
  <c r="X45" i="9"/>
  <c r="W119" i="9"/>
  <c r="Y119" i="9" s="1"/>
  <c r="X119" i="9"/>
  <c r="W128" i="9"/>
  <c r="Y128" i="9" s="1"/>
  <c r="X128" i="9"/>
  <c r="X17" i="9"/>
  <c r="W11" i="9"/>
  <c r="Y11" i="9" s="1"/>
  <c r="W64" i="9"/>
  <c r="Y64" i="9" s="1"/>
  <c r="W85" i="9"/>
  <c r="Y85" i="9" s="1"/>
  <c r="X85" i="9"/>
  <c r="W88" i="9"/>
  <c r="Y88" i="9" s="1"/>
  <c r="W105" i="9"/>
  <c r="Y105" i="9" s="1"/>
  <c r="X105" i="9"/>
  <c r="W5" i="9"/>
  <c r="Y5" i="9" s="1"/>
  <c r="X13" i="9"/>
  <c r="W20" i="9"/>
  <c r="Y20" i="9" s="1"/>
  <c r="W48" i="9"/>
  <c r="Y48" i="9" s="1"/>
  <c r="X61" i="9"/>
  <c r="X28" i="9"/>
  <c r="W43" i="9"/>
  <c r="Y43" i="9" s="1"/>
  <c r="X53" i="9"/>
  <c r="W56" i="9"/>
  <c r="Y56" i="9" s="1"/>
  <c r="W98" i="9"/>
  <c r="Y98" i="9" s="1"/>
  <c r="X98" i="9"/>
  <c r="W112" i="9"/>
  <c r="Y112" i="9" s="1"/>
  <c r="X121" i="9"/>
  <c r="X137" i="9"/>
  <c r="X144" i="9"/>
  <c r="X151" i="9"/>
  <c r="X153" i="9"/>
  <c r="X160" i="9"/>
  <c r="X167" i="9"/>
  <c r="X114" i="9"/>
  <c r="X130" i="9"/>
  <c r="X146" i="9"/>
  <c r="X162" i="9"/>
  <c r="W68" i="9"/>
  <c r="Y68" i="9" s="1"/>
  <c r="W111" i="9"/>
  <c r="Y111" i="9" s="1"/>
  <c r="W120" i="9"/>
  <c r="Y120" i="9" s="1"/>
  <c r="W127" i="9"/>
  <c r="Y127" i="9" s="1"/>
  <c r="W136" i="9"/>
  <c r="Y136" i="9" s="1"/>
  <c r="W143" i="9"/>
  <c r="Y143" i="9" s="1"/>
  <c r="W152" i="9"/>
  <c r="Y152" i="9" s="1"/>
  <c r="W168" i="9"/>
  <c r="Y168" i="9" s="1"/>
  <c r="X102" i="9"/>
  <c r="X118" i="9"/>
  <c r="X134" i="9"/>
  <c r="X150" i="9"/>
  <c r="X166" i="9"/>
  <c r="X142" i="9"/>
  <c r="X158" i="9"/>
  <c r="X176" i="9"/>
  <c r="X173" i="9"/>
  <c r="W183" i="9"/>
  <c r="Y183" i="9" s="1"/>
  <c r="W191" i="9"/>
  <c r="Y191" i="9" s="1"/>
  <c r="W199" i="9"/>
  <c r="Y199" i="9" s="1"/>
  <c r="W207" i="9"/>
  <c r="Y207" i="9" s="1"/>
  <c r="W223" i="9"/>
  <c r="Y223" i="9" s="1"/>
  <c r="W231" i="9"/>
  <c r="Y231" i="9" s="1"/>
  <c r="W239" i="9"/>
  <c r="Y239" i="9" s="1"/>
  <c r="W263" i="9"/>
  <c r="Y263" i="9" s="1"/>
  <c r="W172" i="9"/>
  <c r="Y172" i="9" s="1"/>
  <c r="W284" i="9"/>
  <c r="Y284" i="9" s="1"/>
  <c r="W174" i="9"/>
  <c r="Y174" i="9" s="1"/>
  <c r="W283" i="9"/>
  <c r="Y283" i="9" s="1"/>
  <c r="W253" i="1"/>
  <c r="X253" i="1" s="1"/>
  <c r="Z253" i="1" s="1"/>
  <c r="W293" i="1"/>
  <c r="X293" i="1" s="1"/>
  <c r="Z293" i="1" s="1"/>
  <c r="W189" i="1"/>
  <c r="X189" i="1" s="1"/>
  <c r="Z189" i="1" s="1"/>
  <c r="Y229" i="1"/>
  <c r="Y69" i="1"/>
  <c r="L4" i="8"/>
  <c r="W220" i="1"/>
  <c r="X220" i="1" s="1"/>
  <c r="Z220" i="1" s="1"/>
  <c r="W292" i="1"/>
  <c r="X292" i="1" s="1"/>
  <c r="Z292" i="1" s="1"/>
  <c r="W261" i="1"/>
  <c r="X261" i="1" s="1"/>
  <c r="Z261" i="1" s="1"/>
  <c r="Y237" i="1"/>
  <c r="Y172" i="1"/>
  <c r="Y108" i="1"/>
  <c r="Y68" i="1"/>
  <c r="W269" i="1"/>
  <c r="X269" i="1" s="1"/>
  <c r="Z269" i="1" s="1"/>
  <c r="W259" i="1"/>
  <c r="X259" i="1" s="1"/>
  <c r="Z259" i="1" s="1"/>
  <c r="W205" i="1"/>
  <c r="X205" i="1" s="1"/>
  <c r="Z205" i="1" s="1"/>
  <c r="W141" i="1"/>
  <c r="X141" i="1" s="1"/>
  <c r="Z141" i="1" s="1"/>
  <c r="W67" i="1"/>
  <c r="X67" i="1" s="1"/>
  <c r="Z67" i="1" s="1"/>
  <c r="W13" i="1"/>
  <c r="X13" i="1" s="1"/>
  <c r="Z13" i="1" s="1"/>
  <c r="W277" i="1"/>
  <c r="X277" i="1" s="1"/>
  <c r="Z277" i="1" s="1"/>
  <c r="W213" i="1"/>
  <c r="X213" i="1" s="1"/>
  <c r="Z213" i="1" s="1"/>
  <c r="W149" i="1"/>
  <c r="X149" i="1" s="1"/>
  <c r="Z149" i="1" s="1"/>
  <c r="Y124" i="1"/>
  <c r="W285" i="1"/>
  <c r="X285" i="1" s="1"/>
  <c r="Z285" i="1" s="1"/>
  <c r="W275" i="1"/>
  <c r="X275" i="1" s="1"/>
  <c r="Z275" i="1" s="1"/>
  <c r="W211" i="1"/>
  <c r="X211" i="1" s="1"/>
  <c r="Z211" i="1" s="1"/>
  <c r="W157" i="1"/>
  <c r="X157" i="1" s="1"/>
  <c r="Z157" i="1" s="1"/>
  <c r="W93" i="1"/>
  <c r="X93" i="1" s="1"/>
  <c r="Z93" i="1" s="1"/>
  <c r="W83" i="1"/>
  <c r="X83" i="1" s="1"/>
  <c r="Z83" i="1" s="1"/>
  <c r="W29" i="1"/>
  <c r="X29" i="1" s="1"/>
  <c r="Z29" i="1" s="1"/>
  <c r="W19" i="1"/>
  <c r="X19" i="1" s="1"/>
  <c r="Z19" i="1" s="1"/>
  <c r="Y252" i="1"/>
  <c r="Y196" i="1"/>
  <c r="Y132" i="1"/>
  <c r="Y85" i="1"/>
  <c r="Y21" i="1"/>
  <c r="W125" i="1"/>
  <c r="X125" i="1" s="1"/>
  <c r="Z125" i="1" s="1"/>
  <c r="W61" i="1"/>
  <c r="X61" i="1" s="1"/>
  <c r="Z61" i="1" s="1"/>
  <c r="Y173" i="1"/>
  <c r="Y37" i="1"/>
  <c r="W197" i="1"/>
  <c r="X197" i="1" s="1"/>
  <c r="Z197" i="1" s="1"/>
  <c r="W291" i="1"/>
  <c r="X291" i="1" s="1"/>
  <c r="Z291" i="1" s="1"/>
  <c r="W195" i="1"/>
  <c r="X195" i="1" s="1"/>
  <c r="Z195" i="1" s="1"/>
  <c r="W131" i="1"/>
  <c r="X131" i="1" s="1"/>
  <c r="Z131" i="1" s="1"/>
  <c r="Y236" i="1"/>
  <c r="Y180" i="1"/>
  <c r="W267" i="1"/>
  <c r="X267" i="1" s="1"/>
  <c r="Z267" i="1" s="1"/>
  <c r="W139" i="1"/>
  <c r="X139" i="1" s="1"/>
  <c r="Z139" i="1" s="1"/>
  <c r="Y76" i="1"/>
  <c r="Y44" i="1"/>
  <c r="W283" i="1"/>
  <c r="X283" i="1" s="1"/>
  <c r="Z283" i="1" s="1"/>
  <c r="W219" i="1"/>
  <c r="X219" i="1" s="1"/>
  <c r="Z219" i="1" s="1"/>
  <c r="W91" i="1"/>
  <c r="X91" i="1" s="1"/>
  <c r="Z91" i="1" s="1"/>
  <c r="W27" i="1"/>
  <c r="X27" i="1" s="1"/>
  <c r="Z27" i="1" s="1"/>
  <c r="Y260" i="1"/>
  <c r="Y140" i="1"/>
  <c r="Y84" i="1"/>
  <c r="Y52" i="1"/>
  <c r="Y20" i="1"/>
  <c r="W295" i="1"/>
  <c r="X295" i="1" s="1"/>
  <c r="Z295" i="1" s="1"/>
  <c r="Y295" i="1"/>
  <c r="Y109" i="1"/>
  <c r="Y204" i="1"/>
  <c r="W204" i="1"/>
  <c r="X204" i="1" s="1"/>
  <c r="Z204" i="1" s="1"/>
  <c r="W133" i="1"/>
  <c r="X133" i="1" s="1"/>
  <c r="Z133" i="1" s="1"/>
  <c r="Y228" i="1"/>
  <c r="W77" i="1"/>
  <c r="X77" i="1" s="1"/>
  <c r="Z77" i="1" s="1"/>
  <c r="Y116" i="1"/>
  <c r="Y45" i="1"/>
  <c r="W203" i="1"/>
  <c r="X203" i="1" s="1"/>
  <c r="Z203" i="1" s="1"/>
  <c r="W75" i="1"/>
  <c r="X75" i="1" s="1"/>
  <c r="Z75" i="1" s="1"/>
  <c r="Y244" i="1"/>
  <c r="Y188" i="1"/>
  <c r="Y12" i="1"/>
  <c r="W227" i="1"/>
  <c r="X227" i="1" s="1"/>
  <c r="Z227" i="1" s="1"/>
  <c r="W35" i="1"/>
  <c r="X35" i="1" s="1"/>
  <c r="Z35" i="1" s="1"/>
  <c r="Y268" i="1"/>
  <c r="Y148" i="1"/>
  <c r="Y286" i="1"/>
  <c r="Y285" i="1"/>
  <c r="W289" i="1"/>
  <c r="X289" i="1" s="1"/>
  <c r="Z289" i="1" s="1"/>
  <c r="W5" i="1"/>
  <c r="Y5" i="1"/>
  <c r="V297" i="1"/>
  <c r="X215" i="1"/>
  <c r="Z215" i="1" s="1"/>
  <c r="X212" i="1"/>
  <c r="Z212" i="1" s="1"/>
  <c r="X210" i="1"/>
  <c r="Z210" i="1" s="1"/>
  <c r="F5" i="5"/>
  <c r="T123" i="4"/>
  <c r="S123" i="4"/>
  <c r="R123" i="4"/>
  <c r="F12" i="8" s="1"/>
  <c r="Q123" i="4"/>
  <c r="F11" i="8" s="1"/>
  <c r="P123" i="4"/>
  <c r="F10" i="8" s="1"/>
  <c r="N123" i="4"/>
  <c r="F8" i="8" s="1"/>
  <c r="M123" i="4"/>
  <c r="F7" i="8" s="1"/>
  <c r="L123" i="4"/>
  <c r="F6" i="8" s="1"/>
  <c r="K123" i="4"/>
  <c r="F5" i="8" s="1"/>
  <c r="H123" i="4"/>
  <c r="F4" i="5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X206" i="1"/>
  <c r="Z206" i="1" s="1"/>
  <c r="X201" i="1"/>
  <c r="Z201" i="1" s="1"/>
  <c r="X199" i="1"/>
  <c r="Z199" i="1" s="1"/>
  <c r="X198" i="1"/>
  <c r="Z198" i="1" s="1"/>
  <c r="X196" i="1"/>
  <c r="Z196" i="1" s="1"/>
  <c r="X194" i="1"/>
  <c r="Z194" i="1" s="1"/>
  <c r="X192" i="1"/>
  <c r="Z192" i="1" s="1"/>
  <c r="X191" i="1"/>
  <c r="Z191" i="1" s="1"/>
  <c r="X190" i="1"/>
  <c r="Z190" i="1" s="1"/>
  <c r="X188" i="1"/>
  <c r="Z188" i="1" s="1"/>
  <c r="X186" i="1"/>
  <c r="Z186" i="1" s="1"/>
  <c r="X180" i="1"/>
  <c r="Z180" i="1" s="1"/>
  <c r="X177" i="1"/>
  <c r="Z177" i="1" s="1"/>
  <c r="X175" i="1"/>
  <c r="Z175" i="1" s="1"/>
  <c r="X173" i="1"/>
  <c r="Z173" i="1" s="1"/>
  <c r="X172" i="1"/>
  <c r="Z172" i="1" s="1"/>
  <c r="X171" i="1"/>
  <c r="Z171" i="1" s="1"/>
  <c r="X170" i="1"/>
  <c r="Z170" i="1" s="1"/>
  <c r="X169" i="1"/>
  <c r="Z169" i="1" s="1"/>
  <c r="X168" i="1"/>
  <c r="Z168" i="1" s="1"/>
  <c r="X165" i="1"/>
  <c r="Z165" i="1" s="1"/>
  <c r="X164" i="1"/>
  <c r="Z164" i="1" s="1"/>
  <c r="X163" i="1"/>
  <c r="Z163" i="1" s="1"/>
  <c r="X151" i="1"/>
  <c r="Z151" i="1" s="1"/>
  <c r="X150" i="1"/>
  <c r="Z150" i="1" s="1"/>
  <c r="X148" i="1"/>
  <c r="Z148" i="1" s="1"/>
  <c r="X140" i="1"/>
  <c r="Z140" i="1" s="1"/>
  <c r="X136" i="1"/>
  <c r="Z136" i="1" s="1"/>
  <c r="X134" i="1"/>
  <c r="Z134" i="1" s="1"/>
  <c r="X132" i="1"/>
  <c r="Z132" i="1" s="1"/>
  <c r="X127" i="1"/>
  <c r="Z127" i="1" s="1"/>
  <c r="X124" i="1"/>
  <c r="Z124" i="1" s="1"/>
  <c r="X122" i="1"/>
  <c r="Z122" i="1" s="1"/>
  <c r="X121" i="1"/>
  <c r="Z121" i="1" s="1"/>
  <c r="X120" i="1"/>
  <c r="Z120" i="1" s="1"/>
  <c r="X116" i="1"/>
  <c r="Z116" i="1" s="1"/>
  <c r="X111" i="1"/>
  <c r="Z111" i="1" s="1"/>
  <c r="X109" i="1"/>
  <c r="Z109" i="1" s="1"/>
  <c r="X108" i="1"/>
  <c r="Z108" i="1" s="1"/>
  <c r="X106" i="1"/>
  <c r="Z106" i="1" s="1"/>
  <c r="X105" i="1"/>
  <c r="Z105" i="1" s="1"/>
  <c r="X94" i="1"/>
  <c r="Z94" i="1" s="1"/>
  <c r="X90" i="1"/>
  <c r="Z90" i="1" s="1"/>
  <c r="X87" i="1"/>
  <c r="Z87" i="1" s="1"/>
  <c r="X86" i="1"/>
  <c r="Z86" i="1" s="1"/>
  <c r="X85" i="1"/>
  <c r="Z85" i="1" s="1"/>
  <c r="X84" i="1"/>
  <c r="Z84" i="1" s="1"/>
  <c r="X81" i="1"/>
  <c r="Z81" i="1" s="1"/>
  <c r="X80" i="1"/>
  <c r="Z80" i="1" s="1"/>
  <c r="X76" i="1"/>
  <c r="Z76" i="1" s="1"/>
  <c r="X74" i="1"/>
  <c r="Z74" i="1" s="1"/>
  <c r="X70" i="1"/>
  <c r="Z70" i="1" s="1"/>
  <c r="X69" i="1"/>
  <c r="Z69" i="1" s="1"/>
  <c r="X68" i="1"/>
  <c r="Z68" i="1" s="1"/>
  <c r="X66" i="1"/>
  <c r="Z66" i="1" s="1"/>
  <c r="X63" i="1"/>
  <c r="Z63" i="1" s="1"/>
  <c r="X62" i="1"/>
  <c r="Z62" i="1" s="1"/>
  <c r="X58" i="1"/>
  <c r="Z58" i="1" s="1"/>
  <c r="X56" i="1"/>
  <c r="Z56" i="1" s="1"/>
  <c r="X53" i="1"/>
  <c r="Z53" i="1" s="1"/>
  <c r="X52" i="1"/>
  <c r="Z52" i="1" s="1"/>
  <c r="X49" i="1"/>
  <c r="Z49" i="1" s="1"/>
  <c r="X48" i="1"/>
  <c r="Z48" i="1" s="1"/>
  <c r="X47" i="1"/>
  <c r="Z47" i="1" s="1"/>
  <c r="X45" i="1"/>
  <c r="Z45" i="1" s="1"/>
  <c r="X44" i="1"/>
  <c r="Z44" i="1" s="1"/>
  <c r="X39" i="1"/>
  <c r="Z39" i="1" s="1"/>
  <c r="X37" i="1"/>
  <c r="Z37" i="1" s="1"/>
  <c r="X34" i="1"/>
  <c r="Z34" i="1" s="1"/>
  <c r="X32" i="1"/>
  <c r="Z32" i="1" s="1"/>
  <c r="X31" i="1"/>
  <c r="Z31" i="1" s="1"/>
  <c r="X28" i="1"/>
  <c r="Z28" i="1" s="1"/>
  <c r="X24" i="1"/>
  <c r="Z24" i="1" s="1"/>
  <c r="X23" i="1"/>
  <c r="Z23" i="1" s="1"/>
  <c r="X21" i="1"/>
  <c r="Z21" i="1" s="1"/>
  <c r="X20" i="1"/>
  <c r="Z20" i="1" s="1"/>
  <c r="X12" i="1"/>
  <c r="Z12" i="1" s="1"/>
  <c r="X10" i="1"/>
  <c r="Z10" i="1" s="1"/>
  <c r="X9" i="1"/>
  <c r="Z9" i="1" s="1"/>
  <c r="X8" i="1"/>
  <c r="Z8" i="1" s="1"/>
  <c r="X7" i="1"/>
  <c r="Z7" i="1" s="1"/>
  <c r="X6" i="1"/>
  <c r="Z6" i="1" s="1"/>
  <c r="X5" i="1" l="1"/>
  <c r="Z5" i="1" s="1"/>
  <c r="F17" i="5"/>
  <c r="F4" i="8" s="1"/>
  <c r="O123" i="4"/>
  <c r="F9" i="8" s="1"/>
  <c r="B12" i="5"/>
  <c r="B11" i="5"/>
  <c r="B10" i="5"/>
  <c r="B8" i="5"/>
  <c r="B7" i="5"/>
  <c r="B6" i="5"/>
  <c r="F17" i="8" l="1"/>
  <c r="B14" i="5"/>
  <c r="B13" i="5"/>
  <c r="C5" i="5"/>
  <c r="B5" i="5"/>
  <c r="B9" i="5"/>
  <c r="X42" i="1"/>
  <c r="Z42" i="1" s="1"/>
  <c r="B17" i="5" l="1"/>
  <c r="B18" i="5" l="1"/>
  <c r="B4" i="8"/>
  <c r="B17" i="8" s="1"/>
  <c r="B18" i="8" s="1"/>
</calcChain>
</file>

<file path=xl/sharedStrings.xml><?xml version="1.0" encoding="utf-8"?>
<sst xmlns="http://schemas.openxmlformats.org/spreadsheetml/2006/main" count="4096" uniqueCount="805">
  <si>
    <t>NO.</t>
  </si>
  <si>
    <t>NOMBRES</t>
  </si>
  <si>
    <t>No. Cuotas</t>
  </si>
  <si>
    <t>FORMA</t>
  </si>
  <si>
    <t>BCOL AHO</t>
  </si>
  <si>
    <t>EFECTIVO</t>
  </si>
  <si>
    <t>BCOL AHO-EF</t>
  </si>
  <si>
    <t>TRANSF.</t>
  </si>
  <si>
    <t>BCOL AHO 2</t>
  </si>
  <si>
    <t>EFECTIVO-BCOL AHO</t>
  </si>
  <si>
    <t>TRASLADO</t>
  </si>
  <si>
    <t>BCOL ALHO</t>
  </si>
  <si>
    <t>BCOL CTE</t>
  </si>
  <si>
    <t>No Registra</t>
  </si>
  <si>
    <t>ABNER GONZALEZ</t>
  </si>
  <si>
    <t>BENITO HERRRA</t>
  </si>
  <si>
    <t>CARLOS  PALMA</t>
  </si>
  <si>
    <t>CARLOS  CARRASCO</t>
  </si>
  <si>
    <t>CESAR  VERA</t>
  </si>
  <si>
    <t>DANIEL  VARGAS</t>
  </si>
  <si>
    <t>DAVID MIRANDA</t>
  </si>
  <si>
    <t>EUSEBIO MONTES</t>
  </si>
  <si>
    <t>FLOR  SALAMANCA</t>
  </si>
  <si>
    <t>FREIMAN JAIMES</t>
  </si>
  <si>
    <t>JUAN C. MORENO</t>
  </si>
  <si>
    <t>JULIAN  CADAVID</t>
  </si>
  <si>
    <t>JULIO SANCHEZ</t>
  </si>
  <si>
    <t>LILIANA RIVAS</t>
  </si>
  <si>
    <t>MAXIMILIANO PINZON</t>
  </si>
  <si>
    <t>PAULO  DUCHESNE</t>
  </si>
  <si>
    <t xml:space="preserve">RAUL </t>
  </si>
  <si>
    <t>UBALDO OCHOA</t>
  </si>
  <si>
    <t>VICTOR PEÑA</t>
  </si>
  <si>
    <t>MARIA FERNANDA NIETO</t>
  </si>
  <si>
    <t>INDIRA  ESTRADA</t>
  </si>
  <si>
    <t>JAMES GAMBOA</t>
  </si>
  <si>
    <t>LUIS A.  ACOSTA</t>
  </si>
  <si>
    <t>JHON  ROJAS</t>
  </si>
  <si>
    <t>JULIO LONDOÑO</t>
  </si>
  <si>
    <t>ORLANDO  TOVAR</t>
  </si>
  <si>
    <t>ESTEBAN ISAZA MUÑOZ</t>
  </si>
  <si>
    <t>ISABEL TORRIJAS</t>
  </si>
  <si>
    <t>ERICA PLATA</t>
  </si>
  <si>
    <t>LAUREANO HERNANDEZ</t>
  </si>
  <si>
    <t>EDDWARD  GARCIA</t>
  </si>
  <si>
    <t>JUAN  VALENCIA</t>
  </si>
  <si>
    <t xml:space="preserve">IG. EN CARTAGO </t>
  </si>
  <si>
    <t xml:space="preserve">IG. EN MALAMBO </t>
  </si>
  <si>
    <t>JOSE GONZALEZ</t>
  </si>
  <si>
    <t>ZEIDI PANNESO</t>
  </si>
  <si>
    <t xml:space="preserve">APOYO CEPPEV </t>
  </si>
  <si>
    <t>JULIO CESAR ROJAS NAVARRETE</t>
  </si>
  <si>
    <t>JOSE ENRIQUE ARIAS PEREZ</t>
  </si>
  <si>
    <t>FLOR  ACUÑA</t>
  </si>
  <si>
    <t xml:space="preserve">IG. EN GIRARDOT </t>
  </si>
  <si>
    <t>JUAN SEBASTIAN  MONTES PINZON</t>
  </si>
  <si>
    <t xml:space="preserve">YENNI ANDREA ISAZA ARIAS </t>
  </si>
  <si>
    <t>MARTHA  MARULANDA</t>
  </si>
  <si>
    <t>HUMBERTO  OSPINO</t>
  </si>
  <si>
    <t>LIZETH RODRIGUEZ</t>
  </si>
  <si>
    <t>MERY CAMPO CABALLERO</t>
  </si>
  <si>
    <t xml:space="preserve">IG. EN ITAGUI </t>
  </si>
  <si>
    <t xml:space="preserve">IG. EN  PTO. COLOMBIA </t>
  </si>
  <si>
    <t xml:space="preserve">IG. EN SINCELEJO </t>
  </si>
  <si>
    <t xml:space="preserve">DEUDA COLPORTAJE </t>
  </si>
  <si>
    <t xml:space="preserve">ARRIENDO CASA PAC </t>
  </si>
  <si>
    <t>VIVIANA ORTIZ GONZALEZ</t>
  </si>
  <si>
    <t>JEAN CARLOS BLANCO</t>
  </si>
  <si>
    <t>JOSE ELBERT GARZON</t>
  </si>
  <si>
    <t xml:space="preserve">IG. EN BARRANQUILLA </t>
  </si>
  <si>
    <t xml:space="preserve">PAGO DEUDA ARRIENDO PAC </t>
  </si>
  <si>
    <t>BRAYER ALEXIS QUINTERO FERNANDEZ</t>
  </si>
  <si>
    <t>ESTHER TORRES</t>
  </si>
  <si>
    <t>JUAN GUILLERMO  MUÑOZ GIRARDOTA</t>
  </si>
  <si>
    <t>DAVID MAESTRE</t>
  </si>
  <si>
    <t xml:space="preserve">IG. EN OCAÑA </t>
  </si>
  <si>
    <t>ERMILGEN  RIAÑO</t>
  </si>
  <si>
    <t xml:space="preserve">IG. EN DOSQUEBRADAS </t>
  </si>
  <si>
    <t>JORGE RODRIGUEZ</t>
  </si>
  <si>
    <t xml:space="preserve">IG. EN EL D.C. </t>
  </si>
  <si>
    <t>JORGE LUIS BARRIOS</t>
  </si>
  <si>
    <t>JUAN PABLO OLIVELLA</t>
  </si>
  <si>
    <t xml:space="preserve">IG. EN SUAN </t>
  </si>
  <si>
    <t>JAVIER BLOOM</t>
  </si>
  <si>
    <t>GUILLERMO MONSALVE</t>
  </si>
  <si>
    <t>RAQUEL LIZANDRA NAVAS</t>
  </si>
  <si>
    <t>HERMES PATIÑO</t>
  </si>
  <si>
    <t>MARIO RENE SANCHEZ</t>
  </si>
  <si>
    <t>ANA  MISAD</t>
  </si>
  <si>
    <t>PAC LUIS MIGUEL NARANJO</t>
  </si>
  <si>
    <t xml:space="preserve">IG. EN LA MINA </t>
  </si>
  <si>
    <t>ANDRES CASTRILLON "GIRARDOTA"</t>
  </si>
  <si>
    <t>BIBIANA MONTOYA RODAS</t>
  </si>
  <si>
    <t xml:space="preserve">APOYO CASA PAC </t>
  </si>
  <si>
    <t>IG. EN BAYUNCA JAVIER MIRANDA</t>
  </si>
  <si>
    <t xml:space="preserve">IG. EN TURBACO </t>
  </si>
  <si>
    <t>GISEL DANIELA GUTIERREZ MURILLO</t>
  </si>
  <si>
    <t xml:space="preserve">JHOJAS QUINTERO </t>
  </si>
  <si>
    <t>ANA MARIA PORTILLA CLAROS</t>
  </si>
  <si>
    <t xml:space="preserve">VIATICOS CUBA </t>
  </si>
  <si>
    <t xml:space="preserve">JOEL  ARIAS </t>
  </si>
  <si>
    <t>ANA CORTES</t>
  </si>
  <si>
    <t>FRANCISCO VILLAMIL</t>
  </si>
  <si>
    <t>DANIELA CASTO</t>
  </si>
  <si>
    <t xml:space="preserve">OBRA COSTA RICA </t>
  </si>
  <si>
    <t>MARQUEZA PAJARO</t>
  </si>
  <si>
    <t>CARLOS ANDRES COCUY</t>
  </si>
  <si>
    <t>SEBASTIAN NIETO</t>
  </si>
  <si>
    <t xml:space="preserve">IG. EN RIVERA </t>
  </si>
  <si>
    <t xml:space="preserve">APOYO PERU PAC </t>
  </si>
  <si>
    <t>STHEPANIE DIDUEÑAS</t>
  </si>
  <si>
    <t>CAROLINA QUIROGA</t>
  </si>
  <si>
    <t>JUAN PABLO OLIVELLA (HNO. DONG)</t>
  </si>
  <si>
    <t xml:space="preserve">VIATICOS JONES </t>
  </si>
  <si>
    <t>TIPO DE MOVIMIENTO</t>
  </si>
  <si>
    <t>DEBITO</t>
  </si>
  <si>
    <t>CREDITO</t>
  </si>
  <si>
    <t>LOCALIDAD</t>
  </si>
  <si>
    <t>ENERO</t>
  </si>
  <si>
    <t>FEBRERO</t>
  </si>
  <si>
    <t>MARZO</t>
  </si>
  <si>
    <t xml:space="preserve">ABRIL </t>
  </si>
  <si>
    <t xml:space="preserve">IG. EN GIRARDOTA </t>
  </si>
  <si>
    <t xml:space="preserve">IG. EN ITSMINA </t>
  </si>
  <si>
    <t xml:space="preserve">IG. EN NEIVA </t>
  </si>
  <si>
    <t xml:space="preserve">IG. EN PEREIRA </t>
  </si>
  <si>
    <t xml:space="preserve">IG. EN QUIBDO </t>
  </si>
  <si>
    <t xml:space="preserve">IG. EN SOLEDAD </t>
  </si>
  <si>
    <t xml:space="preserve">IG. EN UBATE </t>
  </si>
  <si>
    <t xml:space="preserve">IG. EN VALLEDUPAR </t>
  </si>
  <si>
    <t xml:space="preserve">IG. EN CORDOBA </t>
  </si>
  <si>
    <t>IG. EN CUCUTA GUSTAVO LEON</t>
  </si>
  <si>
    <t>JUAN MINA</t>
  </si>
  <si>
    <t>CLAUDIA ARCINIEGAS</t>
  </si>
  <si>
    <t>JORGE GOMEZ</t>
  </si>
  <si>
    <t>OFRENDA A JONES COSTA</t>
  </si>
  <si>
    <t>WILLIAM ROJAS GIRALDO</t>
  </si>
  <si>
    <t>JULIAN FRANCO IG. B/MANGA</t>
  </si>
  <si>
    <t>JOHAN GOMEZ ZAPATA</t>
  </si>
  <si>
    <t>CARLIS MICHELE PEREZ  CANO</t>
  </si>
  <si>
    <t>NIDIA CORTES</t>
  </si>
  <si>
    <t>IG. EN VILLAVICENCIO</t>
  </si>
  <si>
    <t>LUIS BERNARDO LLANO</t>
  </si>
  <si>
    <t>LUDY ROJAS SANTIESTEBAN</t>
  </si>
  <si>
    <t>VIATICOS EUROPA DAVID MAESTRE</t>
  </si>
  <si>
    <t>IG. EN RIOHACHA</t>
  </si>
  <si>
    <t>COMPRA CELULAR</t>
  </si>
  <si>
    <t>ROBERTO QUERALES</t>
  </si>
  <si>
    <t>YENNI LONDOÑO CHAVERRA</t>
  </si>
  <si>
    <t>LAURA LIZARASO</t>
  </si>
  <si>
    <t>MIRIAM CORTES</t>
  </si>
  <si>
    <t>YAMID CASTAÑO</t>
  </si>
  <si>
    <t>SNEIDER TIRADO</t>
  </si>
  <si>
    <t>ENVIO EAV</t>
  </si>
  <si>
    <t>RODOLFO PEÑA</t>
  </si>
  <si>
    <t>YESENIA RODRIGUEZ BAYUNCA</t>
  </si>
  <si>
    <t>PAOLA GUTIERREZ</t>
  </si>
  <si>
    <t>Bogotá</t>
  </si>
  <si>
    <t>Tulua</t>
  </si>
  <si>
    <t>Barranquilla</t>
  </si>
  <si>
    <t>Bolivar</t>
  </si>
  <si>
    <t>IG. EN BUCARAMANGA</t>
  </si>
  <si>
    <t>Cartago</t>
  </si>
  <si>
    <t>Dosquebradas</t>
  </si>
  <si>
    <t>Itagui</t>
  </si>
  <si>
    <t>La mina</t>
  </si>
  <si>
    <t>Malambo</t>
  </si>
  <si>
    <t>Monteria</t>
  </si>
  <si>
    <t>Ocaña</t>
  </si>
  <si>
    <t>Rivera</t>
  </si>
  <si>
    <t>Sincelejo</t>
  </si>
  <si>
    <t>Sta marta</t>
  </si>
  <si>
    <t>Suan</t>
  </si>
  <si>
    <t>Turbaco</t>
  </si>
  <si>
    <t>Itsmina</t>
  </si>
  <si>
    <t>Neiva</t>
  </si>
  <si>
    <t>Pereira</t>
  </si>
  <si>
    <t>Soledad</t>
  </si>
  <si>
    <t>Ubate</t>
  </si>
  <si>
    <t>Valledupar</t>
  </si>
  <si>
    <t>Cordoba</t>
  </si>
  <si>
    <t>Villavicencio</t>
  </si>
  <si>
    <t>Riohacha</t>
  </si>
  <si>
    <t>Bayunca</t>
  </si>
  <si>
    <t>WENDYS TEHERAN RIVERA</t>
  </si>
  <si>
    <t>MAYO</t>
  </si>
  <si>
    <t>APOYO HNOS. EN BRASIL</t>
  </si>
  <si>
    <t>MILDRED DOMINGUEZ MUÑOZ</t>
  </si>
  <si>
    <t>ANDRES MORENO</t>
  </si>
  <si>
    <t>LORLEIVIS ARRIAGA</t>
  </si>
  <si>
    <t>ALBA MARINA ROMERO</t>
  </si>
  <si>
    <t>JOHANA SANTIESTEBAN</t>
  </si>
  <si>
    <t>MARIA FERNANDA VARGAS MUEGUES</t>
  </si>
  <si>
    <t>ANONIMO</t>
  </si>
  <si>
    <t>HERIBERTO ALBORNOZ</t>
  </si>
  <si>
    <t>ROGELIO ANDRES ZULUAGA</t>
  </si>
  <si>
    <t>JUNIO</t>
  </si>
  <si>
    <t>ALEJANDRA LEAL</t>
  </si>
  <si>
    <t>URIEL CRUZ</t>
  </si>
  <si>
    <t>BLANCA SARMIENTO</t>
  </si>
  <si>
    <t>VIATICOS EAV DE RESERVA PEDRO D</t>
  </si>
  <si>
    <t>MARIA ESPERANZA RODRIGUEZ</t>
  </si>
  <si>
    <t>GASTOS IVPT</t>
  </si>
  <si>
    <t>KEINI LORENA CAMPO</t>
  </si>
  <si>
    <t>NO. IDENTIFICACION</t>
  </si>
  <si>
    <t>NO. CELULAR</t>
  </si>
  <si>
    <t>ENTREGA A DAVID MAESTRE PANAMA</t>
  </si>
  <si>
    <t>SALDO A DIC2024</t>
  </si>
  <si>
    <t>ENTREGA A DAVID M RESERVA PEDRO</t>
  </si>
  <si>
    <t xml:space="preserve">ENTREGA RESERVA PEDRO DONG </t>
  </si>
  <si>
    <t>IG. EN ARMENIA</t>
  </si>
  <si>
    <t>IG. EN CARTAGENA</t>
  </si>
  <si>
    <t xml:space="preserve">IG. EN LOS PATIOS </t>
  </si>
  <si>
    <t>IG. EN MONTERIA y STA LUCIA</t>
  </si>
  <si>
    <t>ANGIE FINO</t>
  </si>
  <si>
    <t>IG. EN VILLA DEL ROSARIO</t>
  </si>
  <si>
    <t>Villa del Rosario</t>
  </si>
  <si>
    <t>Pamplona</t>
  </si>
  <si>
    <t>JAMES SANCHEZ HURTADO</t>
  </si>
  <si>
    <t>ANGEL DAVID MURILLO CUESTA</t>
  </si>
  <si>
    <t>CLAUDIA PERDOMO</t>
  </si>
  <si>
    <t>ENRIQUE GARZON</t>
  </si>
  <si>
    <t>JULIO</t>
  </si>
  <si>
    <t>IG. EN MEDELLIN</t>
  </si>
  <si>
    <t>APOYO CENA CEPPEV</t>
  </si>
  <si>
    <t>APOYO PAC PANAMA</t>
  </si>
  <si>
    <t>ENTREGA DAVID MIRANDA RESERVA PD</t>
  </si>
  <si>
    <t>ESMERALDA BELISA RAMIREZ</t>
  </si>
  <si>
    <t>ONNY SORET COSIO</t>
  </si>
  <si>
    <t>LIDIA GONZALEZ</t>
  </si>
  <si>
    <t>SINCELEJO</t>
  </si>
  <si>
    <t>YEISON ROJAS CORDOBA</t>
  </si>
  <si>
    <t>SANTIAGO BOTERO</t>
  </si>
  <si>
    <t>JHON JAIRO PEREZ</t>
  </si>
  <si>
    <t>JOHANA RODRIGUEZ MENDEZ</t>
  </si>
  <si>
    <t xml:space="preserve">NEYLA RODRIGUEZ MENDEZ </t>
  </si>
  <si>
    <t>ALEXANDRA RODRIGUEZ MENDEZ</t>
  </si>
  <si>
    <t>Armenia</t>
  </si>
  <si>
    <t>LUIS CARLOS AVELLANEDA ROA</t>
  </si>
  <si>
    <t>LOS PATIOS</t>
  </si>
  <si>
    <t>IG. EN VIOTA</t>
  </si>
  <si>
    <t>JOHAN DAVID DELGADO PINZON</t>
  </si>
  <si>
    <t>CONSUELO CABRERA</t>
  </si>
  <si>
    <t xml:space="preserve">OFRENDA JORGE LUIS BARRIOS </t>
  </si>
  <si>
    <t>AGOSTO</t>
  </si>
  <si>
    <t>IG. EN TULUA GUILLERMO HERRERA MURCIA</t>
  </si>
  <si>
    <t>IG. EN YOPAL MIGUEL VERGEL</t>
  </si>
  <si>
    <t>CARLOS PINEDA</t>
  </si>
  <si>
    <t>DAIRON MURILLO</t>
  </si>
  <si>
    <t>SANTIAGO OSPINO</t>
  </si>
  <si>
    <t>DERLY MONTAÑEZ</t>
  </si>
  <si>
    <t>LUIS MIGUEL NARANJO APOYO PANAMA</t>
  </si>
  <si>
    <t>DAIRON FOLIACO</t>
  </si>
  <si>
    <t>MEDELLIN</t>
  </si>
  <si>
    <t>IG. EN TUNJA</t>
  </si>
  <si>
    <t>MARILUZ QUINTERO</t>
  </si>
  <si>
    <t>ESPERANZA TORRES</t>
  </si>
  <si>
    <t>BOGOTA</t>
  </si>
  <si>
    <t>IG. EN EL META</t>
  </si>
  <si>
    <t>IG. EN ABREGO</t>
  </si>
  <si>
    <t>VIATICOS COLPORTORES</t>
  </si>
  <si>
    <t>LIBEDIS ESTHER ARIAS</t>
  </si>
  <si>
    <t>APOYO LUIS GABRIEL BRASIL</t>
  </si>
  <si>
    <t>FRANKLIN FLORLEZ</t>
  </si>
  <si>
    <t>VIATICOS ECUADOR JULIO SANCHEA</t>
  </si>
  <si>
    <t>ENTREGA A ESTANCIA</t>
  </si>
  <si>
    <t>SEPTIEMBRE</t>
  </si>
  <si>
    <t>JULIO SANCHEZ VIATICOS LILMA</t>
  </si>
  <si>
    <t>ALFREDO CASTRO</t>
  </si>
  <si>
    <t>ANGELO JOSE PALMAR</t>
  </si>
  <si>
    <t>ENTREGA PEDRO DONG</t>
  </si>
  <si>
    <t>JHON BRAYAN</t>
  </si>
  <si>
    <t>FAMILIA FLORES TREJOS</t>
  </si>
  <si>
    <t>JUDY CAMARGO</t>
  </si>
  <si>
    <t>APOYO CEPPEV</t>
  </si>
  <si>
    <t>VUELOS COLPORTORES PERU</t>
  </si>
  <si>
    <t>AURORA CONTRERAS</t>
  </si>
  <si>
    <t>OCTUBRE</t>
  </si>
  <si>
    <t>VUELOS COLPORTORES PANAMA</t>
  </si>
  <si>
    <t>CRISTIAN DAVID NUÑEZ</t>
  </si>
  <si>
    <t>JUAN ALVAREZ</t>
  </si>
  <si>
    <t xml:space="preserve">EURICA CORDOBA </t>
  </si>
  <si>
    <t>CRUZ ALONSO RESTREPO</t>
  </si>
  <si>
    <t>MILENA GOMEZ LOPEZ</t>
  </si>
  <si>
    <t>FABIO NELSON</t>
  </si>
  <si>
    <t>FABIAN ANDRES CASTRO</t>
  </si>
  <si>
    <t>IG. EN ARJONA</t>
  </si>
  <si>
    <t>APOYO CEPPEV BUCARAMANGA</t>
  </si>
  <si>
    <t>KATHERINE SIERRA FONTALVO</t>
  </si>
  <si>
    <t>DAVID ORLANDO GALVIS</t>
  </si>
  <si>
    <t>IG. EN CHIGORODO</t>
  </si>
  <si>
    <t>DAVID MAESTRE VIATICOS ECUADOR</t>
  </si>
  <si>
    <t>Total_Aportes</t>
  </si>
  <si>
    <t>Cuotas_Calculadas</t>
  </si>
  <si>
    <t>Meses_Con_Aporte</t>
  </si>
  <si>
    <t>Cuotas_Enteras</t>
  </si>
  <si>
    <t>TOTAL GASTOS A OCT 17/2025</t>
  </si>
  <si>
    <t>INDICADORES CLAVE</t>
  </si>
  <si>
    <t>MES</t>
  </si>
  <si>
    <t>TOTAL APORTES</t>
  </si>
  <si>
    <t>ABRIL</t>
  </si>
  <si>
    <t>NOVIEMBRE</t>
  </si>
  <si>
    <t>DICIEMBRE</t>
  </si>
  <si>
    <t>INVERSIONISTAS ACTIVOS</t>
  </si>
  <si>
    <t>NUEVOS INV (OCT)</t>
  </si>
  <si>
    <t>BAJAS INV</t>
  </si>
  <si>
    <t>OCT</t>
  </si>
  <si>
    <t>NOV</t>
  </si>
  <si>
    <t>DIC</t>
  </si>
  <si>
    <t>TOTAL GASTOS</t>
  </si>
  <si>
    <t>TOTALES</t>
  </si>
  <si>
    <t>SALDO INVERSIONISTAS</t>
  </si>
  <si>
    <t>DAVID MIRANDA VUELOS COLPORTORES</t>
  </si>
  <si>
    <t>LUIS MIGUEL NARANJO VUELO COLPORTOR</t>
  </si>
  <si>
    <t>IGLESIA EN B/MANGA APOYO VANS</t>
  </si>
  <si>
    <t>CLASIF</t>
  </si>
  <si>
    <t>OFRENDA</t>
  </si>
  <si>
    <t>DEUDA FONDO</t>
  </si>
  <si>
    <t>PAC</t>
  </si>
  <si>
    <t>BRASIL</t>
  </si>
  <si>
    <t>EAV</t>
  </si>
  <si>
    <t>CUBA</t>
  </si>
  <si>
    <t>IVPT</t>
  </si>
  <si>
    <t>PANAMA</t>
  </si>
  <si>
    <t>CEPEV</t>
  </si>
  <si>
    <t>INVERSIONISTAS</t>
  </si>
  <si>
    <t>PEDRO D</t>
  </si>
  <si>
    <t>COSTA RICA</t>
  </si>
  <si>
    <t>VUELOS</t>
  </si>
  <si>
    <t>JULIO S</t>
  </si>
  <si>
    <t>Total general</t>
  </si>
  <si>
    <t>Suma de ENERO</t>
  </si>
  <si>
    <t>Suma de FEBRERO</t>
  </si>
  <si>
    <t>Suma de MARZO</t>
  </si>
  <si>
    <t xml:space="preserve">Suma de ABRIL </t>
  </si>
  <si>
    <t>Suma de MAYO</t>
  </si>
  <si>
    <t>Suma de JUNIO</t>
  </si>
  <si>
    <t>Suma de JULIO</t>
  </si>
  <si>
    <t>Suma de AGOSTO</t>
  </si>
  <si>
    <t>Suma de SEPTIEMBRE</t>
  </si>
  <si>
    <t>Suma de OCTUBRE</t>
  </si>
  <si>
    <t>TOTAL</t>
  </si>
  <si>
    <t>CLASIFICACION GASTOS</t>
  </si>
  <si>
    <t>DOSQUEBRADAS</t>
  </si>
  <si>
    <t>OCAÑA</t>
  </si>
  <si>
    <t>ENVIGADO</t>
  </si>
  <si>
    <t>CUCUTA</t>
  </si>
  <si>
    <t>QUIBDO</t>
  </si>
  <si>
    <t>VALLEDUPAR</t>
  </si>
  <si>
    <t>CONIE CIRO CAMPO</t>
  </si>
  <si>
    <t>PUERTO C</t>
  </si>
  <si>
    <t>YARUMAL</t>
  </si>
  <si>
    <t>RIONEGRO</t>
  </si>
  <si>
    <t>MALAMBO</t>
  </si>
  <si>
    <t>MARTIN ALFONSO RUEDA</t>
  </si>
  <si>
    <t xml:space="preserve">CESAR AUGUSTO GUIRAL  </t>
  </si>
  <si>
    <t>GIRARDOTA</t>
  </si>
  <si>
    <t>ANTONY SUAREZ</t>
  </si>
  <si>
    <t>CALI</t>
  </si>
  <si>
    <t>LILIAN BOHORQUEZ</t>
  </si>
  <si>
    <t>JEREMIAS PAJARO PEÑA</t>
  </si>
  <si>
    <t>Nombre</t>
  </si>
  <si>
    <t>Localidad</t>
  </si>
  <si>
    <t>Teléfono</t>
  </si>
  <si>
    <t>Cuota</t>
  </si>
  <si>
    <t>Monto</t>
  </si>
  <si>
    <t xml:space="preserve">Jonas quintero </t>
  </si>
  <si>
    <t xml:space="preserve">Víctor peña </t>
  </si>
  <si>
    <t xml:space="preserve">Barranquilla </t>
  </si>
  <si>
    <t>Eusebio montes</t>
  </si>
  <si>
    <t xml:space="preserve">Carlos Peña </t>
  </si>
  <si>
    <t xml:space="preserve">Bucaramanga </t>
  </si>
  <si>
    <t xml:space="preserve">Juan Pablo Olivella </t>
  </si>
  <si>
    <t xml:space="preserve">Rafael Gutiérrez </t>
  </si>
  <si>
    <t>Patios</t>
  </si>
  <si>
    <t xml:space="preserve">Adrián Hernández </t>
  </si>
  <si>
    <t xml:space="preserve">Girardota </t>
  </si>
  <si>
    <t xml:space="preserve">David delgado </t>
  </si>
  <si>
    <t xml:space="preserve">Patios </t>
  </si>
  <si>
    <t xml:space="preserve">Héctor Galeano </t>
  </si>
  <si>
    <t xml:space="preserve">Sneider </t>
  </si>
  <si>
    <t xml:space="preserve">Villavicencio </t>
  </si>
  <si>
    <t>Daniel mota</t>
  </si>
  <si>
    <t xml:space="preserve">Iglesia en Villavicencio </t>
  </si>
  <si>
    <t xml:space="preserve">Yuri </t>
  </si>
  <si>
    <t xml:space="preserve">Guillermo </t>
  </si>
  <si>
    <t xml:space="preserve">Sincelejo </t>
  </si>
  <si>
    <t xml:space="preserve">Jorge bravo </t>
  </si>
  <si>
    <t xml:space="preserve">Tunja </t>
  </si>
  <si>
    <t xml:space="preserve">Samuel Pérez </t>
  </si>
  <si>
    <t xml:space="preserve">Turbaco </t>
  </si>
  <si>
    <t xml:space="preserve">Daniel Rojas </t>
  </si>
  <si>
    <t xml:space="preserve">Daniel Vargas </t>
  </si>
  <si>
    <t xml:space="preserve">Pablo dúchense </t>
  </si>
  <si>
    <t xml:space="preserve">Andrés zuluaga </t>
  </si>
  <si>
    <t xml:space="preserve">Medellín </t>
  </si>
  <si>
    <t xml:space="preserve">Kevin Sánchez </t>
  </si>
  <si>
    <t xml:space="preserve">Montería </t>
  </si>
  <si>
    <t xml:space="preserve">Tomás Molina </t>
  </si>
  <si>
    <t xml:space="preserve">Santa Marta </t>
  </si>
  <si>
    <t xml:space="preserve">Cristian </t>
  </si>
  <si>
    <t xml:space="preserve">Nehemias González </t>
  </si>
  <si>
    <t xml:space="preserve">Julio Benítez </t>
  </si>
  <si>
    <t xml:space="preserve">Mocoa </t>
  </si>
  <si>
    <t>Anderson normanza</t>
  </si>
  <si>
    <t>Nemocon</t>
  </si>
  <si>
    <t xml:space="preserve">Andrés Castillón </t>
  </si>
  <si>
    <t xml:space="preserve">Carlos Madrid </t>
  </si>
  <si>
    <t xml:space="preserve">Iván Hernández </t>
  </si>
  <si>
    <t xml:space="preserve">Humberto Ospina </t>
  </si>
  <si>
    <t xml:space="preserve">Envigado </t>
  </si>
  <si>
    <t xml:space="preserve">César Vera </t>
  </si>
  <si>
    <t>Robinson España</t>
  </si>
  <si>
    <t xml:space="preserve">Cúcuta </t>
  </si>
  <si>
    <t xml:space="preserve">Santiago Ospina </t>
  </si>
  <si>
    <t xml:space="preserve">Nehemias pájaro </t>
  </si>
  <si>
    <t xml:space="preserve">Puerto Colombia </t>
  </si>
  <si>
    <t xml:space="preserve">Jeremías pájaro </t>
  </si>
  <si>
    <t xml:space="preserve">Benito </t>
  </si>
  <si>
    <t xml:space="preserve">Alan Lopez </t>
  </si>
  <si>
    <t xml:space="preserve">Río Negro </t>
  </si>
  <si>
    <t xml:space="preserve">Jasua </t>
  </si>
  <si>
    <t xml:space="preserve">Ubate </t>
  </si>
  <si>
    <t xml:space="preserve">Ricardo rincon </t>
  </si>
  <si>
    <t xml:space="preserve">Pereira </t>
  </si>
  <si>
    <t xml:space="preserve">Andrés Arango </t>
  </si>
  <si>
    <t xml:space="preserve">Jerry herrera </t>
  </si>
  <si>
    <t xml:space="preserve">Jean carlos blanco </t>
  </si>
  <si>
    <t xml:space="preserve">Timoteo isaza </t>
  </si>
  <si>
    <t xml:space="preserve">Pamplona </t>
  </si>
  <si>
    <t xml:space="preserve">Luis Fernando bautista </t>
  </si>
  <si>
    <t xml:space="preserve">Álvaro zapata </t>
  </si>
  <si>
    <t>Yarumal</t>
  </si>
  <si>
    <t xml:space="preserve">César Bolaño </t>
  </si>
  <si>
    <t xml:space="preserve">Soledad </t>
  </si>
  <si>
    <t xml:space="preserve">Héctor correa </t>
  </si>
  <si>
    <t xml:space="preserve">Carlos castro </t>
  </si>
  <si>
    <t xml:space="preserve">Ocaña </t>
  </si>
  <si>
    <t xml:space="preserve">José Gabriel </t>
  </si>
  <si>
    <t xml:space="preserve">Atanques </t>
  </si>
  <si>
    <t xml:space="preserve">Julio monsalve </t>
  </si>
  <si>
    <t>PAMPLONA</t>
  </si>
  <si>
    <t>BARRANQUILLA</t>
  </si>
  <si>
    <t>900474240-1</t>
  </si>
  <si>
    <t>Juliocr457@gmail.com</t>
  </si>
  <si>
    <t>CHIQUINQUIRA</t>
  </si>
  <si>
    <t>MARIANA ESTER BALLESTAS</t>
  </si>
  <si>
    <t>IBAGUE</t>
  </si>
  <si>
    <t>VICTORIA EUGENIA BRAVO</t>
  </si>
  <si>
    <t>316 4748 056</t>
  </si>
  <si>
    <t>GIRARDOT</t>
  </si>
  <si>
    <t>314 711 38 30</t>
  </si>
  <si>
    <t>PATRICIA TINOCO GONZALEZ</t>
  </si>
  <si>
    <t>JESUS VIDAL CORDOBA</t>
  </si>
  <si>
    <t>CARLOS JOSE CASTRO</t>
  </si>
  <si>
    <t>PEREIRA</t>
  </si>
  <si>
    <t xml:space="preserve">WILMER ARIAS </t>
  </si>
  <si>
    <t>LADRICOL</t>
  </si>
  <si>
    <t>901.820.015-7</t>
  </si>
  <si>
    <t>NEHEMIAS PAJARO PEÑA</t>
  </si>
  <si>
    <t>MARIA EDITH BEJARANO BERMUDEZ</t>
  </si>
  <si>
    <t xml:space="preserve">ARMANDO CRUZ </t>
  </si>
  <si>
    <t>EFRAIN ELGUEDO SALAS</t>
  </si>
  <si>
    <t>BAYUNCA</t>
  </si>
  <si>
    <t>JORGE ARMANDO BRAVO</t>
  </si>
  <si>
    <t>TUNJA</t>
  </si>
  <si>
    <t>MARLENY DEL SOCORRO MONSALE</t>
  </si>
  <si>
    <t xml:space="preserve">BLANCA AINE GUAYARA </t>
  </si>
  <si>
    <t>ARMENIA</t>
  </si>
  <si>
    <t>APOYO CUBA</t>
  </si>
  <si>
    <t>MOVIL INVERSIONISTAS</t>
  </si>
  <si>
    <t>Suma de NOVIEMBRE</t>
  </si>
  <si>
    <t>SOACHA</t>
  </si>
  <si>
    <t>CELESTINA MORENO VELASQUEZ</t>
  </si>
  <si>
    <t>BOLIVAR</t>
  </si>
  <si>
    <t>EMMANUEL DUARTE MURILLO</t>
  </si>
  <si>
    <t>RAFAEL GUTIERREZ</t>
  </si>
  <si>
    <t>RODRIGO SÁNCHEZ</t>
  </si>
  <si>
    <t xml:space="preserve">79,166,661 </t>
  </si>
  <si>
    <t>UBATE</t>
  </si>
  <si>
    <t xml:space="preserve">KEVIN SÁNCHEZ   </t>
  </si>
  <si>
    <t>1,076,660,747</t>
  </si>
  <si>
    <t xml:space="preserve">JOSHUA STANFORD </t>
  </si>
  <si>
    <t>1,015,439,209</t>
  </si>
  <si>
    <t>IVAN HERNANDEZ</t>
  </si>
  <si>
    <t>1,045,699,283</t>
  </si>
  <si>
    <t>HAILER CASTRO</t>
  </si>
  <si>
    <t>1,076,650,797</t>
  </si>
  <si>
    <t xml:space="preserve">ANDRÉS MARULANDA   </t>
  </si>
  <si>
    <t>8,433,398</t>
  </si>
  <si>
    <t>SUTATAUSA</t>
  </si>
  <si>
    <t xml:space="preserve">HÉCTOR PAEZ </t>
  </si>
  <si>
    <t>79,166,183</t>
  </si>
  <si>
    <t>FUQUENE</t>
  </si>
  <si>
    <t>EMILIO GARCÍA</t>
  </si>
  <si>
    <t>79,166,692</t>
  </si>
  <si>
    <t>CUCUNUBA</t>
  </si>
  <si>
    <t>HERNAN BOLIVAR</t>
  </si>
  <si>
    <t>1,076,650,088</t>
  </si>
  <si>
    <t>ANDERSON HORMAZA</t>
  </si>
  <si>
    <t>1,051,588,792</t>
  </si>
  <si>
    <t>NEMOCON</t>
  </si>
  <si>
    <t>JUAN SEBASTIAN MONTES</t>
  </si>
  <si>
    <t>1,192,773,744</t>
  </si>
  <si>
    <t>ZIPAQUIRA</t>
  </si>
  <si>
    <t xml:space="preserve">JULIO BENÍTEZ  </t>
  </si>
  <si>
    <t>80,490,223</t>
  </si>
  <si>
    <t>LUIS GABRIEL ALVAREZ MARQUEZ</t>
  </si>
  <si>
    <t>MONTERÍA</t>
  </si>
  <si>
    <t xml:space="preserve">LEONARDO FURNIELES GONZÁLEZ </t>
  </si>
  <si>
    <t>ESPERANZA DEL PILAR LAMBERTINEZ</t>
  </si>
  <si>
    <t xml:space="preserve">JOHANA TATIANA ALVAREZ MÁRQUEZ </t>
  </si>
  <si>
    <t>CERETÉ</t>
  </si>
  <si>
    <t xml:space="preserve">LUZ DAYNETH GOMEZ MARTINEZ </t>
  </si>
  <si>
    <t>PLANETA RICA</t>
  </si>
  <si>
    <t>IVÁN ARTURO AVILÉZ PETRO</t>
  </si>
  <si>
    <t>SILVIA PATRICIA BUELVAS LAMBERTINEZ</t>
  </si>
  <si>
    <t>SANTA LUCIA</t>
  </si>
  <si>
    <t xml:space="preserve">KEYLA GONZÁLEZ PÁJARO </t>
  </si>
  <si>
    <t>ROSARIO DE LA CONSOLACIÓN MONTERO ABAD</t>
  </si>
  <si>
    <t xml:space="preserve">SALLURIS BUELVAS LAMBERTINEZ </t>
  </si>
  <si>
    <t xml:space="preserve">SANDRA MARCELA BUELVAS LAMBERTINEZ </t>
  </si>
  <si>
    <t xml:space="preserve">JAVIER ANTONIO NÚÑEZ CASTRO </t>
  </si>
  <si>
    <t xml:space="preserve">CARMEN ALICIA SAEZ SÁNCHEZ </t>
  </si>
  <si>
    <t>MANUEL DARIO PADILLA PADILLA.</t>
  </si>
  <si>
    <t xml:space="preserve">OSCAR DAVID GÓMEZ GUEVARA </t>
  </si>
  <si>
    <t>NANNYS ELVIRA MÁRQUEZ CAMPOS</t>
  </si>
  <si>
    <t xml:space="preserve">MISAEL PASTRANA ESPITIA </t>
  </si>
  <si>
    <t>IG. EN STA MARTA JOSE LUIS TERAN</t>
  </si>
  <si>
    <t>CHIGORODO</t>
  </si>
  <si>
    <t>ANDREAOROZCO</t>
  </si>
  <si>
    <t>MARIA EUGENIA GRIMALDO</t>
  </si>
  <si>
    <t>EDRAS SANABRIA</t>
  </si>
  <si>
    <t>SOGAMOSO</t>
  </si>
  <si>
    <t>900420427-8</t>
  </si>
  <si>
    <t>CARLOS MADRID</t>
  </si>
  <si>
    <t>ADRIAN HERNANDEZ PONCE</t>
  </si>
  <si>
    <t>FABIO NELSON ARROYAVE</t>
  </si>
  <si>
    <t>MARLIDIA ARROYO PEÑA</t>
  </si>
  <si>
    <t>CARTAGENA</t>
  </si>
  <si>
    <t>LEDIS PAJARO CARDONA</t>
  </si>
  <si>
    <t>313 5925709</t>
  </si>
  <si>
    <t>SUGEY ATENCIA</t>
  </si>
  <si>
    <t>320 5808311</t>
  </si>
  <si>
    <t>CARLOS HUMBERTO VERGEL LAZARO</t>
  </si>
  <si>
    <t>LEONARDO CARDENAS</t>
  </si>
  <si>
    <t>HERNANDO BARBOSA</t>
  </si>
  <si>
    <t>BUCARAMANGA</t>
  </si>
  <si>
    <t>Etiquetas de fila</t>
  </si>
  <si>
    <t>(en blanco)</t>
  </si>
  <si>
    <t>Suma de Cuotas_Enteras</t>
  </si>
  <si>
    <t>TOTAL CUOTAS 2025</t>
  </si>
  <si>
    <t>314 892 7775</t>
  </si>
  <si>
    <t>ALVARO JAVIER ZAPATA</t>
  </si>
  <si>
    <t>NINA ILLERA NAVARRO</t>
  </si>
  <si>
    <t xml:space="preserve">GUSTAVO LEON RAY </t>
  </si>
  <si>
    <t>ALBA ROSA BEJARANO</t>
  </si>
  <si>
    <t>310 3761797</t>
  </si>
  <si>
    <t>IG. EN BELLO</t>
  </si>
  <si>
    <t>BELLO</t>
  </si>
  <si>
    <t>Suma de DICIEMBRE</t>
  </si>
  <si>
    <t>Medellin</t>
  </si>
  <si>
    <t>Girardota</t>
  </si>
  <si>
    <t>CHOCO</t>
  </si>
  <si>
    <t>Girardot</t>
  </si>
  <si>
    <t>Bucaramanga</t>
  </si>
  <si>
    <t>LUIS HERNANDO BAUTISTA</t>
  </si>
  <si>
    <t xml:space="preserve">MEDELLIN </t>
  </si>
  <si>
    <t>Quibdó</t>
  </si>
  <si>
    <t>MARIA EURICA CORDOBA</t>
  </si>
  <si>
    <t>88 257 848</t>
  </si>
  <si>
    <t>ANTIOQUIA</t>
  </si>
  <si>
    <t>SANTA LUCÍA</t>
  </si>
  <si>
    <t>BATEMAN BELEÑO</t>
  </si>
  <si>
    <t>SUAN</t>
  </si>
  <si>
    <t>FARID POLO ALTAHONA</t>
  </si>
  <si>
    <t>MARIA PAULA CARDOZO</t>
  </si>
  <si>
    <t>317 754 5784</t>
  </si>
  <si>
    <t>NEIVA</t>
  </si>
  <si>
    <t>ROBINSON ESPAÑA</t>
  </si>
  <si>
    <t>OSCAR GONZALEZ</t>
  </si>
  <si>
    <t>LUIS OSPINA</t>
  </si>
  <si>
    <t xml:space="preserve">ALVARO ATENCIA </t>
  </si>
  <si>
    <t>MONICA PACHECO SANTOS</t>
  </si>
  <si>
    <t>TOTAL RECIBIDO A DIC 19/2025</t>
  </si>
  <si>
    <t>IG. EN VALLEDUPAR APOYO COLPORTOR</t>
  </si>
  <si>
    <t>ALLAN SEBASTIAN LOPEZ</t>
  </si>
  <si>
    <t>GLORIA ESTEFANY VEGA</t>
  </si>
  <si>
    <t>SAN JUAN</t>
  </si>
  <si>
    <t>MARISOL TORRES</t>
  </si>
  <si>
    <t>EUCLIDES MENESES</t>
  </si>
  <si>
    <t>MARCELA DIAZ</t>
  </si>
  <si>
    <t>NORMA GALVIS</t>
  </si>
  <si>
    <t>IG. EN BUCARAM/APOYO</t>
  </si>
  <si>
    <t>ENE</t>
  </si>
  <si>
    <t>MELIDA RAMIREZ</t>
  </si>
  <si>
    <t>CARTAGO</t>
  </si>
  <si>
    <t>SANDRA LOPEZ MEJIA</t>
  </si>
  <si>
    <t>DIANA URQUIJO</t>
  </si>
  <si>
    <t>JIRETH SOFIA CHICA</t>
  </si>
  <si>
    <t>OSCAR HERNANDO GONZALEZ</t>
  </si>
  <si>
    <t>ARTURO MACHUCA</t>
  </si>
  <si>
    <t>ROSMIRA FERNANDEZ</t>
  </si>
  <si>
    <t>ALFONSO RUEDA</t>
  </si>
  <si>
    <t>HIRAN DAVID OCHOA</t>
  </si>
  <si>
    <t>CARLOS OSORIO OLAYA</t>
  </si>
  <si>
    <t>ISIDRO SERRANO</t>
  </si>
  <si>
    <t>320 4621706</t>
  </si>
  <si>
    <t>VILLA</t>
  </si>
  <si>
    <t>ELICEO CEDEÑO</t>
  </si>
  <si>
    <t>320 2361660</t>
  </si>
  <si>
    <t>LUIS EDUARDO JULIO</t>
  </si>
  <si>
    <t>CESAR</t>
  </si>
  <si>
    <t>SHELSIN MOSQUERA</t>
  </si>
  <si>
    <t>ITSMINA</t>
  </si>
  <si>
    <t>MIRLEY P ROMAN</t>
  </si>
  <si>
    <t>IG. EN SOGAMOSO</t>
  </si>
  <si>
    <t>PATRICIA MORENO</t>
  </si>
  <si>
    <t>VIOTA</t>
  </si>
  <si>
    <t>YOPAL</t>
  </si>
  <si>
    <t>MONTERIA</t>
  </si>
  <si>
    <t>Total Cuotas DICIEMBRE</t>
  </si>
  <si>
    <t>TOTAL DICIEMBRE</t>
  </si>
  <si>
    <t>PUERTO COLOMBIA</t>
  </si>
  <si>
    <t>ISTMINA</t>
  </si>
  <si>
    <t>STA MARTA</t>
  </si>
  <si>
    <t>Cuenta de Cuotas_Enteras</t>
  </si>
  <si>
    <t>CORDOBA</t>
  </si>
  <si>
    <t>META</t>
  </si>
  <si>
    <t>ROSALBA MONSALVE</t>
  </si>
  <si>
    <t>ESTEFANI PAOLA MORA</t>
  </si>
  <si>
    <t>EDWARD STIVINSON MURILLO</t>
  </si>
  <si>
    <t>TRAMITES Y APOYO PANAMA LUIS MIGUEL N</t>
  </si>
  <si>
    <t>CUOTAS PARTICIPACION BRASIL</t>
  </si>
  <si>
    <t>OFRENDA HNOS. CUBA</t>
  </si>
  <si>
    <t>INTERNO</t>
  </si>
  <si>
    <t>LIDIA GONZALEZ PAJARO</t>
  </si>
  <si>
    <t>JHON BRAYAN VALENCIA</t>
  </si>
  <si>
    <t>SANTIAGO LAVERDE</t>
  </si>
  <si>
    <t>JORGE DAVID ACOSTA</t>
  </si>
  <si>
    <t>CLAUDIA PATRICIA ZAPATA</t>
  </si>
  <si>
    <t>JHON FERNANDO RENTERIA</t>
  </si>
  <si>
    <t>PITALITO</t>
  </si>
  <si>
    <t>IG. EN PAMPLONA</t>
  </si>
  <si>
    <t>EIFER GALVIS</t>
  </si>
  <si>
    <t>304 2034929</t>
  </si>
  <si>
    <t>V. ROSARIO</t>
  </si>
  <si>
    <t>MILEYDY GALVIS</t>
  </si>
  <si>
    <t>322 3783219</t>
  </si>
  <si>
    <t>MIGUEL KALETH MONTERO</t>
  </si>
  <si>
    <t>MARIA ALEJANDRA LEALO</t>
  </si>
  <si>
    <t>SANDRA MEDINA</t>
  </si>
  <si>
    <t>DEISY CARVAJAL</t>
  </si>
  <si>
    <t>ANDRES FELIPE SANTIAGO CARVAJALINO</t>
  </si>
  <si>
    <t>ANTONIO ALZATE</t>
  </si>
  <si>
    <t>EDISON RUIZ</t>
  </si>
  <si>
    <t>AMPARO SOSA</t>
  </si>
  <si>
    <t>HECTOSR CORREA</t>
  </si>
  <si>
    <t>IG. EN ENVIGADO</t>
  </si>
  <si>
    <t>MARIA DE LOS ANGELES MORALES</t>
  </si>
  <si>
    <t>ALBA DE MARTINEZ</t>
  </si>
  <si>
    <t>EVELIA RODRIGUEZ</t>
  </si>
  <si>
    <t>DAVID MIRANDA VIAJES VARIOS</t>
  </si>
  <si>
    <t>LUIS MIGUEL NARANJO VIAJES APOYO PANAMA</t>
  </si>
  <si>
    <t>DAVID MIRANDA VIATICOS VARIOS</t>
  </si>
  <si>
    <t>JULIO SANCHEZ VIATICOS PERU</t>
  </si>
  <si>
    <t>CLARO PAGO CELULAR INVERSIONISTAS</t>
  </si>
  <si>
    <t>FEB</t>
  </si>
  <si>
    <t>MAR</t>
  </si>
  <si>
    <t>DAVID ALEJANDRO CONTRERAS</t>
  </si>
  <si>
    <t>-</t>
  </si>
  <si>
    <t>EUCLIDES ORREGO MENESES</t>
  </si>
  <si>
    <t>LUIS MIGUEL NARANJO DOCUMENTOS</t>
  </si>
  <si>
    <t>DAVID MIRANDA VEHICULO CEPPEV</t>
  </si>
  <si>
    <t>ANDRES MORENO  ARRIAGA</t>
  </si>
  <si>
    <t>LUIS HERNANDO BARBOSA</t>
  </si>
  <si>
    <t>JORGE PIRAGUA</t>
  </si>
  <si>
    <t>CLEMENCIA CADAVID</t>
  </si>
  <si>
    <t>DAVID MIRANDA VUELOS BRASIL, PANAMA</t>
  </si>
  <si>
    <t>ARIANA LOZANO DOCUMENTOS COLPOR-GUATEMALA</t>
  </si>
  <si>
    <t>GUATEMALA</t>
  </si>
  <si>
    <t>PTO. COLOM</t>
  </si>
  <si>
    <t>FAMILIA DE LA TORRE</t>
  </si>
  <si>
    <t>JOSE MARTINEZ</t>
  </si>
  <si>
    <t>OFRE CUETO</t>
  </si>
  <si>
    <t>ORLANDO RODRIGUEZ</t>
  </si>
  <si>
    <t>MERY ANN CIRO CAMPO</t>
  </si>
  <si>
    <t>NURIA PEREZ</t>
  </si>
  <si>
    <t>JOSE GEOVANI MEDINA</t>
  </si>
  <si>
    <t>ANTONIO SAGBINI VUELOS CHILE BOGOTA</t>
  </si>
  <si>
    <t>IG. EN TUBARA</t>
  </si>
  <si>
    <t>TUBARA</t>
  </si>
  <si>
    <t>PATRICIA ALVERNIA BAUTISTA</t>
  </si>
  <si>
    <t>GUILLERMO MARTINEZ MERCADO</t>
  </si>
  <si>
    <t>ANLY LORENA SUAREZ</t>
  </si>
  <si>
    <t>WILLIAM NARANJO</t>
  </si>
  <si>
    <t>BUGA</t>
  </si>
  <si>
    <t>MARIA NORA AGRONO</t>
  </si>
  <si>
    <t>JAMUNDI</t>
  </si>
  <si>
    <t>MERY EDUVIGES CAMPO CABALLERO</t>
  </si>
  <si>
    <t>ELIZABETH TRUJILLO</t>
  </si>
  <si>
    <t>900-380-4931</t>
  </si>
  <si>
    <t>NORMA GALVIS "GALCUE"</t>
  </si>
  <si>
    <t>JERRY HERRERA CASSIANI</t>
  </si>
  <si>
    <t>HECTOR JULIAN LOPEZ</t>
  </si>
  <si>
    <t>HECTOR OSWALDO CAMARGO</t>
  </si>
  <si>
    <t>OSCAR MACHUCA</t>
  </si>
  <si>
    <t>DAVID MIRANDA VUELOS OBRA</t>
  </si>
  <si>
    <t>ABR</t>
  </si>
  <si>
    <t>MAY</t>
  </si>
  <si>
    <t>IG. EN CESAR GUAJIRA (YURI VARGAS)</t>
  </si>
  <si>
    <t>Viota</t>
  </si>
  <si>
    <t>Yopal</t>
  </si>
  <si>
    <t>CUOTAS ABRIL</t>
  </si>
  <si>
    <t>CUOTAS MAYO</t>
  </si>
  <si>
    <t>TOTAL CUOTAS 2026</t>
  </si>
  <si>
    <t>CLAUDIA PERDOMO DIAZ</t>
  </si>
  <si>
    <t>JUANA LLANO</t>
  </si>
  <si>
    <t>FLOYDER VIVEROS</t>
  </si>
  <si>
    <t>DAVID MIRANDA VUELOS VARIOS OBRA</t>
  </si>
  <si>
    <t>LUIS ENRIQUE OCAMPO</t>
  </si>
  <si>
    <t>VUELOS PANAMA JULIO SANCHEZ</t>
  </si>
  <si>
    <t>JOSE ALFREDO JIMENEZ</t>
  </si>
  <si>
    <t>YENNY VELANDIA</t>
  </si>
  <si>
    <t>IG. EN EL BANCO MAGDALENA</t>
  </si>
  <si>
    <t>EL BANCO</t>
  </si>
  <si>
    <t>NOTA CONCILIATORIA CONSIG NO REPORTADAS MAY</t>
  </si>
  <si>
    <t>NOTA CONCILIATORIA CONSIG NO REPORTADAS JUN</t>
  </si>
  <si>
    <t>IG. EN CHIQUINQUIRA</t>
  </si>
  <si>
    <t>NO REPORTADA</t>
  </si>
  <si>
    <t>DIANA CARMONA</t>
  </si>
  <si>
    <t>URSULINA  ILLERA NAVARRO</t>
  </si>
  <si>
    <t>LUILS MIGUEL NARANJO APOYO PANAMA</t>
  </si>
  <si>
    <t>IVPT OFRENDA GENESIS</t>
  </si>
  <si>
    <t>DAVID MIRANDA VUELOS QUITO</t>
  </si>
  <si>
    <t>MARLENY DEL SOCORRO MONSALVE</t>
  </si>
  <si>
    <t>MAURICIO ALEJANDRO MERCHAN</t>
  </si>
  <si>
    <t>DILIA MERCEDES QUINTERO</t>
  </si>
  <si>
    <t>HELENA GUTIERREZ</t>
  </si>
  <si>
    <t>ELVER SILVA</t>
  </si>
  <si>
    <t>WENDY CANTILLO</t>
  </si>
  <si>
    <t>ENEIDA REYES OSUNA</t>
  </si>
  <si>
    <t>EMANUEL FLORES VALENCIA APOYO</t>
  </si>
  <si>
    <t>OTROS</t>
  </si>
  <si>
    <t>INCOME SAS HECTOR RENE GALEANO</t>
  </si>
  <si>
    <t>NASSER BARRERA</t>
  </si>
  <si>
    <t>NOTA CONCILIATORIA FINAL JUNIO</t>
  </si>
  <si>
    <t xml:space="preserve">PEDRO GUZMAN </t>
  </si>
  <si>
    <t>IG. EN CALI</t>
  </si>
  <si>
    <t>DORIS SAENZ</t>
  </si>
  <si>
    <t>APOYO A CONFINES</t>
  </si>
  <si>
    <t>DAVID MIRANDA VUELOS</t>
  </si>
  <si>
    <t>LUIS ROBERTO QUERALES</t>
  </si>
  <si>
    <t>JUAN ABEL  ALVAREZ SANCHEZ</t>
  </si>
  <si>
    <t>1091662369 (37333333)</t>
  </si>
  <si>
    <t>CRISTIAN ALEJANDRO BRAVO</t>
  </si>
  <si>
    <t>LILIANA ROJAS</t>
  </si>
  <si>
    <t>LEDY NAVARRO SERNA</t>
  </si>
  <si>
    <t>DILAN SANCHEZ</t>
  </si>
  <si>
    <t>MARIA JOSE LOBO NAVARRO</t>
  </si>
  <si>
    <t>NOTA CONCILIATORIA CONSIG. NO EPORTADAS JULIO</t>
  </si>
  <si>
    <t>ENTREGA FONDO PEDRO DONG</t>
  </si>
  <si>
    <t>ENTREGA APOYO CENTRO CONVENCIONES IVPT</t>
  </si>
  <si>
    <t>APOYO VARIOS OBRA COLOMBIA</t>
  </si>
  <si>
    <t>OBRA COL</t>
  </si>
  <si>
    <t>ABREGO</t>
  </si>
  <si>
    <t>JAIRO ALBERTO MONSALVE HENAO</t>
  </si>
  <si>
    <t>EDUARDO MAHECHA</t>
  </si>
  <si>
    <t>FABIO MARROQUIN</t>
  </si>
  <si>
    <t>FABIO CAÑON</t>
  </si>
  <si>
    <t>LAURA MARINA CORTES</t>
  </si>
  <si>
    <t>LINDA ALVAREZ</t>
  </si>
  <si>
    <t xml:space="preserve">OCAÑA </t>
  </si>
  <si>
    <t>APYO PERFECCIONAMIENTO CEPPEV Y APOYO ARR</t>
  </si>
  <si>
    <t>APOYO PANAMA MAXIMO EVANGELISTA</t>
  </si>
  <si>
    <t>IGLESIA EN BUCARAMANGA APOYO PERFECCIONAMIENTO</t>
  </si>
  <si>
    <t>IGLESIA EN BUCARAMANGA APOYO CEPPEV</t>
  </si>
  <si>
    <t>WILLIAM NARANJO MARTINEZ</t>
  </si>
  <si>
    <t>WILLIE VARGAS TORRES</t>
  </si>
  <si>
    <t>EDWIN ALBERTO VARGAS</t>
  </si>
  <si>
    <t>FACATATIVA</t>
  </si>
  <si>
    <t xml:space="preserve">LIDIA PATRICIA MERCADO </t>
  </si>
  <si>
    <t>NELCY BEJARANO BERMUDEZ</t>
  </si>
  <si>
    <t>IG. EN IBAGUE</t>
  </si>
  <si>
    <t>MERY ISABEL IÑIGUEZ</t>
  </si>
  <si>
    <t>WENSESLADA  MILAN CORDOBA</t>
  </si>
  <si>
    <t>NATALIA OSPINO REYES</t>
  </si>
  <si>
    <t>ELENA ROMERO</t>
  </si>
  <si>
    <t>SARA ARIAS CIRO</t>
  </si>
  <si>
    <t xml:space="preserve">ANGIE DANIELA PARADA </t>
  </si>
  <si>
    <t>ANGELA MARCELA VIVAS</t>
  </si>
  <si>
    <t>AILEN MARIA FAJARDO</t>
  </si>
  <si>
    <t>SIMIJACA</t>
  </si>
  <si>
    <t>ANGEL ADRIAN PADRON</t>
  </si>
  <si>
    <t>RUBIELA LEON</t>
  </si>
  <si>
    <t>ESNEIDER TIRADO</t>
  </si>
  <si>
    <t>NOTA CONCILIATORIA CONSIG. NO EPORTADAS AGOSTO</t>
  </si>
  <si>
    <t>VILLAVICENCIO</t>
  </si>
  <si>
    <t>Juan Mina</t>
  </si>
  <si>
    <t>APOYO PARA CONFINES</t>
  </si>
  <si>
    <t>DAVID MIRANDA VUELOS MEXICO</t>
  </si>
  <si>
    <t xml:space="preserve">APOYO SALON GENESIS </t>
  </si>
  <si>
    <t>ENTREGA RESERVA PD</t>
  </si>
  <si>
    <t>EIFER ALONSO GALVIS PASAPORTE</t>
  </si>
  <si>
    <t>DAVID MIRANDA QR IVPT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</si>
</sst>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#\ ???/???"/>
    <numFmt numFmtId="166" formatCode="d/m"/>
    <numFmt numFmtId="167" formatCode="_-&quot;$&quot;\ * #,##0.000_-;\-&quot;$&quot;\ * #,##0.000_-;_-&quot;$&quot;\ * &quot;-&quot;??_-;_-@_-"/>
    <numFmt numFmtId="168" formatCode="0.0"/>
  </numFmts>
  <fonts count="27">
    <font>
      <sz val="11"/>
      <color theme="1"/>
      <name val="Calibri"/>
      <family val="2"/>
      <scheme val="minor"/>
    </font>
    <font>
      <sz val="8"/>
      <name val="Abadi"/>
      <family val="2"/>
    </font>
    <font>
      <sz val="8"/>
      <color theme="1"/>
      <name val="Abadi"/>
      <family val="2"/>
    </font>
    <font>
      <sz val="8"/>
      <color rgb="FFD20000"/>
      <name val="Abadi"/>
      <family val="2"/>
    </font>
    <font>
      <sz val="8"/>
      <color rgb="FFFF0000"/>
      <name val="Abadi"/>
      <family val="2"/>
    </font>
    <font>
      <sz val="8"/>
      <color rgb="FFEE0000"/>
      <name val="Abad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D20000"/>
      <name val="Arial"/>
      <family val="2"/>
    </font>
    <font>
      <sz val="10"/>
      <color rgb="FFEE0000"/>
      <name val="Arial"/>
      <family val="2"/>
    </font>
    <font>
      <sz val="10"/>
      <color rgb="FFC0000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0"/>
      <color indexed="8"/>
      <name val="Helvetica Neue"/>
    </font>
    <font>
      <b/>
      <sz val="12"/>
      <color theme="1"/>
      <name val="Calibri"/>
      <family val="2"/>
      <scheme val="minor"/>
    </font>
    <font>
      <sz val="9"/>
      <color rgb="FFD20000"/>
      <name val="Abadi"/>
      <family val="2"/>
    </font>
    <font>
      <sz val="9"/>
      <color theme="1"/>
      <name val="Abadi"/>
      <family val="2"/>
    </font>
    <font>
      <sz val="9"/>
      <color rgb="FFEE0000"/>
      <name val="Abadi"/>
      <family val="2"/>
    </font>
    <font>
      <sz val="9"/>
      <color rgb="FFFF0000"/>
      <name val="Abadi"/>
      <family val="2"/>
    </font>
    <font>
      <sz val="9"/>
      <name val="Abad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31">
    <xf numFmtId="0" fontId="0" fillId="0" borderId="0" xfId="0"/>
    <xf numFmtId="0" fontId="0" fillId="0" borderId="0" xfId="0" applyAlignment="1">
      <alignment horizontal="left"/>
    </xf>
    <xf numFmtId="4" fontId="1" fillId="0" borderId="0" xfId="0" applyNumberFormat="1" applyFont="1"/>
    <xf numFmtId="0" fontId="2" fillId="2" borderId="1" xfId="0" applyFont="1" applyFill="1" applyBorder="1"/>
    <xf numFmtId="0" fontId="3" fillId="2" borderId="1" xfId="0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9" fillId="3" borderId="1" xfId="0" applyFont="1" applyFill="1" applyBorder="1"/>
    <xf numFmtId="0" fontId="10" fillId="2" borderId="1" xfId="0" applyFont="1" applyFill="1" applyBorder="1"/>
    <xf numFmtId="4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2" fillId="2" borderId="1" xfId="0" applyFont="1" applyFill="1" applyBorder="1"/>
    <xf numFmtId="4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/>
    <xf numFmtId="0" fontId="13" fillId="2" borderId="1" xfId="0" applyFont="1" applyFill="1" applyBorder="1"/>
    <xf numFmtId="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/>
    <xf numFmtId="0" fontId="12" fillId="2" borderId="1" xfId="0" applyFont="1" applyFill="1" applyBorder="1" applyAlignment="1">
      <alignment horizontal="center"/>
    </xf>
    <xf numFmtId="4" fontId="10" fillId="2" borderId="1" xfId="0" applyNumberFormat="1" applyFont="1" applyFill="1" applyBorder="1" applyAlignment="1">
      <alignment horizontal="center"/>
    </xf>
    <xf numFmtId="0" fontId="15" fillId="2" borderId="1" xfId="0" applyFont="1" applyFill="1" applyBorder="1"/>
    <xf numFmtId="4" fontId="15" fillId="2" borderId="1" xfId="0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/>
    <xf numFmtId="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44" fontId="10" fillId="2" borderId="1" xfId="1" applyNumberFormat="1" applyFont="1" applyFill="1" applyBorder="1"/>
    <xf numFmtId="44" fontId="11" fillId="2" borderId="1" xfId="1" applyNumberFormat="1" applyFont="1" applyFill="1" applyBorder="1"/>
    <xf numFmtId="44" fontId="12" fillId="2" borderId="1" xfId="1" applyNumberFormat="1" applyFont="1" applyFill="1" applyBorder="1"/>
    <xf numFmtId="44" fontId="13" fillId="2" borderId="1" xfId="1" applyNumberFormat="1" applyFont="1" applyFill="1" applyBorder="1"/>
    <xf numFmtId="44" fontId="14" fillId="2" borderId="1" xfId="1" applyNumberFormat="1" applyFont="1" applyFill="1" applyBorder="1"/>
    <xf numFmtId="44" fontId="2" fillId="2" borderId="1" xfId="1" applyNumberFormat="1" applyFont="1" applyFill="1" applyBorder="1"/>
    <xf numFmtId="44" fontId="4" fillId="2" borderId="1" xfId="1" applyNumberFormat="1" applyFont="1" applyFill="1" applyBorder="1"/>
    <xf numFmtId="44" fontId="5" fillId="2" borderId="1" xfId="1" applyNumberFormat="1" applyFont="1" applyFill="1" applyBorder="1"/>
    <xf numFmtId="44" fontId="3" fillId="2" borderId="1" xfId="1" applyNumberFormat="1" applyFont="1" applyFill="1" applyBorder="1"/>
    <xf numFmtId="44" fontId="1" fillId="2" borderId="1" xfId="1" applyNumberFormat="1" applyFont="1" applyFill="1" applyBorder="1"/>
    <xf numFmtId="44" fontId="2" fillId="2" borderId="2" xfId="1" applyNumberFormat="1" applyFont="1" applyFill="1" applyBorder="1"/>
    <xf numFmtId="44" fontId="4" fillId="2" borderId="2" xfId="1" applyNumberFormat="1" applyFont="1" applyFill="1" applyBorder="1"/>
    <xf numFmtId="44" fontId="5" fillId="2" borderId="2" xfId="1" applyNumberFormat="1" applyFont="1" applyFill="1" applyBorder="1"/>
    <xf numFmtId="44" fontId="3" fillId="2" borderId="2" xfId="1" applyNumberFormat="1" applyFont="1" applyFill="1" applyBorder="1"/>
    <xf numFmtId="44" fontId="1" fillId="2" borderId="2" xfId="1" applyNumberFormat="1" applyFont="1" applyFill="1" applyBorder="1"/>
    <xf numFmtId="0" fontId="9" fillId="0" borderId="0" xfId="0" applyFont="1"/>
    <xf numFmtId="0" fontId="16" fillId="4" borderId="0" xfId="0" applyFont="1" applyFill="1"/>
    <xf numFmtId="4" fontId="16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9" fillId="4" borderId="0" xfId="0" applyFont="1" applyFill="1"/>
    <xf numFmtId="4" fontId="9" fillId="4" borderId="0" xfId="0" applyNumberFormat="1" applyFont="1" applyFill="1"/>
    <xf numFmtId="4" fontId="16" fillId="4" borderId="0" xfId="0" applyNumberFormat="1" applyFont="1" applyFill="1"/>
    <xf numFmtId="44" fontId="9" fillId="0" borderId="1" xfId="1" applyNumberFormat="1" applyFont="1" applyBorder="1"/>
    <xf numFmtId="0" fontId="9" fillId="0" borderId="1" xfId="0" applyFont="1" applyBorder="1"/>
    <xf numFmtId="0" fontId="8" fillId="0" borderId="0" xfId="0" applyFont="1"/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164" fontId="7" fillId="0" borderId="1" xfId="1" applyNumberFormat="1" applyFont="1" applyBorder="1"/>
    <xf numFmtId="0" fontId="8" fillId="0" borderId="0" xfId="0" applyFont="1" applyFill="1" applyBorder="1"/>
    <xf numFmtId="164" fontId="8" fillId="0" borderId="0" xfId="0" applyNumberFormat="1" applyFont="1" applyBorder="1"/>
    <xf numFmtId="0" fontId="0" fillId="0" borderId="1" xfId="0" applyBorder="1" applyAlignment="1">
      <alignment horizontal="left"/>
    </xf>
    <xf numFmtId="0" fontId="0" fillId="0" borderId="0" xfId="0" applyBorder="1"/>
    <xf numFmtId="0" fontId="8" fillId="6" borderId="0" xfId="0" applyFont="1" applyFill="1" applyBorder="1" applyAlignment="1">
      <alignment wrapText="1"/>
    </xf>
    <xf numFmtId="164" fontId="8" fillId="6" borderId="0" xfId="0" applyNumberFormat="1" applyFont="1" applyFill="1" applyAlignment="1">
      <alignment wrapText="1"/>
    </xf>
    <xf numFmtId="0" fontId="8" fillId="0" borderId="1" xfId="0" applyFont="1" applyBorder="1"/>
    <xf numFmtId="164" fontId="0" fillId="0" borderId="0" xfId="0" applyNumberFormat="1"/>
    <xf numFmtId="0" fontId="8" fillId="8" borderId="3" xfId="0" applyFont="1" applyFill="1" applyBorder="1"/>
    <xf numFmtId="164" fontId="7" fillId="0" borderId="0" xfId="0" applyNumberFormat="1" applyFont="1"/>
    <xf numFmtId="164" fontId="8" fillId="7" borderId="4" xfId="0" applyNumberFormat="1" applyFont="1" applyFill="1" applyBorder="1"/>
    <xf numFmtId="0" fontId="8" fillId="0" borderId="0" xfId="0" applyFont="1" applyAlignment="1">
      <alignment horizontal="left"/>
    </xf>
    <xf numFmtId="0" fontId="0" fillId="9" borderId="0" xfId="0" applyFill="1" applyAlignment="1">
      <alignment wrapText="1"/>
    </xf>
    <xf numFmtId="0" fontId="0" fillId="9" borderId="0" xfId="0" applyFill="1"/>
    <xf numFmtId="0" fontId="9" fillId="0" borderId="0" xfId="0" applyFont="1" applyBorder="1"/>
    <xf numFmtId="0" fontId="16" fillId="4" borderId="0" xfId="0" applyFont="1" applyFill="1" applyBorder="1"/>
    <xf numFmtId="4" fontId="16" fillId="4" borderId="0" xfId="0" applyNumberFormat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9" fillId="4" borderId="0" xfId="0" applyFont="1" applyFill="1" applyBorder="1"/>
    <xf numFmtId="4" fontId="9" fillId="4" borderId="0" xfId="0" applyNumberFormat="1" applyFont="1" applyFill="1" applyBorder="1"/>
    <xf numFmtId="4" fontId="16" fillId="4" borderId="0" xfId="0" applyNumberFormat="1" applyFont="1" applyFill="1" applyBorder="1"/>
    <xf numFmtId="49" fontId="18" fillId="10" borderId="1" xfId="0" applyNumberFormat="1" applyFont="1" applyFill="1" applyBorder="1" applyAlignment="1">
      <alignment vertical="top" wrapText="1"/>
    </xf>
    <xf numFmtId="0" fontId="18" fillId="10" borderId="1" xfId="0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66" fontId="0" fillId="0" borderId="1" xfId="0" applyNumberFormat="1" applyBorder="1" applyAlignment="1">
      <alignment vertical="top" wrapText="1"/>
    </xf>
    <xf numFmtId="49" fontId="18" fillId="0" borderId="1" xfId="0" applyNumberFormat="1" applyFont="1" applyBorder="1" applyAlignment="1">
      <alignment vertical="top" wrapText="1"/>
    </xf>
    <xf numFmtId="0" fontId="0" fillId="0" borderId="0" xfId="0" pivotButton="1"/>
    <xf numFmtId="0" fontId="0" fillId="0" borderId="0" xfId="0" applyNumberFormat="1"/>
    <xf numFmtId="0" fontId="8" fillId="7" borderId="3" xfId="0" applyFont="1" applyFill="1" applyBorder="1"/>
    <xf numFmtId="167" fontId="0" fillId="0" borderId="0" xfId="0" applyNumberFormat="1"/>
    <xf numFmtId="1" fontId="0" fillId="0" borderId="0" xfId="0" applyNumberFormat="1"/>
    <xf numFmtId="167" fontId="0" fillId="0" borderId="1" xfId="0" applyNumberFormat="1" applyBorder="1"/>
    <xf numFmtId="1" fontId="0" fillId="0" borderId="1" xfId="0" applyNumberFormat="1" applyBorder="1"/>
    <xf numFmtId="0" fontId="0" fillId="0" borderId="1" xfId="0" applyFont="1" applyBorder="1" applyAlignment="1">
      <alignment horizontal="left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left" vertical="center"/>
    </xf>
    <xf numFmtId="0" fontId="20" fillId="2" borderId="1" xfId="0" applyFont="1" applyFill="1" applyBorder="1"/>
    <xf numFmtId="0" fontId="21" fillId="2" borderId="1" xfId="0" applyFont="1" applyFill="1" applyBorder="1"/>
    <xf numFmtId="4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23" fillId="2" borderId="1" xfId="0" applyNumberFormat="1" applyFont="1" applyFill="1" applyBorder="1"/>
    <xf numFmtId="4" fontId="22" fillId="2" borderId="1" xfId="0" applyNumberFormat="1" applyFont="1" applyFill="1" applyBorder="1"/>
    <xf numFmtId="4" fontId="20" fillId="2" borderId="1" xfId="0" applyNumberFormat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4" fontId="0" fillId="0" borderId="0" xfId="0" applyNumberFormat="1"/>
    <xf numFmtId="0" fontId="8" fillId="7" borderId="4" xfId="0" applyFont="1" applyFill="1" applyBorder="1" applyAlignment="1">
      <alignment horizontal="left"/>
    </xf>
    <xf numFmtId="0" fontId="8" fillId="7" borderId="4" xfId="0" applyNumberFormat="1" applyFont="1" applyFill="1" applyBorder="1"/>
    <xf numFmtId="1" fontId="8" fillId="7" borderId="4" xfId="0" applyNumberFormat="1" applyFont="1" applyFill="1" applyBorder="1"/>
    <xf numFmtId="0" fontId="0" fillId="4" borderId="0" xfId="0" applyFill="1" applyAlignment="1">
      <alignment horizontal="left"/>
    </xf>
    <xf numFmtId="1" fontId="8" fillId="4" borderId="0" xfId="0" applyNumberFormat="1" applyFont="1" applyFill="1"/>
    <xf numFmtId="0" fontId="8" fillId="7" borderId="1" xfId="0" applyFont="1" applyFill="1" applyBorder="1"/>
    <xf numFmtId="0" fontId="0" fillId="11" borderId="1" xfId="0" applyFill="1" applyBorder="1" applyAlignment="1">
      <alignment horizontal="left"/>
    </xf>
    <xf numFmtId="1" fontId="8" fillId="7" borderId="1" xfId="0" applyNumberFormat="1" applyFont="1" applyFill="1" applyBorder="1"/>
    <xf numFmtId="1" fontId="8" fillId="0" borderId="1" xfId="0" applyNumberFormat="1" applyFont="1" applyBorder="1" applyAlignment="1">
      <alignment horizontal="center" vertical="top"/>
    </xf>
    <xf numFmtId="1" fontId="8" fillId="11" borderId="1" xfId="0" applyNumberFormat="1" applyFont="1" applyFill="1" applyBorder="1" applyAlignment="1">
      <alignment horizontal="center" vertical="top"/>
    </xf>
    <xf numFmtId="0" fontId="0" fillId="0" borderId="0" xfId="0" applyFont="1"/>
    <xf numFmtId="44" fontId="13" fillId="2" borderId="1" xfId="1" applyFont="1" applyFill="1" applyBorder="1"/>
    <xf numFmtId="0" fontId="26" fillId="0" borderId="0" xfId="0" applyFont="1"/>
    <xf numFmtId="0" fontId="16" fillId="3" borderId="1" xfId="0" applyFont="1" applyFill="1" applyBorder="1"/>
    <xf numFmtId="168" fontId="0" fillId="0" borderId="0" xfId="0" applyNumberFormat="1"/>
    <xf numFmtId="0" fontId="25" fillId="4" borderId="5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58"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font>
        <b/>
      </font>
    </dxf>
    <dxf>
      <numFmt numFmtId="164" formatCode="_-&quot;$&quot;\ * #,##0_-;\-&quot;$&quot;\ * #,##0_-;_-&quot;$&quot;\ * &quot;-&quot;??_-;_-@_-"/>
    </dxf>
    <dxf>
      <numFmt numFmtId="1" formatCode="0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7" formatCode="_-&quot;$&quot;\ * #,##0.000_-;\-&quot;$&quot;\ * #,##0.000_-;_-&quot;$&quot;\ * &quot;-&quot;??_-;_-@_-"/>
    </dxf>
    <dxf>
      <numFmt numFmtId="34" formatCode="_-&quot;$&quot;\ * #,##0.00_-;\-&quot;$&quot;\ * #,##0.00_-;_-&quot;$&quot;\ * &quot;-&quot;??_-;_-@_-"/>
    </dxf>
    <dxf>
      <fill>
        <patternFill patternType="solid">
          <fgColor indexed="64"/>
          <bgColor theme="3" tint="0.59999389629810485"/>
        </patternFill>
      </fill>
    </dxf>
    <dxf>
      <fill>
        <patternFill patternType="solid">
          <fgColor indexed="64"/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wrapText="1"/>
    </dxf>
    <dxf>
      <font>
        <b/>
      </font>
    </dxf>
    <dxf>
      <numFmt numFmtId="164" formatCode="_-&quot;$&quot;\ * #,##0_-;\-&quot;$&quot;\ * #,##0_-;_-&quot;$&quot;\ * &quot;-&quot;??_-;_-@_-"/>
    </dxf>
  </dxfs>
  <tableStyles count="0" defaultTableStyle="TableStyleMedium2" defaultPivotStyle="PivotStyleLight16"/>
  <colors>
    <mruColors>
      <color rgb="FFA1C3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INFORME%20INVERSIONISTAS%20EN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"/>
      <sheetName val="INFORME A DIC 25"/>
      <sheetName val="INV. 2026"/>
    </sheetNames>
    <sheetDataSet>
      <sheetData sheetId="0"/>
      <sheetData sheetId="1"/>
      <sheetData sheetId="2">
        <row r="1">
          <cell r="B1" t="str">
            <v>NOMBRES</v>
          </cell>
          <cell r="C1" t="str">
            <v>NO. IDENTIFICACION</v>
          </cell>
          <cell r="D1" t="str">
            <v>NO. CELULAR</v>
          </cell>
          <cell r="E1" t="str">
            <v>LOCALIDAD</v>
          </cell>
          <cell r="F1" t="str">
            <v>No. Cuotas</v>
          </cell>
          <cell r="G1" t="str">
            <v>SALDO A 2025</v>
          </cell>
          <cell r="H1" t="str">
            <v>FORMA</v>
          </cell>
          <cell r="I1" t="str">
            <v>TIPO DE MOVIMIENTO</v>
          </cell>
          <cell r="J1" t="str">
            <v xml:space="preserve">ENERO </v>
          </cell>
        </row>
        <row r="2">
          <cell r="B2" t="str">
            <v xml:space="preserve">DEUDA COLPORTAJE </v>
          </cell>
          <cell r="C2"/>
          <cell r="D2"/>
          <cell r="E2"/>
          <cell r="F2"/>
          <cell r="G2">
            <v>-48000000</v>
          </cell>
          <cell r="H2"/>
          <cell r="I2" t="str">
            <v>DEBITO</v>
          </cell>
          <cell r="J2">
            <v>-3000000</v>
          </cell>
        </row>
        <row r="3">
          <cell r="B3" t="str">
            <v>ABNER GONZALEZ</v>
          </cell>
          <cell r="C3">
            <v>9289920</v>
          </cell>
          <cell r="D3"/>
          <cell r="E3" t="str">
            <v>Medellin</v>
          </cell>
          <cell r="F3">
            <v>1</v>
          </cell>
          <cell r="G3">
            <v>2059000</v>
          </cell>
          <cell r="H3" t="str">
            <v>BCOL AHO</v>
          </cell>
          <cell r="I3" t="str">
            <v>CREDITO</v>
          </cell>
          <cell r="J3"/>
        </row>
        <row r="4">
          <cell r="B4" t="str">
            <v>ALBA MARINA ROMERO</v>
          </cell>
          <cell r="C4"/>
          <cell r="D4"/>
          <cell r="E4"/>
          <cell r="F4"/>
          <cell r="G4">
            <v>100000</v>
          </cell>
          <cell r="H4"/>
          <cell r="I4" t="str">
            <v>CREDITO</v>
          </cell>
          <cell r="J4"/>
        </row>
        <row r="5">
          <cell r="B5" t="str">
            <v>ANA  MISAD</v>
          </cell>
          <cell r="C5"/>
          <cell r="D5"/>
          <cell r="E5" t="str">
            <v>Bogotá</v>
          </cell>
          <cell r="F5"/>
          <cell r="G5">
            <v>200000</v>
          </cell>
          <cell r="H5" t="str">
            <v>EFECTIVO</v>
          </cell>
          <cell r="I5" t="str">
            <v>CREDITO</v>
          </cell>
          <cell r="J5"/>
        </row>
        <row r="6">
          <cell r="B6" t="str">
            <v>ANA CORTES</v>
          </cell>
          <cell r="C6"/>
          <cell r="D6"/>
          <cell r="E6" t="str">
            <v>Bogotá</v>
          </cell>
          <cell r="F6"/>
          <cell r="G6">
            <v>100000</v>
          </cell>
          <cell r="H6" t="str">
            <v>EFECTIVO</v>
          </cell>
          <cell r="I6" t="str">
            <v>CREDITO</v>
          </cell>
          <cell r="J6"/>
        </row>
        <row r="7">
          <cell r="B7" t="str">
            <v>ANA MARIA PORTILLA CLAROS</v>
          </cell>
          <cell r="C7">
            <v>1114621012</v>
          </cell>
          <cell r="D7">
            <v>3207945735</v>
          </cell>
          <cell r="E7" t="str">
            <v>BOGOTA</v>
          </cell>
          <cell r="F7"/>
          <cell r="G7">
            <v>2000000</v>
          </cell>
          <cell r="H7" t="str">
            <v>BCOL AHO</v>
          </cell>
          <cell r="I7" t="str">
            <v>CREDITO</v>
          </cell>
          <cell r="J7"/>
        </row>
        <row r="8">
          <cell r="B8" t="str">
            <v>ANDRES CASTRILLON "GIRARDOTA"</v>
          </cell>
          <cell r="C8">
            <v>1035855590</v>
          </cell>
          <cell r="D8"/>
          <cell r="E8" t="str">
            <v>Girardota</v>
          </cell>
          <cell r="F8"/>
          <cell r="G8">
            <v>1100000</v>
          </cell>
          <cell r="H8" t="str">
            <v>BCOL AHO</v>
          </cell>
          <cell r="I8" t="str">
            <v>CREDITO</v>
          </cell>
          <cell r="J8"/>
        </row>
        <row r="9">
          <cell r="B9" t="str">
            <v>ANDRES MORENO</v>
          </cell>
          <cell r="C9">
            <v>1077465696</v>
          </cell>
          <cell r="D9">
            <v>3207593131</v>
          </cell>
          <cell r="E9" t="str">
            <v>CHOCO</v>
          </cell>
          <cell r="F9"/>
          <cell r="G9">
            <v>1600000</v>
          </cell>
          <cell r="H9"/>
          <cell r="I9" t="str">
            <v>CREDITO</v>
          </cell>
          <cell r="J9"/>
        </row>
        <row r="10">
          <cell r="B10" t="str">
            <v>ANGIE FINO</v>
          </cell>
          <cell r="C10"/>
          <cell r="D10"/>
          <cell r="E10"/>
          <cell r="F10"/>
          <cell r="G10">
            <v>1000000</v>
          </cell>
          <cell r="H10"/>
          <cell r="I10" t="str">
            <v>CREDITO</v>
          </cell>
          <cell r="J10"/>
        </row>
        <row r="11">
          <cell r="B11" t="str">
            <v>ANONIMO</v>
          </cell>
          <cell r="C11"/>
          <cell r="D11"/>
          <cell r="E11" t="str">
            <v>Bogotá</v>
          </cell>
          <cell r="F11"/>
          <cell r="G11">
            <v>580000</v>
          </cell>
          <cell r="H11"/>
          <cell r="I11" t="str">
            <v>CREDITO</v>
          </cell>
          <cell r="J11"/>
        </row>
        <row r="12">
          <cell r="B12" t="str">
            <v xml:space="preserve">APOYO CASA PAC </v>
          </cell>
          <cell r="C12"/>
          <cell r="D12"/>
          <cell r="E12"/>
          <cell r="F12"/>
          <cell r="G12">
            <v>-11431807</v>
          </cell>
          <cell r="H12" t="str">
            <v>BCOL AHO</v>
          </cell>
          <cell r="I12" t="str">
            <v>DEBITO</v>
          </cell>
          <cell r="J12"/>
        </row>
        <row r="13">
          <cell r="B13" t="str">
            <v xml:space="preserve">APOYO CASA PAC </v>
          </cell>
          <cell r="C13"/>
          <cell r="D13"/>
          <cell r="E13"/>
          <cell r="F13"/>
          <cell r="G13">
            <v>-3500000</v>
          </cell>
          <cell r="H13" t="str">
            <v>BCOL ALHO</v>
          </cell>
          <cell r="I13" t="str">
            <v>DEBITO</v>
          </cell>
          <cell r="J13"/>
        </row>
        <row r="14">
          <cell r="B14" t="str">
            <v xml:space="preserve">APOYO CASA PAC </v>
          </cell>
          <cell r="C14"/>
          <cell r="D14"/>
          <cell r="E14"/>
          <cell r="F14"/>
          <cell r="G14">
            <v>0</v>
          </cell>
          <cell r="H14" t="str">
            <v>BCOL AHO</v>
          </cell>
          <cell r="I14" t="str">
            <v>DEBITO</v>
          </cell>
          <cell r="J14"/>
        </row>
        <row r="15">
          <cell r="B15" t="str">
            <v xml:space="preserve">APOYO CEPPEV </v>
          </cell>
          <cell r="C15"/>
          <cell r="D15"/>
          <cell r="E15"/>
          <cell r="F15"/>
          <cell r="G15">
            <v>-55000000</v>
          </cell>
          <cell r="H15" t="str">
            <v>BCOL AHO</v>
          </cell>
          <cell r="I15" t="str">
            <v>DEBITO</v>
          </cell>
          <cell r="J15"/>
        </row>
        <row r="16">
          <cell r="B16" t="str">
            <v>APOYO HNOS. EN BRASIL</v>
          </cell>
          <cell r="C16"/>
          <cell r="D16"/>
          <cell r="E16"/>
          <cell r="F16"/>
          <cell r="G16">
            <v>-592000</v>
          </cell>
          <cell r="H16"/>
          <cell r="I16" t="str">
            <v>DEBITO</v>
          </cell>
          <cell r="J16"/>
        </row>
        <row r="17">
          <cell r="B17" t="str">
            <v xml:space="preserve">APOYO PERU PAC </v>
          </cell>
          <cell r="C17"/>
          <cell r="D17"/>
          <cell r="E17"/>
          <cell r="F17"/>
          <cell r="G17">
            <v>-1667500</v>
          </cell>
          <cell r="H17" t="str">
            <v>BCOL CTE</v>
          </cell>
          <cell r="I17" t="str">
            <v>DEBITO</v>
          </cell>
          <cell r="J17"/>
        </row>
        <row r="18">
          <cell r="B18" t="str">
            <v xml:space="preserve">ARRIENDO CASA PAC </v>
          </cell>
          <cell r="C18"/>
          <cell r="D18"/>
          <cell r="E18"/>
          <cell r="F18"/>
          <cell r="G18">
            <v>-6700000</v>
          </cell>
          <cell r="H18" t="str">
            <v>BCOL AHO</v>
          </cell>
          <cell r="I18" t="str">
            <v>DEBITO</v>
          </cell>
          <cell r="J18"/>
        </row>
        <row r="19">
          <cell r="B19" t="str">
            <v>BENITO HERRRA</v>
          </cell>
          <cell r="C19"/>
          <cell r="D19"/>
          <cell r="E19"/>
          <cell r="F19">
            <v>3</v>
          </cell>
          <cell r="G19">
            <v>1600000</v>
          </cell>
          <cell r="H19" t="str">
            <v>BCOL AHO</v>
          </cell>
          <cell r="I19" t="str">
            <v>CREDITO</v>
          </cell>
          <cell r="J19"/>
        </row>
        <row r="20">
          <cell r="B20" t="str">
            <v>BIBIANA MONTOYA RODAS</v>
          </cell>
          <cell r="C20"/>
          <cell r="D20"/>
          <cell r="E20"/>
          <cell r="F20"/>
          <cell r="G20">
            <v>1500000</v>
          </cell>
          <cell r="H20" t="str">
            <v>BCOL AHO</v>
          </cell>
          <cell r="I20" t="str">
            <v>CREDITO</v>
          </cell>
          <cell r="J20"/>
        </row>
        <row r="21">
          <cell r="B21" t="str">
            <v>BRAYER ALEXIS QUINTERO FERNANDEZ</v>
          </cell>
          <cell r="C21"/>
          <cell r="D21"/>
          <cell r="E21"/>
          <cell r="F21"/>
          <cell r="G21">
            <v>2820000</v>
          </cell>
          <cell r="H21" t="str">
            <v>BCOL AHO</v>
          </cell>
          <cell r="I21" t="str">
            <v>CREDITO</v>
          </cell>
          <cell r="J21">
            <v>400000</v>
          </cell>
        </row>
        <row r="22">
          <cell r="B22" t="str">
            <v>CARLIS MICHELE PEREZ  CANO</v>
          </cell>
          <cell r="C22">
            <v>1095846194</v>
          </cell>
          <cell r="D22">
            <v>3022962452</v>
          </cell>
          <cell r="E22" t="str">
            <v>BOGOTA</v>
          </cell>
          <cell r="F22"/>
          <cell r="G22">
            <v>1000000</v>
          </cell>
          <cell r="H22" t="str">
            <v>BCOL AHO</v>
          </cell>
          <cell r="I22" t="str">
            <v>CREDITO</v>
          </cell>
          <cell r="J22"/>
        </row>
        <row r="23">
          <cell r="B23" t="str">
            <v>CARLOS  CARRASCO</v>
          </cell>
          <cell r="C23"/>
          <cell r="D23"/>
          <cell r="E23" t="str">
            <v>Bogotá</v>
          </cell>
          <cell r="F23">
            <v>1</v>
          </cell>
          <cell r="G23">
            <v>6219000</v>
          </cell>
          <cell r="H23" t="str">
            <v>EFECTIVO</v>
          </cell>
          <cell r="I23" t="str">
            <v>CREDITO</v>
          </cell>
          <cell r="J23">
            <v>400000</v>
          </cell>
        </row>
        <row r="24">
          <cell r="B24" t="str">
            <v>CARLOS  PALMA</v>
          </cell>
          <cell r="C24"/>
          <cell r="D24"/>
          <cell r="E24" t="str">
            <v>Bogotá</v>
          </cell>
          <cell r="F24">
            <v>1</v>
          </cell>
          <cell r="G24">
            <v>4800000</v>
          </cell>
          <cell r="H24" t="str">
            <v>EFECTIVO</v>
          </cell>
          <cell r="I24" t="str">
            <v>CREDITO</v>
          </cell>
          <cell r="J24"/>
        </row>
        <row r="25">
          <cell r="B25" t="str">
            <v>CARLOS ANDRES COCUY</v>
          </cell>
          <cell r="C25">
            <v>14797460</v>
          </cell>
          <cell r="D25">
            <v>3160438302</v>
          </cell>
          <cell r="E25" t="str">
            <v>DOSQUEBRADAS</v>
          </cell>
          <cell r="F25"/>
          <cell r="G25">
            <v>5200000</v>
          </cell>
          <cell r="H25" t="str">
            <v>BCOL AHO</v>
          </cell>
          <cell r="I25" t="str">
            <v>CREDITO</v>
          </cell>
          <cell r="J25"/>
        </row>
        <row r="26">
          <cell r="B26" t="str">
            <v>CAROLINA QUIROGA</v>
          </cell>
          <cell r="C26"/>
          <cell r="D26"/>
          <cell r="E26"/>
          <cell r="F26"/>
          <cell r="G26">
            <v>100000</v>
          </cell>
          <cell r="H26" t="str">
            <v>BCOL AHO</v>
          </cell>
          <cell r="I26" t="str">
            <v>CREDITO</v>
          </cell>
          <cell r="J26"/>
        </row>
        <row r="27">
          <cell r="B27" t="str">
            <v>CESAR  VERA</v>
          </cell>
          <cell r="C27">
            <v>79333423</v>
          </cell>
          <cell r="D27">
            <v>3166268412</v>
          </cell>
          <cell r="E27" t="str">
            <v>BOGOTA</v>
          </cell>
          <cell r="F27">
            <v>3</v>
          </cell>
          <cell r="G27">
            <v>22900000</v>
          </cell>
          <cell r="H27" t="str">
            <v>EFECTIVO</v>
          </cell>
          <cell r="I27" t="str">
            <v>CREDITO</v>
          </cell>
          <cell r="J27">
            <v>1200000</v>
          </cell>
        </row>
        <row r="28">
          <cell r="B28" t="str">
            <v>CLAUDIA ARCINIEGAS</v>
          </cell>
          <cell r="C28"/>
          <cell r="D28"/>
          <cell r="E28"/>
          <cell r="F28"/>
          <cell r="G28">
            <v>800000</v>
          </cell>
          <cell r="H28" t="str">
            <v>BCOL AHO</v>
          </cell>
          <cell r="I28" t="str">
            <v>CREDITO</v>
          </cell>
          <cell r="J28"/>
        </row>
        <row r="29">
          <cell r="B29" t="str">
            <v>COMPRA CELULAR</v>
          </cell>
          <cell r="C29"/>
          <cell r="D29"/>
          <cell r="E29"/>
          <cell r="F29"/>
          <cell r="G29">
            <v>-769900</v>
          </cell>
          <cell r="H29"/>
          <cell r="I29" t="str">
            <v>DEBITO</v>
          </cell>
          <cell r="J29"/>
        </row>
        <row r="30">
          <cell r="B30" t="str">
            <v>DANIEL  VARGAS</v>
          </cell>
          <cell r="C30"/>
          <cell r="D30"/>
          <cell r="E30"/>
          <cell r="F30">
            <v>1</v>
          </cell>
          <cell r="G30">
            <v>1200000</v>
          </cell>
          <cell r="H30" t="str">
            <v>BCOL AHO</v>
          </cell>
          <cell r="I30" t="str">
            <v>CREDITO</v>
          </cell>
          <cell r="J30">
            <v>400000</v>
          </cell>
        </row>
        <row r="31">
          <cell r="B31" t="str">
            <v>DANIELA CASTO</v>
          </cell>
          <cell r="C31"/>
          <cell r="D31"/>
          <cell r="E31"/>
          <cell r="F31"/>
          <cell r="G31">
            <v>200000</v>
          </cell>
          <cell r="H31" t="str">
            <v>BCOL AHO</v>
          </cell>
          <cell r="I31" t="str">
            <v>CREDITO</v>
          </cell>
          <cell r="J31"/>
        </row>
        <row r="32">
          <cell r="B32" t="str">
            <v>DAVID MAESTRE</v>
          </cell>
          <cell r="C32"/>
          <cell r="D32"/>
          <cell r="E32"/>
          <cell r="F32"/>
          <cell r="G32">
            <v>2400000</v>
          </cell>
          <cell r="H32" t="str">
            <v>BCOL AHO</v>
          </cell>
          <cell r="I32" t="str">
            <v>CREDITO</v>
          </cell>
          <cell r="J32"/>
        </row>
        <row r="33">
          <cell r="B33" t="str">
            <v>DAVID MIRANDA</v>
          </cell>
          <cell r="C33"/>
          <cell r="D33"/>
          <cell r="E33" t="str">
            <v>Bogotá</v>
          </cell>
          <cell r="F33">
            <v>1</v>
          </cell>
          <cell r="G33">
            <v>4400000</v>
          </cell>
          <cell r="H33" t="str">
            <v>BCOL AHO</v>
          </cell>
          <cell r="I33" t="str">
            <v>CREDITO</v>
          </cell>
          <cell r="J33"/>
        </row>
        <row r="34">
          <cell r="B34" t="str">
            <v>EDDWARD  GARCIA</v>
          </cell>
          <cell r="C34"/>
          <cell r="D34"/>
          <cell r="E34" t="str">
            <v>Bogotá</v>
          </cell>
          <cell r="F34">
            <v>1</v>
          </cell>
          <cell r="G34">
            <v>240000</v>
          </cell>
          <cell r="H34" t="str">
            <v>EFECTIVO</v>
          </cell>
          <cell r="I34" t="str">
            <v>CREDITO</v>
          </cell>
          <cell r="J34"/>
        </row>
        <row r="35">
          <cell r="B35" t="str">
            <v xml:space="preserve">ENTREGA RESERVA PEDRO DONG </v>
          </cell>
          <cell r="C35"/>
          <cell r="D35"/>
          <cell r="E35"/>
          <cell r="F35"/>
          <cell r="G35">
            <v>-74300000</v>
          </cell>
          <cell r="H35"/>
          <cell r="I35" t="str">
            <v>DEBITO</v>
          </cell>
          <cell r="J35"/>
        </row>
        <row r="36">
          <cell r="B36" t="str">
            <v>ENVIO EAV</v>
          </cell>
          <cell r="C36"/>
          <cell r="D36"/>
          <cell r="E36"/>
          <cell r="F36"/>
          <cell r="G36">
            <v>-12015000</v>
          </cell>
          <cell r="H36"/>
          <cell r="I36" t="str">
            <v>DEBITO</v>
          </cell>
          <cell r="J36"/>
        </row>
        <row r="37">
          <cell r="B37" t="str">
            <v>ERICA PLATA</v>
          </cell>
          <cell r="C37">
            <v>60362206</v>
          </cell>
          <cell r="D37">
            <v>3165652640</v>
          </cell>
          <cell r="E37" t="str">
            <v>LOS PATIOS</v>
          </cell>
          <cell r="F37">
            <v>1</v>
          </cell>
          <cell r="G37">
            <v>1000000</v>
          </cell>
          <cell r="H37" t="str">
            <v>BCOL AHO 2</v>
          </cell>
          <cell r="I37" t="str">
            <v>CREDITO</v>
          </cell>
          <cell r="J37"/>
        </row>
        <row r="38">
          <cell r="B38" t="str">
            <v>ERMILGEN  RIAÑO</v>
          </cell>
          <cell r="C38"/>
          <cell r="D38"/>
          <cell r="E38" t="str">
            <v>Bogotá</v>
          </cell>
          <cell r="F38"/>
          <cell r="G38">
            <v>100000</v>
          </cell>
          <cell r="H38" t="str">
            <v>EFECTIVO</v>
          </cell>
          <cell r="I38" t="str">
            <v>CREDITO</v>
          </cell>
          <cell r="J38"/>
        </row>
        <row r="39">
          <cell r="B39" t="str">
            <v>ESTEBAN ISAZA MUÑOZ</v>
          </cell>
          <cell r="C39">
            <v>88230239</v>
          </cell>
          <cell r="D39">
            <v>3123933769</v>
          </cell>
          <cell r="E39" t="str">
            <v>PAMPLONA</v>
          </cell>
          <cell r="F39">
            <v>1</v>
          </cell>
          <cell r="G39">
            <v>10045000</v>
          </cell>
          <cell r="H39" t="str">
            <v>BCOL AHO 2</v>
          </cell>
          <cell r="I39" t="str">
            <v>CREDITO</v>
          </cell>
          <cell r="J39">
            <v>1600000</v>
          </cell>
        </row>
        <row r="40">
          <cell r="B40" t="str">
            <v>ESTHER TORRES</v>
          </cell>
          <cell r="C40"/>
          <cell r="D40"/>
          <cell r="E40" t="str">
            <v>Bogotá</v>
          </cell>
          <cell r="F40"/>
          <cell r="G40">
            <v>450000</v>
          </cell>
          <cell r="H40" t="str">
            <v>EFECTIVO</v>
          </cell>
          <cell r="I40" t="str">
            <v>CREDITO</v>
          </cell>
          <cell r="J40"/>
        </row>
        <row r="41">
          <cell r="B41" t="str">
            <v>EUSEBIO MONTES</v>
          </cell>
          <cell r="C41"/>
          <cell r="D41"/>
          <cell r="E41"/>
          <cell r="F41">
            <v>1</v>
          </cell>
          <cell r="G41">
            <v>0</v>
          </cell>
          <cell r="H41" t="str">
            <v>No Registra</v>
          </cell>
          <cell r="I41" t="str">
            <v>CREDITO</v>
          </cell>
          <cell r="J41"/>
        </row>
        <row r="42">
          <cell r="B42" t="str">
            <v>FLOR  ACUÑA</v>
          </cell>
          <cell r="C42"/>
          <cell r="D42"/>
          <cell r="E42" t="str">
            <v>Bogotá</v>
          </cell>
          <cell r="F42"/>
          <cell r="G42">
            <v>400000</v>
          </cell>
          <cell r="H42" t="str">
            <v>BCOL AHO</v>
          </cell>
          <cell r="I42" t="str">
            <v>CREDITO</v>
          </cell>
          <cell r="J42"/>
        </row>
        <row r="43">
          <cell r="B43" t="str">
            <v>FLOR  SALAMANCA</v>
          </cell>
          <cell r="C43">
            <v>23963745</v>
          </cell>
          <cell r="D43">
            <v>3142385522</v>
          </cell>
          <cell r="E43" t="str">
            <v>Bogotá</v>
          </cell>
          <cell r="F43">
            <v>2</v>
          </cell>
          <cell r="G43">
            <v>21600000</v>
          </cell>
          <cell r="H43" t="str">
            <v>BCOL AHO-EF</v>
          </cell>
          <cell r="I43" t="str">
            <v>CREDITO</v>
          </cell>
          <cell r="J43">
            <v>3600000</v>
          </cell>
        </row>
        <row r="44">
          <cell r="B44" t="str">
            <v>FRANCISCO VILLAMIL</v>
          </cell>
          <cell r="C44"/>
          <cell r="D44"/>
          <cell r="E44" t="str">
            <v>Bogotá</v>
          </cell>
          <cell r="F44"/>
          <cell r="G44">
            <v>2200000</v>
          </cell>
          <cell r="H44" t="str">
            <v>EFECTIVO</v>
          </cell>
          <cell r="I44" t="str">
            <v>CREDITO</v>
          </cell>
          <cell r="J44">
            <v>400000</v>
          </cell>
        </row>
        <row r="45">
          <cell r="B45" t="str">
            <v>FREIMAN JAIMES</v>
          </cell>
          <cell r="C45">
            <v>13177594</v>
          </cell>
          <cell r="D45">
            <v>3107951023</v>
          </cell>
          <cell r="E45" t="str">
            <v>OCAÑA</v>
          </cell>
          <cell r="F45">
            <v>1</v>
          </cell>
          <cell r="G45">
            <v>800000</v>
          </cell>
          <cell r="H45" t="str">
            <v>No Registra</v>
          </cell>
          <cell r="I45" t="str">
            <v>CREDITO</v>
          </cell>
          <cell r="J45"/>
        </row>
        <row r="46">
          <cell r="B46" t="str">
            <v>GISEL DANIELA GUTIERREZ MURILLO</v>
          </cell>
          <cell r="C46"/>
          <cell r="D46"/>
          <cell r="E46"/>
          <cell r="F46"/>
          <cell r="G46">
            <v>1200000</v>
          </cell>
          <cell r="H46" t="str">
            <v>BCOL AHO</v>
          </cell>
          <cell r="I46" t="str">
            <v>CREDITO</v>
          </cell>
          <cell r="J46"/>
        </row>
        <row r="47">
          <cell r="B47" t="str">
            <v>GUILLERMO MONSALVE</v>
          </cell>
          <cell r="C47">
            <v>4803428</v>
          </cell>
          <cell r="D47">
            <v>3009838761</v>
          </cell>
          <cell r="E47" t="str">
            <v>SINCELEJO</v>
          </cell>
          <cell r="F47"/>
          <cell r="G47">
            <v>4400000</v>
          </cell>
          <cell r="H47" t="str">
            <v>BCOL AHO</v>
          </cell>
          <cell r="I47" t="str">
            <v>CREDITO</v>
          </cell>
          <cell r="J47"/>
        </row>
        <row r="48">
          <cell r="B48" t="str">
            <v>HERMES PATIÑO</v>
          </cell>
          <cell r="C48">
            <v>93206783</v>
          </cell>
          <cell r="D48">
            <v>3125188563</v>
          </cell>
          <cell r="E48" t="str">
            <v>SINCELEJO</v>
          </cell>
          <cell r="F48"/>
          <cell r="G48">
            <v>6000000</v>
          </cell>
          <cell r="H48" t="str">
            <v>BCOL AHO</v>
          </cell>
          <cell r="I48" t="str">
            <v>CREDITO</v>
          </cell>
          <cell r="J48"/>
        </row>
        <row r="49">
          <cell r="B49" t="str">
            <v>HUMBERTO  OSPINO</v>
          </cell>
          <cell r="C49">
            <v>72147202</v>
          </cell>
          <cell r="D49">
            <v>3126317467</v>
          </cell>
          <cell r="E49" t="str">
            <v>ENVIGADO</v>
          </cell>
          <cell r="F49"/>
          <cell r="G49">
            <v>4400000</v>
          </cell>
          <cell r="H49" t="str">
            <v>BCOL AHO 2</v>
          </cell>
          <cell r="I49" t="str">
            <v>CREDITO</v>
          </cell>
          <cell r="J49"/>
        </row>
        <row r="50">
          <cell r="B50" t="str">
            <v xml:space="preserve">IG. EN  PTO. COLOMBIA </v>
          </cell>
          <cell r="C50"/>
          <cell r="D50"/>
          <cell r="E50" t="str">
            <v>Barranquilla</v>
          </cell>
          <cell r="F50"/>
          <cell r="G50">
            <v>6522000</v>
          </cell>
          <cell r="H50" t="str">
            <v>BCOL AHO</v>
          </cell>
          <cell r="I50" t="str">
            <v>CREDITO</v>
          </cell>
          <cell r="J50"/>
        </row>
        <row r="51">
          <cell r="B51" t="str">
            <v xml:space="preserve">IG. EN BARRANQUILLA </v>
          </cell>
          <cell r="C51">
            <v>8742974</v>
          </cell>
          <cell r="D51">
            <v>317889812</v>
          </cell>
          <cell r="E51" t="str">
            <v>BARRANQUILLA</v>
          </cell>
          <cell r="F51"/>
          <cell r="G51">
            <v>20208000</v>
          </cell>
          <cell r="H51" t="str">
            <v>BCOL AHO</v>
          </cell>
          <cell r="I51" t="str">
            <v>CREDITO</v>
          </cell>
          <cell r="J51">
            <v>2085000</v>
          </cell>
        </row>
        <row r="52">
          <cell r="B52" t="str">
            <v>IG. EN BAYUNCA JAVIER MIRANDA</v>
          </cell>
          <cell r="C52"/>
          <cell r="D52"/>
          <cell r="E52" t="str">
            <v>Bolivar</v>
          </cell>
          <cell r="F52"/>
          <cell r="G52">
            <v>600000</v>
          </cell>
          <cell r="H52" t="str">
            <v>BCOL AHO</v>
          </cell>
          <cell r="I52" t="str">
            <v>CREDITO</v>
          </cell>
          <cell r="J52"/>
        </row>
        <row r="53">
          <cell r="B53" t="str">
            <v>IG. EN BUCARAMANGA</v>
          </cell>
          <cell r="C53">
            <v>900379577</v>
          </cell>
          <cell r="D53">
            <v>31844096518</v>
          </cell>
          <cell r="E53" t="str">
            <v>B/Manga</v>
          </cell>
          <cell r="F53"/>
          <cell r="G53">
            <v>19725000</v>
          </cell>
          <cell r="H53"/>
          <cell r="I53" t="str">
            <v>CREDITO</v>
          </cell>
          <cell r="J53"/>
        </row>
        <row r="54">
          <cell r="B54" t="str">
            <v xml:space="preserve">IG. EN CARTAGO </v>
          </cell>
          <cell r="C54"/>
          <cell r="D54"/>
          <cell r="E54" t="str">
            <v>Cartago</v>
          </cell>
          <cell r="F54">
            <v>1</v>
          </cell>
          <cell r="G54">
            <v>4095000</v>
          </cell>
          <cell r="H54" t="str">
            <v>BCOL AHO</v>
          </cell>
          <cell r="I54" t="str">
            <v>CREDITO</v>
          </cell>
          <cell r="J54"/>
        </row>
        <row r="55">
          <cell r="B55" t="str">
            <v xml:space="preserve">IG. EN CORDOBA </v>
          </cell>
          <cell r="C55"/>
          <cell r="D55"/>
          <cell r="E55" t="str">
            <v>Cordoba</v>
          </cell>
          <cell r="F55">
            <v>1</v>
          </cell>
          <cell r="G55">
            <v>12937600</v>
          </cell>
          <cell r="H55" t="str">
            <v>BCOL AHO 2</v>
          </cell>
          <cell r="I55" t="str">
            <v>CREDITO</v>
          </cell>
          <cell r="J55"/>
        </row>
        <row r="56">
          <cell r="B56" t="str">
            <v>IG. EN CUCUTA GUSTAVO LEON</v>
          </cell>
          <cell r="C56">
            <v>16354014</v>
          </cell>
          <cell r="D56">
            <v>3133884161</v>
          </cell>
          <cell r="E56" t="str">
            <v>CUCUTA</v>
          </cell>
          <cell r="F56">
            <v>1</v>
          </cell>
          <cell r="G56">
            <v>16940000</v>
          </cell>
          <cell r="H56" t="str">
            <v>BCOL AHO 2</v>
          </cell>
          <cell r="I56" t="str">
            <v>CREDITO</v>
          </cell>
          <cell r="J56">
            <v>800000</v>
          </cell>
        </row>
        <row r="57">
          <cell r="B57" t="str">
            <v xml:space="preserve">IG. EN DOSQUEBRADAS </v>
          </cell>
          <cell r="C57"/>
          <cell r="D57"/>
          <cell r="E57" t="str">
            <v>Dosquebradas</v>
          </cell>
          <cell r="F57"/>
          <cell r="G57">
            <v>2700000</v>
          </cell>
          <cell r="H57" t="str">
            <v>BCOL AHO</v>
          </cell>
          <cell r="I57" t="str">
            <v>CREDITO</v>
          </cell>
          <cell r="J57"/>
        </row>
        <row r="58">
          <cell r="B58" t="str">
            <v xml:space="preserve">IG. EN EL D.C. </v>
          </cell>
          <cell r="C58">
            <v>900299699</v>
          </cell>
          <cell r="D58">
            <v>3214118979</v>
          </cell>
          <cell r="E58" t="str">
            <v>Bogotá</v>
          </cell>
          <cell r="F58"/>
          <cell r="G58">
            <v>16800000</v>
          </cell>
          <cell r="H58" t="str">
            <v>TRASLADO</v>
          </cell>
          <cell r="I58" t="str">
            <v>CREDITO</v>
          </cell>
          <cell r="J58">
            <v>800000</v>
          </cell>
        </row>
        <row r="59">
          <cell r="B59" t="str">
            <v xml:space="preserve">IG. EN GIRARDOT </v>
          </cell>
          <cell r="C59"/>
          <cell r="D59"/>
          <cell r="E59" t="str">
            <v>Girardot</v>
          </cell>
          <cell r="F59"/>
          <cell r="G59">
            <v>220000</v>
          </cell>
          <cell r="H59" t="str">
            <v>BCOL AHO 2</v>
          </cell>
          <cell r="I59" t="str">
            <v>CREDITO</v>
          </cell>
          <cell r="J59"/>
        </row>
        <row r="60">
          <cell r="B60" t="str">
            <v xml:space="preserve">IG. EN GIRARDOTA </v>
          </cell>
          <cell r="C60"/>
          <cell r="D60"/>
          <cell r="E60" t="str">
            <v>Girardota</v>
          </cell>
          <cell r="F60"/>
          <cell r="G60">
            <v>13600000</v>
          </cell>
          <cell r="H60" t="str">
            <v>BCOL AHO</v>
          </cell>
          <cell r="I60" t="str">
            <v>CREDITO</v>
          </cell>
          <cell r="J60"/>
        </row>
        <row r="61">
          <cell r="B61" t="str">
            <v xml:space="preserve">IG. EN ITAGUI </v>
          </cell>
          <cell r="C61"/>
          <cell r="D61"/>
          <cell r="E61" t="str">
            <v>Itagui</v>
          </cell>
          <cell r="F61"/>
          <cell r="G61">
            <v>3050000</v>
          </cell>
          <cell r="H61" t="str">
            <v>BCOL AHO</v>
          </cell>
          <cell r="I61" t="str">
            <v>CREDITO</v>
          </cell>
          <cell r="J61"/>
        </row>
        <row r="62">
          <cell r="B62" t="str">
            <v xml:space="preserve">IG. EN ITSMINA </v>
          </cell>
          <cell r="C62">
            <v>11809146</v>
          </cell>
          <cell r="D62">
            <v>3136811706</v>
          </cell>
          <cell r="E62" t="str">
            <v>Itsmina</v>
          </cell>
          <cell r="F62"/>
          <cell r="G62">
            <v>9745000</v>
          </cell>
          <cell r="H62" t="str">
            <v>BCOL AHO</v>
          </cell>
          <cell r="I62" t="str">
            <v>CREDITO</v>
          </cell>
          <cell r="J62">
            <v>800000</v>
          </cell>
        </row>
        <row r="63">
          <cell r="B63" t="str">
            <v xml:space="preserve">IG. EN LA MINA </v>
          </cell>
          <cell r="C63"/>
          <cell r="D63"/>
          <cell r="E63" t="str">
            <v>La mina</v>
          </cell>
          <cell r="F63"/>
          <cell r="G63">
            <v>1600000</v>
          </cell>
          <cell r="H63" t="str">
            <v>BCOL AHO</v>
          </cell>
          <cell r="I63" t="str">
            <v>CREDITO</v>
          </cell>
          <cell r="J63">
            <v>400000</v>
          </cell>
        </row>
        <row r="64">
          <cell r="B64" t="str">
            <v xml:space="preserve">IG. EN MALAMBO </v>
          </cell>
          <cell r="C64"/>
          <cell r="D64"/>
          <cell r="E64" t="str">
            <v>Malambo</v>
          </cell>
          <cell r="F64">
            <v>1</v>
          </cell>
          <cell r="G64">
            <v>2285000</v>
          </cell>
          <cell r="H64" t="str">
            <v>BCOL AHO 2</v>
          </cell>
          <cell r="I64" t="str">
            <v>CREDITO</v>
          </cell>
          <cell r="J64">
            <v>400000</v>
          </cell>
        </row>
        <row r="65">
          <cell r="B65" t="str">
            <v>IG. EN MEDELLIN</v>
          </cell>
          <cell r="C65"/>
          <cell r="D65"/>
          <cell r="E65" t="str">
            <v>Medellin</v>
          </cell>
          <cell r="F65"/>
          <cell r="G65">
            <v>2800000</v>
          </cell>
          <cell r="H65"/>
          <cell r="I65" t="str">
            <v>CREDITO</v>
          </cell>
          <cell r="J65"/>
        </row>
        <row r="66">
          <cell r="B66" t="str">
            <v xml:space="preserve">IG. EN NEIVA </v>
          </cell>
          <cell r="C66"/>
          <cell r="D66"/>
          <cell r="E66" t="str">
            <v>Neiva</v>
          </cell>
          <cell r="F66"/>
          <cell r="G66">
            <v>9200000</v>
          </cell>
          <cell r="H66" t="str">
            <v>BCOL AHO</v>
          </cell>
          <cell r="I66" t="str">
            <v>CREDITO</v>
          </cell>
          <cell r="J66">
            <v>600000</v>
          </cell>
        </row>
        <row r="67">
          <cell r="B67" t="str">
            <v xml:space="preserve">IG. EN OCAÑA </v>
          </cell>
          <cell r="C67" t="str">
            <v>900420427-8</v>
          </cell>
          <cell r="D67"/>
          <cell r="E67" t="str">
            <v>Ocaña</v>
          </cell>
          <cell r="F67"/>
          <cell r="G67">
            <v>11200000</v>
          </cell>
          <cell r="H67" t="str">
            <v>BCOL AHO</v>
          </cell>
          <cell r="I67" t="str">
            <v>CREDITO</v>
          </cell>
          <cell r="J67"/>
        </row>
        <row r="68">
          <cell r="B68" t="str">
            <v xml:space="preserve">IG. EN PEREIRA </v>
          </cell>
          <cell r="C68"/>
          <cell r="D68"/>
          <cell r="E68" t="str">
            <v>Pereira</v>
          </cell>
          <cell r="F68">
            <v>2</v>
          </cell>
          <cell r="G68">
            <v>14800000</v>
          </cell>
          <cell r="H68" t="str">
            <v>BCOL AHO 2</v>
          </cell>
          <cell r="I68" t="str">
            <v>CREDITO</v>
          </cell>
          <cell r="J68"/>
        </row>
        <row r="69">
          <cell r="B69" t="str">
            <v xml:space="preserve">IG. EN QUIBDO </v>
          </cell>
          <cell r="C69">
            <v>900371129</v>
          </cell>
          <cell r="D69">
            <v>3216464514</v>
          </cell>
          <cell r="E69" t="str">
            <v>QUIBDO</v>
          </cell>
          <cell r="F69"/>
          <cell r="G69">
            <v>2000000</v>
          </cell>
          <cell r="H69" t="str">
            <v>BCOL AHO</v>
          </cell>
          <cell r="I69" t="str">
            <v>CREDITO</v>
          </cell>
          <cell r="J69"/>
        </row>
        <row r="70">
          <cell r="B70" t="str">
            <v>IG. EN RIOHACHA</v>
          </cell>
          <cell r="C70"/>
          <cell r="D70"/>
          <cell r="E70" t="str">
            <v>Riohacha</v>
          </cell>
          <cell r="F70"/>
          <cell r="G70">
            <v>440000</v>
          </cell>
          <cell r="H70" t="str">
            <v>BCOL AHO</v>
          </cell>
          <cell r="I70" t="str">
            <v>CREDITO</v>
          </cell>
          <cell r="J70"/>
        </row>
        <row r="71">
          <cell r="B71" t="str">
            <v xml:space="preserve">IG. EN RIVERA </v>
          </cell>
          <cell r="C71"/>
          <cell r="D71"/>
          <cell r="E71" t="str">
            <v>Rivera</v>
          </cell>
          <cell r="F71"/>
          <cell r="G71">
            <v>1250000</v>
          </cell>
          <cell r="H71" t="str">
            <v>BCOL AHO</v>
          </cell>
          <cell r="I71" t="str">
            <v>CREDITO</v>
          </cell>
          <cell r="J71"/>
        </row>
        <row r="72">
          <cell r="B72" t="str">
            <v xml:space="preserve">IG. EN SINCELEJO </v>
          </cell>
          <cell r="C72"/>
          <cell r="D72"/>
          <cell r="E72" t="str">
            <v>Sincelejo</v>
          </cell>
          <cell r="F72"/>
          <cell r="G72">
            <v>1400000</v>
          </cell>
          <cell r="H72" t="str">
            <v>BCOL AHO</v>
          </cell>
          <cell r="I72" t="str">
            <v>CREDITO</v>
          </cell>
          <cell r="J72">
            <v>400000</v>
          </cell>
        </row>
        <row r="73">
          <cell r="B73" t="str">
            <v xml:space="preserve">IG. EN SOLEDAD </v>
          </cell>
          <cell r="C73"/>
          <cell r="D73"/>
          <cell r="E73" t="str">
            <v>Soledad</v>
          </cell>
          <cell r="F73"/>
          <cell r="G73">
            <v>9524000</v>
          </cell>
          <cell r="H73" t="str">
            <v>BCOL AHO</v>
          </cell>
          <cell r="I73" t="str">
            <v>CREDITO</v>
          </cell>
          <cell r="J73"/>
        </row>
        <row r="74">
          <cell r="B74" t="str">
            <v>IG. EN STA MARTA JOSE LUIS TERAN</v>
          </cell>
          <cell r="C74"/>
          <cell r="D74">
            <v>3233712038</v>
          </cell>
          <cell r="E74" t="str">
            <v>Sta marta</v>
          </cell>
          <cell r="F74"/>
          <cell r="G74">
            <v>7266250</v>
          </cell>
          <cell r="H74" t="str">
            <v>BCOL AHO</v>
          </cell>
          <cell r="I74" t="str">
            <v>CREDITO</v>
          </cell>
          <cell r="J74">
            <v>2130000</v>
          </cell>
        </row>
        <row r="75">
          <cell r="B75" t="str">
            <v xml:space="preserve">IG. EN SUAN </v>
          </cell>
          <cell r="C75"/>
          <cell r="D75"/>
          <cell r="E75" t="str">
            <v>Suan</v>
          </cell>
          <cell r="F75"/>
          <cell r="G75">
            <v>3645000</v>
          </cell>
          <cell r="H75" t="str">
            <v>BCOL AHO</v>
          </cell>
          <cell r="I75" t="str">
            <v>CREDITO</v>
          </cell>
          <cell r="J75">
            <v>570000</v>
          </cell>
        </row>
        <row r="76">
          <cell r="B76" t="str">
            <v xml:space="preserve">IG. EN TURBACO </v>
          </cell>
          <cell r="C76"/>
          <cell r="D76"/>
          <cell r="E76" t="str">
            <v>Turbaco</v>
          </cell>
          <cell r="F76"/>
          <cell r="G76">
            <v>5704059</v>
          </cell>
          <cell r="H76" t="str">
            <v>BCOL AHO</v>
          </cell>
          <cell r="I76" t="str">
            <v>CREDITO</v>
          </cell>
          <cell r="J76"/>
        </row>
        <row r="77">
          <cell r="B77" t="str">
            <v xml:space="preserve">IG. EN UBATE </v>
          </cell>
          <cell r="C77">
            <v>900384157</v>
          </cell>
          <cell r="D77">
            <v>3103160465</v>
          </cell>
          <cell r="E77" t="str">
            <v>Ubate</v>
          </cell>
          <cell r="F77"/>
          <cell r="G77">
            <v>18700000</v>
          </cell>
          <cell r="H77" t="str">
            <v>BCOL AHO</v>
          </cell>
          <cell r="I77" t="str">
            <v>CREDITO</v>
          </cell>
          <cell r="J77">
            <v>4800000</v>
          </cell>
        </row>
        <row r="78">
          <cell r="B78" t="str">
            <v xml:space="preserve">IG. EN VALLEDUPAR </v>
          </cell>
          <cell r="C78">
            <v>900406774</v>
          </cell>
          <cell r="D78"/>
          <cell r="E78" t="str">
            <v>Valledupar</v>
          </cell>
          <cell r="F78"/>
          <cell r="G78">
            <v>62180000</v>
          </cell>
          <cell r="H78" t="str">
            <v>BCOL AHO</v>
          </cell>
          <cell r="I78" t="str">
            <v>CREDITO</v>
          </cell>
          <cell r="J78"/>
        </row>
        <row r="79">
          <cell r="B79" t="str">
            <v>IG. EN VILLAVICENCIO</v>
          </cell>
          <cell r="C79"/>
          <cell r="D79"/>
          <cell r="E79" t="str">
            <v>Villavicencio</v>
          </cell>
          <cell r="F79"/>
          <cell r="G79">
            <v>2110000</v>
          </cell>
          <cell r="H79" t="str">
            <v>BCOL AHO</v>
          </cell>
          <cell r="I79" t="str">
            <v>CREDITO</v>
          </cell>
          <cell r="J79"/>
        </row>
        <row r="80">
          <cell r="B80" t="str">
            <v>IG. EN VILLA DEL ROSARIO</v>
          </cell>
          <cell r="C80"/>
          <cell r="D80"/>
          <cell r="E80" t="str">
            <v>Villa del Rosario</v>
          </cell>
          <cell r="F80"/>
          <cell r="G80">
            <v>7580000</v>
          </cell>
          <cell r="H80"/>
          <cell r="I80" t="str">
            <v>CREDITO</v>
          </cell>
          <cell r="J80">
            <v>1200000</v>
          </cell>
        </row>
        <row r="81">
          <cell r="B81" t="str">
            <v>IG. EN TULUA GUILLERMO HERRERA MURCIA</v>
          </cell>
          <cell r="C81"/>
          <cell r="D81"/>
          <cell r="E81" t="str">
            <v>Tulua</v>
          </cell>
          <cell r="F81"/>
          <cell r="G81">
            <v>2800000</v>
          </cell>
          <cell r="H81" t="str">
            <v>BCOL AHO</v>
          </cell>
          <cell r="I81" t="str">
            <v>CREDITO</v>
          </cell>
          <cell r="J81"/>
        </row>
        <row r="82">
          <cell r="B82" t="str">
            <v>IG. EN ARMENIA</v>
          </cell>
          <cell r="C82"/>
          <cell r="D82"/>
          <cell r="E82" t="str">
            <v>Armenia</v>
          </cell>
          <cell r="F82"/>
          <cell r="G82">
            <v>3600000</v>
          </cell>
          <cell r="H82"/>
          <cell r="I82" t="str">
            <v>CREDITO</v>
          </cell>
          <cell r="J82"/>
        </row>
        <row r="83">
          <cell r="B83" t="str">
            <v>IG. EN CARTAGENA</v>
          </cell>
          <cell r="C83"/>
          <cell r="D83"/>
          <cell r="E83" t="str">
            <v>CARTAGENA</v>
          </cell>
          <cell r="F83"/>
          <cell r="G83">
            <v>12090000</v>
          </cell>
          <cell r="H83"/>
          <cell r="I83" t="str">
            <v>CREDITO</v>
          </cell>
          <cell r="J83"/>
        </row>
        <row r="84">
          <cell r="B84" t="str">
            <v xml:space="preserve">IG. EN LOS PATIOS </v>
          </cell>
          <cell r="C84" t="str">
            <v>900474240-1</v>
          </cell>
          <cell r="D84">
            <v>3222616473</v>
          </cell>
          <cell r="E84" t="str">
            <v>LOS PATIOS</v>
          </cell>
          <cell r="F84"/>
          <cell r="G84">
            <v>8200000</v>
          </cell>
          <cell r="H84"/>
          <cell r="I84" t="str">
            <v>CREDITO</v>
          </cell>
          <cell r="J84">
            <v>800000</v>
          </cell>
        </row>
        <row r="85">
          <cell r="B85" t="str">
            <v>IG. EN MONTERIA y STA LUCIA</v>
          </cell>
          <cell r="C85"/>
          <cell r="D85"/>
          <cell r="E85" t="str">
            <v>Monteria</v>
          </cell>
          <cell r="F85">
            <v>1</v>
          </cell>
          <cell r="G85">
            <v>14000000</v>
          </cell>
          <cell r="H85" t="str">
            <v>BCOL AHO 2</v>
          </cell>
          <cell r="I85" t="str">
            <v>CREDITO</v>
          </cell>
          <cell r="J85">
            <v>2500000</v>
          </cell>
        </row>
        <row r="86">
          <cell r="B86" t="str">
            <v>INDIRA  ESTRADA</v>
          </cell>
          <cell r="C86"/>
          <cell r="D86"/>
          <cell r="E86" t="str">
            <v>Bogotá</v>
          </cell>
          <cell r="F86"/>
          <cell r="G86">
            <v>200000</v>
          </cell>
          <cell r="H86" t="str">
            <v>EFECTIVO</v>
          </cell>
          <cell r="I86" t="str">
            <v>CREDITO</v>
          </cell>
          <cell r="J86"/>
        </row>
        <row r="87">
          <cell r="B87" t="str">
            <v>ISABEL TORRIJAS</v>
          </cell>
          <cell r="C87"/>
          <cell r="D87"/>
          <cell r="E87" t="str">
            <v>Medellin</v>
          </cell>
          <cell r="F87">
            <v>1</v>
          </cell>
          <cell r="G87">
            <v>50000</v>
          </cell>
          <cell r="H87" t="str">
            <v>BCOL AHO 2</v>
          </cell>
          <cell r="I87" t="str">
            <v>CREDITO</v>
          </cell>
          <cell r="J87"/>
        </row>
        <row r="88">
          <cell r="B88" t="str">
            <v>JAMES GAMBOA</v>
          </cell>
          <cell r="C88"/>
          <cell r="D88"/>
          <cell r="E88" t="str">
            <v>Bogotá</v>
          </cell>
          <cell r="F88"/>
          <cell r="G88">
            <v>1762000</v>
          </cell>
          <cell r="H88" t="str">
            <v>BCOL AHO</v>
          </cell>
          <cell r="I88" t="str">
            <v>CREDITO</v>
          </cell>
          <cell r="J88"/>
        </row>
        <row r="89">
          <cell r="B89" t="str">
            <v>JAVIER BLOOM</v>
          </cell>
          <cell r="C89"/>
          <cell r="D89"/>
          <cell r="E89" t="str">
            <v>Medellin</v>
          </cell>
          <cell r="F89"/>
          <cell r="G89">
            <v>800000</v>
          </cell>
          <cell r="H89" t="str">
            <v>BCOL AHO</v>
          </cell>
          <cell r="I89" t="str">
            <v>CREDITO</v>
          </cell>
          <cell r="J89"/>
        </row>
        <row r="90">
          <cell r="B90" t="str">
            <v>JEAN CARLOS BLANCO</v>
          </cell>
          <cell r="C90">
            <v>1093783625</v>
          </cell>
          <cell r="D90">
            <v>3223202421</v>
          </cell>
          <cell r="E90" t="str">
            <v>LOS PATIOS</v>
          </cell>
          <cell r="F90"/>
          <cell r="G90">
            <v>6000000</v>
          </cell>
          <cell r="H90" t="str">
            <v>BCOL AHO</v>
          </cell>
          <cell r="I90" t="str">
            <v>CREDITO</v>
          </cell>
          <cell r="J90">
            <v>400000</v>
          </cell>
        </row>
        <row r="91">
          <cell r="B91" t="str">
            <v xml:space="preserve">JHOJAS QUINTERO </v>
          </cell>
          <cell r="C91">
            <v>79477468</v>
          </cell>
          <cell r="D91">
            <v>3185861284</v>
          </cell>
          <cell r="E91" t="str">
            <v>SOACHA</v>
          </cell>
          <cell r="F91"/>
          <cell r="G91">
            <v>4240000</v>
          </cell>
          <cell r="H91" t="str">
            <v>BCOL AHO</v>
          </cell>
          <cell r="I91" t="str">
            <v>CREDITO</v>
          </cell>
          <cell r="J91">
            <v>400000</v>
          </cell>
        </row>
        <row r="92">
          <cell r="B92" t="str">
            <v>JHON  ROJAS</v>
          </cell>
          <cell r="C92">
            <v>12135690</v>
          </cell>
          <cell r="D92"/>
          <cell r="E92" t="str">
            <v>Neiva</v>
          </cell>
          <cell r="F92"/>
          <cell r="G92">
            <v>1300000</v>
          </cell>
          <cell r="H92" t="str">
            <v>BCOL AHO 2</v>
          </cell>
          <cell r="I92" t="str">
            <v>CREDITO</v>
          </cell>
          <cell r="J92"/>
        </row>
        <row r="93">
          <cell r="B93" t="str">
            <v xml:space="preserve">JOEL  ARIAS </v>
          </cell>
          <cell r="C93"/>
          <cell r="D93"/>
          <cell r="E93" t="str">
            <v>Medellin</v>
          </cell>
          <cell r="F93"/>
          <cell r="G93">
            <v>420000</v>
          </cell>
          <cell r="H93" t="str">
            <v>BCOL AHO</v>
          </cell>
          <cell r="I93" t="str">
            <v>CREDITO</v>
          </cell>
          <cell r="J93"/>
        </row>
        <row r="94">
          <cell r="B94" t="str">
            <v>JOHAN GOMEZ ZAPATA</v>
          </cell>
          <cell r="C94">
            <v>1128400756</v>
          </cell>
          <cell r="D94">
            <v>3043640493</v>
          </cell>
          <cell r="E94" t="str">
            <v>MEDELLIN</v>
          </cell>
          <cell r="F94"/>
          <cell r="G94">
            <v>2000000</v>
          </cell>
          <cell r="H94" t="str">
            <v>BCOL AHO</v>
          </cell>
          <cell r="I94" t="str">
            <v>CREDITO</v>
          </cell>
          <cell r="J94"/>
        </row>
        <row r="95">
          <cell r="B95" t="str">
            <v>JOHANA SANTIESTEBAN</v>
          </cell>
          <cell r="C95"/>
          <cell r="D95"/>
          <cell r="E95"/>
          <cell r="F95"/>
          <cell r="G95">
            <v>4000000</v>
          </cell>
          <cell r="H95"/>
          <cell r="I95" t="str">
            <v>CREDITO</v>
          </cell>
          <cell r="J95"/>
        </row>
        <row r="96">
          <cell r="B96" t="str">
            <v>JORGE GOMEZ</v>
          </cell>
          <cell r="C96">
            <v>13838106</v>
          </cell>
          <cell r="D96">
            <v>3158359949</v>
          </cell>
          <cell r="E96" t="str">
            <v>B/Manga</v>
          </cell>
          <cell r="F96">
            <v>2</v>
          </cell>
          <cell r="G96">
            <v>4300000</v>
          </cell>
          <cell r="H96" t="str">
            <v>No Registra</v>
          </cell>
          <cell r="I96" t="str">
            <v>CREDITO</v>
          </cell>
          <cell r="J96"/>
        </row>
        <row r="97">
          <cell r="B97" t="str">
            <v>JORGE LUIS BARRIOS</v>
          </cell>
          <cell r="C97">
            <v>91249777</v>
          </cell>
          <cell r="D97"/>
          <cell r="E97"/>
          <cell r="F97"/>
          <cell r="G97">
            <v>3600000</v>
          </cell>
          <cell r="H97" t="str">
            <v>BCOL AHO</v>
          </cell>
          <cell r="I97" t="str">
            <v>CREDITO</v>
          </cell>
          <cell r="J97"/>
        </row>
        <row r="98">
          <cell r="B98" t="str">
            <v>JORGE RODRIGUEZ</v>
          </cell>
          <cell r="C98"/>
          <cell r="D98"/>
          <cell r="E98"/>
          <cell r="F98"/>
          <cell r="G98">
            <v>400000</v>
          </cell>
          <cell r="H98" t="str">
            <v>BCOL AHO</v>
          </cell>
          <cell r="I98" t="str">
            <v>CREDITO</v>
          </cell>
          <cell r="J98"/>
        </row>
        <row r="99">
          <cell r="B99" t="str">
            <v>JOSE ELBERT GARZON</v>
          </cell>
          <cell r="C99"/>
          <cell r="D99"/>
          <cell r="E99"/>
          <cell r="F99"/>
          <cell r="G99">
            <v>860000</v>
          </cell>
          <cell r="H99" t="str">
            <v>BCOL AHO</v>
          </cell>
          <cell r="I99" t="str">
            <v>CREDITO</v>
          </cell>
          <cell r="J99"/>
        </row>
        <row r="100">
          <cell r="B100" t="str">
            <v>JOSE ENRIQUE ARIAS PEREZ</v>
          </cell>
          <cell r="C100">
            <v>15374739</v>
          </cell>
          <cell r="D100"/>
          <cell r="E100"/>
          <cell r="F100"/>
          <cell r="G100">
            <v>4140000</v>
          </cell>
          <cell r="H100" t="str">
            <v>BCOL AHO 2</v>
          </cell>
          <cell r="I100" t="str">
            <v>CREDITO</v>
          </cell>
          <cell r="J100"/>
        </row>
        <row r="101">
          <cell r="B101" t="str">
            <v>JOSE GONZALEZ</v>
          </cell>
          <cell r="C101"/>
          <cell r="D101"/>
          <cell r="E101"/>
          <cell r="F101">
            <v>1</v>
          </cell>
          <cell r="G101">
            <v>400000</v>
          </cell>
          <cell r="H101" t="str">
            <v>BCOL AHO</v>
          </cell>
          <cell r="I101" t="str">
            <v>CREDITO</v>
          </cell>
          <cell r="J101"/>
        </row>
        <row r="102">
          <cell r="B102" t="str">
            <v>JUAN  VALENCIA</v>
          </cell>
          <cell r="C102"/>
          <cell r="D102"/>
          <cell r="E102"/>
          <cell r="F102"/>
          <cell r="G102">
            <v>1600000</v>
          </cell>
          <cell r="H102" t="str">
            <v>BCOL AHO 2</v>
          </cell>
          <cell r="I102" t="str">
            <v>CREDITO</v>
          </cell>
          <cell r="J102"/>
        </row>
        <row r="103">
          <cell r="B103" t="str">
            <v>JUAN C. MORENO</v>
          </cell>
          <cell r="C103"/>
          <cell r="D103"/>
          <cell r="E103"/>
          <cell r="F103">
            <v>1</v>
          </cell>
          <cell r="G103">
            <v>1600000</v>
          </cell>
          <cell r="H103" t="str">
            <v>BCOL AHO</v>
          </cell>
          <cell r="I103" t="str">
            <v>CREDITO</v>
          </cell>
          <cell r="J103"/>
        </row>
        <row r="104">
          <cell r="B104" t="str">
            <v>JUAN GUILLERMO  MUÑOZ GIRARDOTA</v>
          </cell>
          <cell r="C104"/>
          <cell r="D104"/>
          <cell r="E104" t="str">
            <v>Girardota</v>
          </cell>
          <cell r="F104"/>
          <cell r="G104">
            <v>1200000</v>
          </cell>
          <cell r="H104" t="str">
            <v>BCOL AHO</v>
          </cell>
          <cell r="I104" t="str">
            <v>CREDITO</v>
          </cell>
          <cell r="J104"/>
        </row>
        <row r="105">
          <cell r="B105" t="str">
            <v>JUAN MINA</v>
          </cell>
          <cell r="C105"/>
          <cell r="D105"/>
          <cell r="E105"/>
          <cell r="F105"/>
          <cell r="G105">
            <v>400000</v>
          </cell>
          <cell r="H105"/>
          <cell r="I105" t="str">
            <v>CREDITO</v>
          </cell>
          <cell r="J105"/>
        </row>
        <row r="106">
          <cell r="B106" t="str">
            <v>JUAN PABLO OLIVELLA</v>
          </cell>
          <cell r="C106">
            <v>77037962</v>
          </cell>
          <cell r="D106">
            <v>3108469718</v>
          </cell>
          <cell r="E106" t="str">
            <v>VALLEDUPAR</v>
          </cell>
          <cell r="F106"/>
          <cell r="G106">
            <v>8000000</v>
          </cell>
          <cell r="H106" t="str">
            <v>BCOL AHO</v>
          </cell>
          <cell r="I106" t="str">
            <v>CREDITO</v>
          </cell>
          <cell r="J106">
            <v>2400000</v>
          </cell>
        </row>
        <row r="107">
          <cell r="B107" t="str">
            <v>JUAN PABLO OLIVELLA (HNO. DONG)</v>
          </cell>
          <cell r="C107"/>
          <cell r="D107"/>
          <cell r="E107"/>
          <cell r="F107"/>
          <cell r="G107">
            <v>10000000</v>
          </cell>
          <cell r="H107" t="str">
            <v>BCOL AHO</v>
          </cell>
          <cell r="I107" t="str">
            <v>CREDITO</v>
          </cell>
          <cell r="J107"/>
        </row>
        <row r="108">
          <cell r="B108" t="str">
            <v>JUAN SEBASTIAN  MONTES PINZON</v>
          </cell>
          <cell r="C108"/>
          <cell r="D108"/>
          <cell r="E108"/>
          <cell r="F108"/>
          <cell r="G108">
            <v>800000</v>
          </cell>
          <cell r="H108" t="str">
            <v>BCOL AHO</v>
          </cell>
          <cell r="I108" t="str">
            <v>CREDITO</v>
          </cell>
          <cell r="J108"/>
        </row>
        <row r="109">
          <cell r="B109" t="str">
            <v>JULIAN  CADAVID</v>
          </cell>
          <cell r="C109"/>
          <cell r="D109"/>
          <cell r="E109"/>
          <cell r="F109">
            <v>3</v>
          </cell>
          <cell r="G109">
            <v>0</v>
          </cell>
          <cell r="H109" t="str">
            <v>No Registra</v>
          </cell>
          <cell r="I109" t="str">
            <v>CREDITO</v>
          </cell>
          <cell r="J109"/>
        </row>
        <row r="110">
          <cell r="B110" t="str">
            <v>JULIAN FRANCO IG. B/MANGA</v>
          </cell>
          <cell r="C110"/>
          <cell r="D110"/>
          <cell r="E110" t="str">
            <v>Bucaramanga</v>
          </cell>
          <cell r="F110"/>
          <cell r="G110">
            <v>800000</v>
          </cell>
          <cell r="H110" t="str">
            <v>BCOL AHO</v>
          </cell>
          <cell r="I110" t="str">
            <v>CREDITO</v>
          </cell>
          <cell r="J110"/>
        </row>
        <row r="111">
          <cell r="B111" t="str">
            <v>JULIO CESAR ROJAS NAVARRETE</v>
          </cell>
          <cell r="C111"/>
          <cell r="D111"/>
          <cell r="E111"/>
          <cell r="F111"/>
          <cell r="G111">
            <v>-400000</v>
          </cell>
          <cell r="H111" t="str">
            <v>BCOL AHO</v>
          </cell>
          <cell r="I111" t="str">
            <v>DEBITO</v>
          </cell>
          <cell r="J111"/>
        </row>
        <row r="112">
          <cell r="B112" t="str">
            <v>JULIO LONDOÑO</v>
          </cell>
          <cell r="C112">
            <v>1077424658</v>
          </cell>
          <cell r="D112">
            <v>3216464514</v>
          </cell>
          <cell r="E112" t="str">
            <v>QUIBDO</v>
          </cell>
          <cell r="F112"/>
          <cell r="G112">
            <v>4000000</v>
          </cell>
          <cell r="H112" t="str">
            <v>BCOL AHO 2</v>
          </cell>
          <cell r="I112" t="str">
            <v>CREDITO</v>
          </cell>
          <cell r="J112"/>
        </row>
        <row r="113">
          <cell r="B113" t="str">
            <v>JULIO SANCHEZ</v>
          </cell>
          <cell r="C113"/>
          <cell r="D113"/>
          <cell r="E113" t="str">
            <v>Bogotá</v>
          </cell>
          <cell r="F113">
            <v>2</v>
          </cell>
          <cell r="G113">
            <v>12800000</v>
          </cell>
          <cell r="H113" t="str">
            <v>TRANSF.</v>
          </cell>
          <cell r="I113" t="str">
            <v>CREDITO</v>
          </cell>
          <cell r="J113">
            <v>800000</v>
          </cell>
        </row>
        <row r="114">
          <cell r="B114" t="str">
            <v>LAURA LIZARASO</v>
          </cell>
          <cell r="C114"/>
          <cell r="D114"/>
          <cell r="E114" t="str">
            <v>Bogotá</v>
          </cell>
          <cell r="F114"/>
          <cell r="G114">
            <v>200000</v>
          </cell>
          <cell r="H114"/>
          <cell r="I114" t="str">
            <v>CREDITO</v>
          </cell>
          <cell r="J114"/>
        </row>
        <row r="115">
          <cell r="B115" t="str">
            <v>LAUREANO HERNANDEZ</v>
          </cell>
          <cell r="C115"/>
          <cell r="D115"/>
          <cell r="E115" t="str">
            <v>Bogotá</v>
          </cell>
          <cell r="F115"/>
          <cell r="G115">
            <v>200000</v>
          </cell>
          <cell r="H115" t="str">
            <v>EFECTIVO</v>
          </cell>
          <cell r="I115" t="str">
            <v>CREDITO</v>
          </cell>
          <cell r="J115"/>
        </row>
        <row r="116">
          <cell r="B116" t="str">
            <v>LILIANA RIVAS</v>
          </cell>
          <cell r="C116"/>
          <cell r="D116"/>
          <cell r="E116" t="str">
            <v>Bogotá</v>
          </cell>
          <cell r="F116">
            <v>2</v>
          </cell>
          <cell r="G116">
            <v>2800000</v>
          </cell>
          <cell r="H116" t="str">
            <v>BCOL AHO</v>
          </cell>
          <cell r="I116" t="str">
            <v>CREDITO</v>
          </cell>
          <cell r="J116"/>
        </row>
        <row r="117">
          <cell r="B117" t="str">
            <v>LIZETH RODRIGUEZ</v>
          </cell>
          <cell r="C117"/>
          <cell r="D117"/>
          <cell r="E117" t="str">
            <v>Medellin</v>
          </cell>
          <cell r="F117"/>
          <cell r="G117">
            <v>500000</v>
          </cell>
          <cell r="H117" t="str">
            <v>BCOL AHO</v>
          </cell>
          <cell r="I117" t="str">
            <v>CREDITO</v>
          </cell>
          <cell r="J117"/>
        </row>
        <row r="118">
          <cell r="B118" t="str">
            <v>LORLEIVIS ARRIAGA</v>
          </cell>
          <cell r="C118">
            <v>35601610</v>
          </cell>
          <cell r="D118">
            <v>3207593131</v>
          </cell>
          <cell r="E118"/>
          <cell r="F118"/>
          <cell r="G118">
            <v>800000</v>
          </cell>
          <cell r="H118"/>
          <cell r="I118" t="str">
            <v>CREDITO</v>
          </cell>
          <cell r="J118"/>
        </row>
        <row r="119">
          <cell r="B119" t="str">
            <v>LUDY ROJAS SANTIESTEBAN</v>
          </cell>
          <cell r="C119">
            <v>1032464597</v>
          </cell>
          <cell r="D119" t="str">
            <v>Juliocr457@gmail.com</v>
          </cell>
          <cell r="E119" t="str">
            <v>CHIQUINQUIRA</v>
          </cell>
          <cell r="F119"/>
          <cell r="G119">
            <v>12000000</v>
          </cell>
          <cell r="H119" t="str">
            <v>BCOL AHO</v>
          </cell>
          <cell r="I119" t="str">
            <v>CREDITO</v>
          </cell>
          <cell r="J119">
            <v>2000000</v>
          </cell>
        </row>
        <row r="120">
          <cell r="B120" t="str">
            <v>LUIS A.  ACOSTA</v>
          </cell>
          <cell r="C120"/>
          <cell r="D120"/>
          <cell r="E120"/>
          <cell r="F120"/>
          <cell r="G120">
            <v>4800000</v>
          </cell>
          <cell r="H120" t="str">
            <v>BCOL AHO 2</v>
          </cell>
          <cell r="I120" t="str">
            <v>CREDITO</v>
          </cell>
          <cell r="J120"/>
        </row>
        <row r="121">
          <cell r="B121" t="str">
            <v>LUIS BERNARDO LLANO</v>
          </cell>
          <cell r="C121">
            <v>70067417</v>
          </cell>
          <cell r="D121" t="str">
            <v>314 892 7775</v>
          </cell>
          <cell r="E121" t="str">
            <v>MEDELLIN</v>
          </cell>
          <cell r="F121"/>
          <cell r="G121">
            <v>2400000</v>
          </cell>
          <cell r="H121" t="str">
            <v>BCOL AHO</v>
          </cell>
          <cell r="I121" t="str">
            <v>CREDITO</v>
          </cell>
          <cell r="J121">
            <v>400000</v>
          </cell>
        </row>
        <row r="122">
          <cell r="B122" t="str">
            <v>LUIS HERNANDO BAUTISTA</v>
          </cell>
          <cell r="C122">
            <v>13837081</v>
          </cell>
          <cell r="D122">
            <v>3208026783</v>
          </cell>
          <cell r="E122" t="str">
            <v>Pamplona</v>
          </cell>
          <cell r="F122"/>
          <cell r="G122">
            <v>2390000</v>
          </cell>
          <cell r="H122" t="str">
            <v>BCOL AHO</v>
          </cell>
          <cell r="I122" t="str">
            <v>CREDITO</v>
          </cell>
          <cell r="J122">
            <v>1192000</v>
          </cell>
        </row>
        <row r="123">
          <cell r="B123" t="str">
            <v>MARIA FERNANDA NIETO</v>
          </cell>
          <cell r="C123"/>
          <cell r="D123"/>
          <cell r="E123"/>
          <cell r="F123"/>
          <cell r="G123">
            <v>3700000</v>
          </cell>
          <cell r="H123" t="str">
            <v>EFECTIVO-BCOL AHO</v>
          </cell>
          <cell r="I123" t="str">
            <v>CREDITO</v>
          </cell>
          <cell r="J123">
            <v>400000</v>
          </cell>
        </row>
        <row r="124">
          <cell r="B124" t="str">
            <v>MARIA FERNANDA VARGAS MUEGUES</v>
          </cell>
          <cell r="C124"/>
          <cell r="D124"/>
          <cell r="E124"/>
          <cell r="F124"/>
          <cell r="G124">
            <v>1200000</v>
          </cell>
          <cell r="H124"/>
          <cell r="I124" t="str">
            <v>CREDITO</v>
          </cell>
          <cell r="J124"/>
        </row>
        <row r="125">
          <cell r="B125" t="str">
            <v>MARIANA ESTER BALLESTAS</v>
          </cell>
          <cell r="C125">
            <v>1065587738</v>
          </cell>
          <cell r="D125">
            <v>3127912471</v>
          </cell>
          <cell r="E125" t="str">
            <v>BARRANQUILLA</v>
          </cell>
          <cell r="F125"/>
          <cell r="G125">
            <v>1800000</v>
          </cell>
          <cell r="H125" t="str">
            <v>BCOL AHO</v>
          </cell>
          <cell r="I125" t="str">
            <v>CREDITO</v>
          </cell>
          <cell r="J125"/>
        </row>
        <row r="126">
          <cell r="B126" t="str">
            <v>MARIO RENE SANCHEZ</v>
          </cell>
          <cell r="C126"/>
          <cell r="D126"/>
          <cell r="E126" t="str">
            <v>Bogotá</v>
          </cell>
          <cell r="F126"/>
          <cell r="G126">
            <v>100000</v>
          </cell>
          <cell r="H126" t="str">
            <v>EFECTIVO</v>
          </cell>
          <cell r="I126" t="str">
            <v>CREDITO</v>
          </cell>
          <cell r="J126"/>
        </row>
        <row r="127">
          <cell r="B127" t="str">
            <v>MARQUEZA PAJARO</v>
          </cell>
          <cell r="C127"/>
          <cell r="D127"/>
          <cell r="E127" t="str">
            <v>Bogotá</v>
          </cell>
          <cell r="F127"/>
          <cell r="G127">
            <v>400000</v>
          </cell>
          <cell r="H127" t="str">
            <v>EFECTIVO</v>
          </cell>
          <cell r="I127" t="str">
            <v>CREDITO</v>
          </cell>
          <cell r="J127"/>
        </row>
        <row r="128">
          <cell r="B128" t="str">
            <v>MARTHA  MARULANDA</v>
          </cell>
          <cell r="C128">
            <v>38230483</v>
          </cell>
          <cell r="D128">
            <v>3104869126</v>
          </cell>
          <cell r="E128" t="str">
            <v>IBAGUE</v>
          </cell>
          <cell r="F128"/>
          <cell r="G128">
            <v>4000000</v>
          </cell>
          <cell r="H128" t="str">
            <v>BCOL AHO 2</v>
          </cell>
          <cell r="I128" t="str">
            <v>CREDITO</v>
          </cell>
          <cell r="J128">
            <v>400000</v>
          </cell>
        </row>
        <row r="129">
          <cell r="B129" t="str">
            <v>MAXIMILIANO PINZON</v>
          </cell>
          <cell r="C129"/>
          <cell r="D129"/>
          <cell r="E129" t="str">
            <v>Bogotá</v>
          </cell>
          <cell r="F129">
            <v>1</v>
          </cell>
          <cell r="G129">
            <v>10670000</v>
          </cell>
          <cell r="H129" t="str">
            <v>EFECTIVO</v>
          </cell>
          <cell r="I129" t="str">
            <v>CREDITO</v>
          </cell>
          <cell r="J129">
            <v>800000</v>
          </cell>
        </row>
        <row r="130">
          <cell r="B130" t="str">
            <v>MERY CAMPO CABALLERO</v>
          </cell>
          <cell r="C130">
            <v>22579381</v>
          </cell>
          <cell r="D130"/>
          <cell r="E130" t="str">
            <v>PUERTO C</v>
          </cell>
          <cell r="F130"/>
          <cell r="G130">
            <v>1200000</v>
          </cell>
          <cell r="H130" t="str">
            <v>BCOL AHO</v>
          </cell>
          <cell r="I130" t="str">
            <v>CREDITO</v>
          </cell>
          <cell r="J130"/>
        </row>
        <row r="131">
          <cell r="B131" t="str">
            <v>MILDRED DOMINGUEZ MUÑOZ</v>
          </cell>
          <cell r="C131">
            <v>32936225</v>
          </cell>
          <cell r="D131">
            <v>3215254487</v>
          </cell>
          <cell r="E131"/>
          <cell r="F131"/>
          <cell r="G131">
            <v>1200000</v>
          </cell>
          <cell r="H131"/>
          <cell r="I131" t="str">
            <v>CREDITO</v>
          </cell>
          <cell r="J131"/>
        </row>
        <row r="132">
          <cell r="B132" t="str">
            <v>MIRIAM CORTES</v>
          </cell>
          <cell r="C132"/>
          <cell r="D132"/>
          <cell r="E132"/>
          <cell r="F132"/>
          <cell r="G132">
            <v>200000</v>
          </cell>
          <cell r="H132"/>
          <cell r="I132" t="str">
            <v>CREDITO</v>
          </cell>
          <cell r="J132"/>
        </row>
        <row r="133">
          <cell r="B133" t="str">
            <v>NIDIA CORTES</v>
          </cell>
          <cell r="C133"/>
          <cell r="D133"/>
          <cell r="E133"/>
          <cell r="F133"/>
          <cell r="G133">
            <v>850000</v>
          </cell>
          <cell r="H133" t="str">
            <v>BCOL AHO</v>
          </cell>
          <cell r="I133" t="str">
            <v>CREDITO</v>
          </cell>
          <cell r="J133"/>
        </row>
        <row r="134">
          <cell r="B134" t="str">
            <v xml:space="preserve">OBRA COSTA RICA </v>
          </cell>
          <cell r="C134"/>
          <cell r="D134"/>
          <cell r="E134"/>
          <cell r="F134"/>
          <cell r="G134">
            <v>-4620900</v>
          </cell>
          <cell r="H134" t="str">
            <v>BCOL AHO</v>
          </cell>
          <cell r="I134" t="str">
            <v>DEBITO</v>
          </cell>
          <cell r="J134"/>
        </row>
        <row r="135">
          <cell r="B135" t="str">
            <v>OFRENDA A JONES COSTA</v>
          </cell>
          <cell r="C135"/>
          <cell r="D135"/>
          <cell r="E135"/>
          <cell r="F135"/>
          <cell r="G135">
            <v>-1100000</v>
          </cell>
          <cell r="H135" t="str">
            <v>BCOL AHO</v>
          </cell>
          <cell r="I135" t="str">
            <v>DEBITO</v>
          </cell>
          <cell r="J135"/>
        </row>
        <row r="136">
          <cell r="B136" t="str">
            <v>ORLANDO  TOVAR</v>
          </cell>
          <cell r="C136">
            <v>11809146</v>
          </cell>
          <cell r="D136">
            <v>3136811706</v>
          </cell>
          <cell r="E136" t="str">
            <v>Itsmina</v>
          </cell>
          <cell r="F136"/>
          <cell r="G136">
            <v>1600000</v>
          </cell>
          <cell r="H136" t="str">
            <v>BCOL AHO 2</v>
          </cell>
          <cell r="I136" t="str">
            <v>CREDITO</v>
          </cell>
          <cell r="J136"/>
        </row>
        <row r="137">
          <cell r="B137" t="str">
            <v>PAC LUIS MIGUEL NARANJO</v>
          </cell>
          <cell r="C137"/>
          <cell r="D137"/>
          <cell r="E137"/>
          <cell r="F137"/>
          <cell r="G137">
            <v>3900000</v>
          </cell>
          <cell r="H137" t="str">
            <v>BCOL AHO</v>
          </cell>
          <cell r="I137" t="str">
            <v>CREDITO</v>
          </cell>
          <cell r="J137"/>
        </row>
        <row r="138">
          <cell r="B138" t="str">
            <v xml:space="preserve">PAGO DEUDA ARRIENDO PAC </v>
          </cell>
          <cell r="C138"/>
          <cell r="D138"/>
          <cell r="E138"/>
          <cell r="F138"/>
          <cell r="G138">
            <v>-6413915</v>
          </cell>
          <cell r="H138"/>
          <cell r="I138" t="str">
            <v>DEBITO</v>
          </cell>
          <cell r="J138"/>
        </row>
        <row r="139">
          <cell r="B139" t="str">
            <v>PAOLA GUTIERREZ</v>
          </cell>
          <cell r="C139"/>
          <cell r="D139"/>
          <cell r="E139"/>
          <cell r="F139"/>
          <cell r="G139">
            <v>800000</v>
          </cell>
          <cell r="H139"/>
          <cell r="I139" t="str">
            <v>CREDITO</v>
          </cell>
          <cell r="J139"/>
        </row>
        <row r="140">
          <cell r="B140" t="str">
            <v>PAULO  DUCHESNE</v>
          </cell>
          <cell r="C140">
            <v>8694441</v>
          </cell>
          <cell r="D140">
            <v>3170295457</v>
          </cell>
          <cell r="E140"/>
          <cell r="F140">
            <v>1</v>
          </cell>
          <cell r="G140">
            <v>400000</v>
          </cell>
          <cell r="H140" t="str">
            <v>No Registra</v>
          </cell>
          <cell r="I140" t="str">
            <v>CREDITO</v>
          </cell>
          <cell r="J140">
            <v>400000</v>
          </cell>
        </row>
        <row r="141">
          <cell r="B141" t="str">
            <v>RAQUEL LIZANDRA NAVAS</v>
          </cell>
          <cell r="C141">
            <v>60380993</v>
          </cell>
          <cell r="D141">
            <v>3213307371</v>
          </cell>
          <cell r="E141" t="str">
            <v>LOS PATIOS</v>
          </cell>
          <cell r="F141"/>
          <cell r="G141">
            <v>3200000</v>
          </cell>
          <cell r="H141" t="str">
            <v>BCOL AHO</v>
          </cell>
          <cell r="I141" t="str">
            <v>CREDITO</v>
          </cell>
          <cell r="J141">
            <v>400000</v>
          </cell>
        </row>
        <row r="142">
          <cell r="B142" t="str">
            <v xml:space="preserve">RAUL </v>
          </cell>
          <cell r="C142"/>
          <cell r="D142"/>
          <cell r="E142"/>
          <cell r="F142">
            <v>1</v>
          </cell>
          <cell r="G142">
            <v>0</v>
          </cell>
          <cell r="H142" t="str">
            <v>No Registra</v>
          </cell>
          <cell r="I142" t="str">
            <v>CREDITO</v>
          </cell>
          <cell r="J142"/>
        </row>
        <row r="143">
          <cell r="B143" t="str">
            <v>ROBERTO QUERALES</v>
          </cell>
          <cell r="C143">
            <v>860606</v>
          </cell>
          <cell r="D143"/>
          <cell r="E143" t="str">
            <v>BOGOTA</v>
          </cell>
          <cell r="F143"/>
          <cell r="G143">
            <v>2800000</v>
          </cell>
          <cell r="H143"/>
          <cell r="I143" t="str">
            <v>CREDITO</v>
          </cell>
          <cell r="J143"/>
        </row>
        <row r="144">
          <cell r="B144" t="str">
            <v>RODOLFO PEÑA</v>
          </cell>
          <cell r="C144"/>
          <cell r="D144"/>
          <cell r="E144" t="str">
            <v>Bogotá</v>
          </cell>
          <cell r="F144"/>
          <cell r="G144">
            <v>400000</v>
          </cell>
          <cell r="H144"/>
          <cell r="I144" t="str">
            <v>CREDITO</v>
          </cell>
          <cell r="J144"/>
        </row>
        <row r="145">
          <cell r="B145" t="str">
            <v>SEBASTIAN NIETO</v>
          </cell>
          <cell r="C145"/>
          <cell r="D145"/>
          <cell r="E145"/>
          <cell r="F145"/>
          <cell r="G145">
            <v>100000</v>
          </cell>
          <cell r="H145" t="str">
            <v>BCOL AHO</v>
          </cell>
          <cell r="I145" t="str">
            <v>CREDITO</v>
          </cell>
          <cell r="J145"/>
        </row>
        <row r="146">
          <cell r="B146" t="str">
            <v>SNEIDER TIRADO</v>
          </cell>
          <cell r="C146"/>
          <cell r="D146"/>
          <cell r="E146" t="str">
            <v>Bogotá</v>
          </cell>
          <cell r="F146"/>
          <cell r="G146">
            <v>5600000</v>
          </cell>
          <cell r="H146"/>
          <cell r="I146" t="str">
            <v>CREDITO</v>
          </cell>
          <cell r="J146"/>
        </row>
        <row r="147">
          <cell r="B147" t="str">
            <v>STHEPANIE DIDUEÑAS</v>
          </cell>
          <cell r="C147"/>
          <cell r="D147"/>
          <cell r="E147" t="str">
            <v>Bogotá</v>
          </cell>
          <cell r="F147"/>
          <cell r="G147">
            <v>100000</v>
          </cell>
          <cell r="H147" t="str">
            <v>BCOL AHO</v>
          </cell>
          <cell r="I147" t="str">
            <v>CREDITO</v>
          </cell>
          <cell r="J147"/>
        </row>
        <row r="148">
          <cell r="B148" t="str">
            <v>UBALDO OCHOA</v>
          </cell>
          <cell r="C148">
            <v>77187578</v>
          </cell>
          <cell r="D148">
            <v>3123048536</v>
          </cell>
          <cell r="E148" t="str">
            <v>BOGOTA</v>
          </cell>
          <cell r="F148">
            <v>2</v>
          </cell>
          <cell r="G148">
            <v>11300000</v>
          </cell>
          <cell r="H148" t="str">
            <v>BCOL AHO</v>
          </cell>
          <cell r="I148" t="str">
            <v>CREDITO</v>
          </cell>
          <cell r="J148"/>
        </row>
        <row r="149">
          <cell r="B149" t="str">
            <v xml:space="preserve">VIATICOS CUBA </v>
          </cell>
          <cell r="C149"/>
          <cell r="D149"/>
          <cell r="E149"/>
          <cell r="F149"/>
          <cell r="G149">
            <v>-1477000</v>
          </cell>
          <cell r="H149" t="str">
            <v>EFECTIVO</v>
          </cell>
          <cell r="I149" t="str">
            <v>DEBITO</v>
          </cell>
          <cell r="J149"/>
        </row>
        <row r="150">
          <cell r="B150" t="str">
            <v>VIATICOS EUROPA DAVID MAESTRE</v>
          </cell>
          <cell r="C150"/>
          <cell r="D150"/>
          <cell r="E150"/>
          <cell r="F150"/>
          <cell r="G150">
            <v>-2000000</v>
          </cell>
          <cell r="H150" t="str">
            <v>BCOL AHO</v>
          </cell>
          <cell r="I150" t="str">
            <v>DEBITO</v>
          </cell>
          <cell r="J150"/>
        </row>
        <row r="151">
          <cell r="B151" t="str">
            <v xml:space="preserve">VIATICOS JONES </v>
          </cell>
          <cell r="C151"/>
          <cell r="D151"/>
          <cell r="E151"/>
          <cell r="F151"/>
          <cell r="G151">
            <v>-2846000</v>
          </cell>
          <cell r="H151" t="str">
            <v>BCOL AHO</v>
          </cell>
          <cell r="I151" t="str">
            <v>DEBITO</v>
          </cell>
          <cell r="J151"/>
        </row>
        <row r="152">
          <cell r="B152" t="str">
            <v>VICTOR PEÑA</v>
          </cell>
          <cell r="C152"/>
          <cell r="D152"/>
          <cell r="E152"/>
          <cell r="F152">
            <v>1</v>
          </cell>
          <cell r="G152">
            <v>0</v>
          </cell>
          <cell r="H152" t="str">
            <v>No Registra</v>
          </cell>
          <cell r="I152" t="str">
            <v>CREDITO</v>
          </cell>
          <cell r="J152"/>
        </row>
        <row r="153">
          <cell r="B153" t="str">
            <v>VICTORIA EUGENIA BRAVO</v>
          </cell>
          <cell r="C153">
            <v>41679611</v>
          </cell>
          <cell r="D153" t="str">
            <v>316 4748 056</v>
          </cell>
          <cell r="E153" t="str">
            <v>GIRARDOT</v>
          </cell>
          <cell r="F153"/>
          <cell r="G153">
            <v>4000000</v>
          </cell>
          <cell r="H153" t="str">
            <v>BCOL AHO</v>
          </cell>
          <cell r="I153" t="str">
            <v>CREDITO</v>
          </cell>
          <cell r="J153">
            <v>800000</v>
          </cell>
        </row>
        <row r="154">
          <cell r="B154" t="str">
            <v>VIVIANA ORTIZ GONZALEZ</v>
          </cell>
          <cell r="C154"/>
          <cell r="D154"/>
          <cell r="E154"/>
          <cell r="F154"/>
          <cell r="G154">
            <v>3000000</v>
          </cell>
          <cell r="H154" t="str">
            <v>BCOL AHO</v>
          </cell>
          <cell r="I154" t="str">
            <v>CREDITO</v>
          </cell>
          <cell r="J154"/>
        </row>
        <row r="155">
          <cell r="B155" t="str">
            <v>WENDYS TEHERAN RIVERA</v>
          </cell>
          <cell r="C155"/>
          <cell r="D155"/>
          <cell r="E155"/>
          <cell r="F155"/>
          <cell r="G155">
            <v>260000</v>
          </cell>
          <cell r="H155"/>
          <cell r="I155" t="str">
            <v>CREDITO</v>
          </cell>
          <cell r="J155"/>
        </row>
        <row r="156">
          <cell r="B156" t="str">
            <v>WILLIAM ROJAS GIRALDO</v>
          </cell>
          <cell r="C156"/>
          <cell r="D156"/>
          <cell r="E156" t="str">
            <v>Bogotá</v>
          </cell>
          <cell r="F156"/>
          <cell r="G156">
            <v>3600000</v>
          </cell>
          <cell r="H156" t="str">
            <v>BCOL AHO</v>
          </cell>
          <cell r="I156" t="str">
            <v>CREDITO</v>
          </cell>
          <cell r="J156">
            <v>400000</v>
          </cell>
        </row>
        <row r="157">
          <cell r="B157" t="str">
            <v>YAMID CASTAÑO</v>
          </cell>
          <cell r="C157">
            <v>4517739</v>
          </cell>
          <cell r="D157"/>
          <cell r="E157" t="str">
            <v>Pereira</v>
          </cell>
          <cell r="F157"/>
          <cell r="G157">
            <v>1400000</v>
          </cell>
          <cell r="H157"/>
          <cell r="I157" t="str">
            <v>CREDITO</v>
          </cell>
          <cell r="J157"/>
        </row>
        <row r="158">
          <cell r="B158" t="str">
            <v xml:space="preserve">YENNI ANDREA ISAZA ARIAS </v>
          </cell>
          <cell r="C158"/>
          <cell r="D158"/>
          <cell r="E158"/>
          <cell r="F158"/>
          <cell r="G158">
            <v>400000</v>
          </cell>
          <cell r="H158" t="str">
            <v>BCOL AHO</v>
          </cell>
          <cell r="I158" t="str">
            <v>CREDITO</v>
          </cell>
          <cell r="J158"/>
        </row>
        <row r="159">
          <cell r="B159" t="str">
            <v>YENNI LONDOÑO CHAVERRA</v>
          </cell>
          <cell r="C159"/>
          <cell r="D159"/>
          <cell r="E159"/>
          <cell r="F159"/>
          <cell r="G159">
            <v>1200000</v>
          </cell>
          <cell r="H159"/>
          <cell r="I159" t="str">
            <v>CREDITO</v>
          </cell>
          <cell r="J159"/>
        </row>
        <row r="160">
          <cell r="B160" t="str">
            <v>YESENIA RODRIGUEZ BAYUNCA</v>
          </cell>
          <cell r="C160"/>
          <cell r="D160"/>
          <cell r="E160" t="str">
            <v>Bayunca</v>
          </cell>
          <cell r="F160"/>
          <cell r="G160">
            <v>500000</v>
          </cell>
          <cell r="H160"/>
          <cell r="I160" t="str">
            <v>CREDITO</v>
          </cell>
          <cell r="J160"/>
        </row>
        <row r="161">
          <cell r="B161" t="str">
            <v>ZEIDI PANNESO</v>
          </cell>
          <cell r="C161"/>
          <cell r="D161"/>
          <cell r="E161"/>
          <cell r="F161">
            <v>1</v>
          </cell>
          <cell r="G161">
            <v>400000</v>
          </cell>
          <cell r="H161" t="str">
            <v>BCOL AHO 2</v>
          </cell>
          <cell r="I161" t="str">
            <v>CREDITO</v>
          </cell>
          <cell r="J161"/>
        </row>
        <row r="162">
          <cell r="B162" t="str">
            <v>HERIBERTO ALBORNOZ</v>
          </cell>
          <cell r="C162"/>
          <cell r="D162"/>
          <cell r="E162" t="str">
            <v>Bogotá</v>
          </cell>
          <cell r="F162"/>
          <cell r="G162">
            <v>400000</v>
          </cell>
          <cell r="H162"/>
          <cell r="I162" t="str">
            <v>CREDITO</v>
          </cell>
          <cell r="J162"/>
        </row>
        <row r="163">
          <cell r="B163" t="str">
            <v>ROGELIO ANDRES ZULUAGA</v>
          </cell>
          <cell r="C163">
            <v>1067849185</v>
          </cell>
          <cell r="D163">
            <v>3043721442</v>
          </cell>
          <cell r="E163" t="str">
            <v xml:space="preserve">MEDELLIN </v>
          </cell>
          <cell r="F163"/>
          <cell r="G163">
            <v>1600000</v>
          </cell>
          <cell r="H163"/>
          <cell r="I163" t="str">
            <v>CREDITO</v>
          </cell>
          <cell r="J163">
            <v>400000</v>
          </cell>
        </row>
        <row r="164">
          <cell r="B164" t="str">
            <v>ALEJANDRA LEAL</v>
          </cell>
          <cell r="C164"/>
          <cell r="D164"/>
          <cell r="E164"/>
          <cell r="F164"/>
          <cell r="G164">
            <v>3200000</v>
          </cell>
          <cell r="H164"/>
          <cell r="I164" t="str">
            <v>CREDITO</v>
          </cell>
          <cell r="J164"/>
        </row>
        <row r="165">
          <cell r="B165" t="str">
            <v>URIEL CRUZ</v>
          </cell>
          <cell r="C165"/>
          <cell r="D165"/>
          <cell r="E165"/>
          <cell r="F165"/>
          <cell r="G165">
            <v>3200000</v>
          </cell>
          <cell r="H165"/>
          <cell r="I165" t="str">
            <v>CREDITO</v>
          </cell>
          <cell r="J165"/>
        </row>
        <row r="166">
          <cell r="B166" t="str">
            <v>BLANCA SARMIENTO</v>
          </cell>
          <cell r="C166"/>
          <cell r="D166"/>
          <cell r="E166"/>
          <cell r="F166"/>
          <cell r="G166">
            <v>200000</v>
          </cell>
          <cell r="H166"/>
          <cell r="I166" t="str">
            <v>CREDITO</v>
          </cell>
          <cell r="J166"/>
        </row>
        <row r="167">
          <cell r="B167" t="str">
            <v>VIATICOS EAV DE RESERVA PEDRO D</v>
          </cell>
          <cell r="C167"/>
          <cell r="D167"/>
          <cell r="E167"/>
          <cell r="F167"/>
          <cell r="G167">
            <v>-4229600</v>
          </cell>
          <cell r="H167"/>
          <cell r="I167" t="str">
            <v>DEBITO</v>
          </cell>
          <cell r="J167"/>
        </row>
        <row r="168">
          <cell r="B168" t="str">
            <v>MARIA ESPERANZA RODRIGUEZ</v>
          </cell>
          <cell r="C168"/>
          <cell r="D168"/>
          <cell r="E168"/>
          <cell r="F168"/>
          <cell r="G168">
            <v>800000</v>
          </cell>
          <cell r="H168"/>
          <cell r="I168" t="str">
            <v>CREDITO</v>
          </cell>
          <cell r="J168"/>
        </row>
        <row r="169">
          <cell r="B169" t="str">
            <v>CONIE CIRO CAMPO</v>
          </cell>
          <cell r="C169">
            <v>1044429200</v>
          </cell>
          <cell r="D169">
            <v>3008202508</v>
          </cell>
          <cell r="E169" t="str">
            <v>PUERTO C</v>
          </cell>
          <cell r="F169"/>
          <cell r="G169">
            <v>2490000</v>
          </cell>
          <cell r="H169"/>
          <cell r="I169" t="str">
            <v>CREDITO</v>
          </cell>
          <cell r="J169">
            <v>100000</v>
          </cell>
        </row>
        <row r="170">
          <cell r="B170" t="str">
            <v>GASTOS IVPT</v>
          </cell>
          <cell r="C170"/>
          <cell r="D170"/>
          <cell r="E170"/>
          <cell r="F170"/>
          <cell r="G170">
            <v>-22131200</v>
          </cell>
          <cell r="H170"/>
          <cell r="I170" t="str">
            <v>DEBITO</v>
          </cell>
          <cell r="J170"/>
        </row>
        <row r="171">
          <cell r="B171" t="str">
            <v>ENTREGA A DAVID MAESTRE PANAMA</v>
          </cell>
          <cell r="C171"/>
          <cell r="D171"/>
          <cell r="E171"/>
          <cell r="F171"/>
          <cell r="G171">
            <v>-7000000</v>
          </cell>
          <cell r="H171"/>
          <cell r="I171" t="str">
            <v>DEBITO</v>
          </cell>
          <cell r="J171"/>
        </row>
        <row r="172">
          <cell r="B172" t="str">
            <v>ENTREGA A DAVID M RESERVA PEDRO</v>
          </cell>
          <cell r="C172"/>
          <cell r="D172"/>
          <cell r="E172"/>
          <cell r="F172"/>
          <cell r="G172">
            <v>-5000000</v>
          </cell>
          <cell r="H172"/>
          <cell r="I172" t="str">
            <v>DEBITO</v>
          </cell>
          <cell r="J172"/>
        </row>
        <row r="173">
          <cell r="B173" t="str">
            <v>KEINI LORENA CAMPO</v>
          </cell>
          <cell r="C173">
            <v>1067594389</v>
          </cell>
          <cell r="D173"/>
          <cell r="E173"/>
          <cell r="F173"/>
          <cell r="G173">
            <v>400000</v>
          </cell>
          <cell r="H173"/>
          <cell r="I173" t="str">
            <v>CREDITO</v>
          </cell>
          <cell r="J173"/>
        </row>
        <row r="174">
          <cell r="B174" t="str">
            <v>JAMES SANCHEZ HURTADO</v>
          </cell>
          <cell r="C174">
            <v>11705775</v>
          </cell>
          <cell r="D174">
            <v>3127559027</v>
          </cell>
          <cell r="E174" t="str">
            <v>Itsmina</v>
          </cell>
          <cell r="F174"/>
          <cell r="G174">
            <v>400000</v>
          </cell>
          <cell r="H174"/>
          <cell r="I174" t="str">
            <v>CREDITO</v>
          </cell>
          <cell r="J174"/>
        </row>
        <row r="175">
          <cell r="B175" t="str">
            <v>YEISON ROJAS CORDOBA</v>
          </cell>
          <cell r="C175">
            <v>1077437902</v>
          </cell>
          <cell r="D175">
            <v>3127867720</v>
          </cell>
          <cell r="E175" t="str">
            <v>Quibdó</v>
          </cell>
          <cell r="F175"/>
          <cell r="G175">
            <v>1600000</v>
          </cell>
          <cell r="H175"/>
          <cell r="I175" t="str">
            <v>CREDITO</v>
          </cell>
          <cell r="J175"/>
        </row>
        <row r="176">
          <cell r="B176" t="str">
            <v>ANGEL DAVID MURILLO CUESTA</v>
          </cell>
          <cell r="C176">
            <v>1003932453</v>
          </cell>
          <cell r="D176">
            <v>3226546627</v>
          </cell>
          <cell r="E176" t="str">
            <v>Quibdó</v>
          </cell>
          <cell r="F176"/>
          <cell r="G176">
            <v>1600000</v>
          </cell>
          <cell r="H176"/>
          <cell r="I176" t="str">
            <v>CREDITO</v>
          </cell>
          <cell r="J176"/>
        </row>
        <row r="177">
          <cell r="B177" t="str">
            <v>CLAUDIA PERDOMO</v>
          </cell>
          <cell r="C177"/>
          <cell r="D177">
            <v>3214118979</v>
          </cell>
          <cell r="E177" t="str">
            <v>Bogotá</v>
          </cell>
          <cell r="F177"/>
          <cell r="G177">
            <v>840000</v>
          </cell>
          <cell r="H177"/>
          <cell r="I177" t="str">
            <v>CREDITO</v>
          </cell>
          <cell r="J177">
            <v>140000</v>
          </cell>
        </row>
        <row r="178">
          <cell r="B178" t="str">
            <v>ENRIQUE GARZON</v>
          </cell>
          <cell r="C178"/>
          <cell r="D178"/>
          <cell r="E178"/>
          <cell r="F178"/>
          <cell r="G178">
            <v>460000</v>
          </cell>
          <cell r="H178"/>
          <cell r="I178" t="str">
            <v>CREDITO</v>
          </cell>
          <cell r="J178"/>
        </row>
        <row r="179">
          <cell r="B179" t="str">
            <v>APOYO CENA CEPPEV</v>
          </cell>
          <cell r="C179"/>
          <cell r="D179"/>
          <cell r="E179"/>
          <cell r="F179"/>
          <cell r="G179">
            <v>-3000000</v>
          </cell>
          <cell r="H179"/>
          <cell r="I179" t="str">
            <v>DEBITO</v>
          </cell>
          <cell r="J179"/>
        </row>
        <row r="180">
          <cell r="B180" t="str">
            <v xml:space="preserve">ENTREGA RESERVA PEDRO DONG </v>
          </cell>
          <cell r="C180"/>
          <cell r="D180"/>
          <cell r="E180"/>
          <cell r="F180"/>
          <cell r="G180">
            <v>-41400000</v>
          </cell>
          <cell r="H180"/>
          <cell r="I180" t="str">
            <v>DEBITO</v>
          </cell>
          <cell r="J180"/>
        </row>
        <row r="181">
          <cell r="B181" t="str">
            <v>APOYO PAC PANAMA</v>
          </cell>
          <cell r="C181"/>
          <cell r="D181"/>
          <cell r="E181"/>
          <cell r="F181"/>
          <cell r="G181">
            <v>-1000000</v>
          </cell>
          <cell r="H181"/>
          <cell r="I181" t="str">
            <v>DEBITO</v>
          </cell>
          <cell r="J181"/>
        </row>
        <row r="182">
          <cell r="B182" t="str">
            <v>DERLY MONTAÑEZ</v>
          </cell>
          <cell r="C182">
            <v>60267661</v>
          </cell>
          <cell r="D182"/>
          <cell r="E182" t="str">
            <v>Pamplona</v>
          </cell>
          <cell r="F182"/>
          <cell r="G182">
            <v>250000</v>
          </cell>
          <cell r="H182"/>
          <cell r="I182" t="str">
            <v>CREDITO</v>
          </cell>
          <cell r="J182"/>
        </row>
        <row r="183">
          <cell r="B183" t="str">
            <v>ENTREGA DAVID MIRANDA RESERVA PD</v>
          </cell>
          <cell r="C183"/>
          <cell r="D183"/>
          <cell r="E183"/>
          <cell r="F183"/>
          <cell r="G183">
            <v>-7598700</v>
          </cell>
          <cell r="H183"/>
          <cell r="I183" t="str">
            <v>DEBITO</v>
          </cell>
          <cell r="J183"/>
        </row>
        <row r="184">
          <cell r="B184" t="str">
            <v>ESMERALDA BELISA RAMIREZ</v>
          </cell>
          <cell r="C184">
            <v>39105075</v>
          </cell>
          <cell r="D184"/>
          <cell r="E184"/>
          <cell r="F184"/>
          <cell r="G184">
            <v>400000</v>
          </cell>
          <cell r="H184"/>
          <cell r="I184" t="str">
            <v>CREDITO</v>
          </cell>
          <cell r="J184"/>
        </row>
        <row r="185">
          <cell r="B185" t="str">
            <v>ONNY SORET COSIO</v>
          </cell>
          <cell r="C185">
            <v>11785866</v>
          </cell>
          <cell r="D185">
            <v>3106178104</v>
          </cell>
          <cell r="E185" t="str">
            <v>QUIBDO</v>
          </cell>
          <cell r="F185"/>
          <cell r="G185">
            <v>2400000</v>
          </cell>
          <cell r="H185"/>
          <cell r="I185" t="str">
            <v>CREDITO</v>
          </cell>
          <cell r="J185">
            <v>400000</v>
          </cell>
        </row>
        <row r="186">
          <cell r="B186" t="str">
            <v>LIDIA GONZALEZ</v>
          </cell>
          <cell r="C186"/>
          <cell r="D186"/>
          <cell r="E186" t="str">
            <v>SINCELEJO</v>
          </cell>
          <cell r="F186"/>
          <cell r="G186">
            <v>400000</v>
          </cell>
          <cell r="H186"/>
          <cell r="I186" t="str">
            <v>CREDITO</v>
          </cell>
          <cell r="J186"/>
        </row>
        <row r="187">
          <cell r="B187" t="str">
            <v>ENTREGA DAVID MIRANDA RESERVA PD</v>
          </cell>
          <cell r="C187"/>
          <cell r="D187"/>
          <cell r="E187"/>
          <cell r="F187"/>
          <cell r="G187">
            <v>-3575640</v>
          </cell>
          <cell r="H187"/>
          <cell r="I187" t="str">
            <v>DEBITO</v>
          </cell>
          <cell r="J187"/>
        </row>
        <row r="188">
          <cell r="B188" t="str">
            <v>APOYO PAC PANAMA</v>
          </cell>
          <cell r="C188"/>
          <cell r="D188"/>
          <cell r="E188"/>
          <cell r="F188"/>
          <cell r="G188">
            <v>-1000000</v>
          </cell>
          <cell r="H188"/>
          <cell r="I188" t="str">
            <v>DEBITO</v>
          </cell>
          <cell r="J188"/>
        </row>
        <row r="189">
          <cell r="B189" t="str">
            <v>SANTIAGO BOTERO</v>
          </cell>
          <cell r="C189"/>
          <cell r="D189"/>
          <cell r="E189"/>
          <cell r="F189"/>
          <cell r="G189">
            <v>400000</v>
          </cell>
          <cell r="H189"/>
          <cell r="I189" t="str">
            <v>CREDITO</v>
          </cell>
          <cell r="J189"/>
        </row>
        <row r="190">
          <cell r="B190" t="str">
            <v>JHON JAIRO PEREZ</v>
          </cell>
          <cell r="C190">
            <v>88311237</v>
          </cell>
          <cell r="D190">
            <v>3157844390</v>
          </cell>
          <cell r="E190" t="str">
            <v>LOS PATIOS</v>
          </cell>
          <cell r="F190"/>
          <cell r="G190">
            <v>900000</v>
          </cell>
          <cell r="H190"/>
          <cell r="I190" t="str">
            <v>CREDITO</v>
          </cell>
          <cell r="J190">
            <v>400000</v>
          </cell>
        </row>
        <row r="191">
          <cell r="B191" t="str">
            <v>JOHANA RODRIGUEZ MENDEZ</v>
          </cell>
          <cell r="C191">
            <v>109042290</v>
          </cell>
          <cell r="D191"/>
          <cell r="E191"/>
          <cell r="F191"/>
          <cell r="G191">
            <v>100000</v>
          </cell>
          <cell r="H191"/>
          <cell r="I191" t="str">
            <v>CREDITO</v>
          </cell>
          <cell r="J191"/>
        </row>
        <row r="192">
          <cell r="B192" t="str">
            <v xml:space="preserve">NEYLA RODRIGUEZ MENDEZ </v>
          </cell>
          <cell r="C192">
            <v>10937503</v>
          </cell>
          <cell r="D192"/>
          <cell r="E192"/>
          <cell r="F192"/>
          <cell r="G192">
            <v>100000</v>
          </cell>
          <cell r="H192"/>
          <cell r="I192" t="str">
            <v>CREDITO</v>
          </cell>
          <cell r="J192"/>
        </row>
        <row r="193">
          <cell r="B193" t="str">
            <v>ALEXANDRA RODRIGUEZ MENDEZ</v>
          </cell>
          <cell r="C193">
            <v>60442867</v>
          </cell>
          <cell r="D193"/>
          <cell r="E193"/>
          <cell r="F193"/>
          <cell r="G193">
            <v>900000</v>
          </cell>
          <cell r="H193"/>
          <cell r="I193" t="str">
            <v>CREDITO</v>
          </cell>
          <cell r="J193"/>
        </row>
        <row r="194">
          <cell r="B194" t="str">
            <v>LUIS CARLOS AVELLANEDA ROA</v>
          </cell>
          <cell r="C194">
            <v>1090397309</v>
          </cell>
          <cell r="D194"/>
          <cell r="E194" t="str">
            <v>LOS PATIOS</v>
          </cell>
          <cell r="F194"/>
          <cell r="G194">
            <v>800000</v>
          </cell>
          <cell r="H194"/>
          <cell r="I194" t="str">
            <v>CREDITO</v>
          </cell>
          <cell r="J194"/>
        </row>
        <row r="195">
          <cell r="B195" t="str">
            <v>IG. EN VIOTA</v>
          </cell>
          <cell r="C195"/>
          <cell r="D195"/>
          <cell r="E195"/>
          <cell r="F195"/>
          <cell r="G195">
            <v>950000</v>
          </cell>
          <cell r="H195"/>
          <cell r="I195" t="str">
            <v>CREDITO</v>
          </cell>
          <cell r="J195"/>
        </row>
        <row r="196">
          <cell r="B196" t="str">
            <v>JOHAN DAVID DELGADO PINZON</v>
          </cell>
          <cell r="C196">
            <v>1093786204</v>
          </cell>
          <cell r="D196">
            <v>3212596253</v>
          </cell>
          <cell r="E196" t="str">
            <v>LOS PATIOS</v>
          </cell>
          <cell r="F196"/>
          <cell r="G196">
            <v>2400000</v>
          </cell>
          <cell r="H196"/>
          <cell r="I196" t="str">
            <v>CREDITO</v>
          </cell>
          <cell r="J196"/>
        </row>
        <row r="197">
          <cell r="B197" t="str">
            <v>CONSUELO CABRERA</v>
          </cell>
          <cell r="C197"/>
          <cell r="D197"/>
          <cell r="E197" t="str">
            <v>Bucaramanga</v>
          </cell>
          <cell r="F197"/>
          <cell r="G197">
            <v>400000</v>
          </cell>
          <cell r="H197"/>
          <cell r="I197" t="str">
            <v>CREDITO</v>
          </cell>
          <cell r="J197"/>
        </row>
        <row r="198">
          <cell r="B198" t="str">
            <v xml:space="preserve">OFRENDA JORGE LUIS BARRIOS </v>
          </cell>
          <cell r="C198"/>
          <cell r="D198"/>
          <cell r="E198"/>
          <cell r="F198"/>
          <cell r="G198">
            <v>-2600000</v>
          </cell>
          <cell r="H198"/>
          <cell r="I198" t="str">
            <v>DEBITO</v>
          </cell>
          <cell r="J198"/>
        </row>
        <row r="199">
          <cell r="B199" t="str">
            <v>IG. EN YOPAL MIGUEL VERGEL</v>
          </cell>
          <cell r="C199"/>
          <cell r="D199"/>
          <cell r="E199"/>
          <cell r="F199"/>
          <cell r="G199">
            <v>3600000</v>
          </cell>
          <cell r="H199"/>
          <cell r="I199" t="str">
            <v>CREDITO</v>
          </cell>
          <cell r="J199"/>
        </row>
        <row r="200">
          <cell r="B200" t="str">
            <v>CARLOS PINEDA</v>
          </cell>
          <cell r="C200">
            <v>79772077</v>
          </cell>
          <cell r="D200"/>
          <cell r="E200"/>
          <cell r="F200"/>
          <cell r="G200">
            <v>1200000</v>
          </cell>
          <cell r="H200"/>
          <cell r="I200" t="str">
            <v>CREDITO</v>
          </cell>
          <cell r="J200"/>
        </row>
        <row r="201">
          <cell r="B201" t="str">
            <v>DAIRON MURILLO</v>
          </cell>
          <cell r="C201">
            <v>1093775115</v>
          </cell>
          <cell r="D201"/>
          <cell r="E201"/>
          <cell r="F201"/>
          <cell r="G201">
            <v>1200000</v>
          </cell>
          <cell r="H201"/>
          <cell r="I201" t="str">
            <v>CREDITO</v>
          </cell>
          <cell r="J201"/>
        </row>
        <row r="202">
          <cell r="B202" t="str">
            <v>SANTIAGO OSPINO</v>
          </cell>
          <cell r="C202"/>
          <cell r="D202"/>
          <cell r="E202"/>
          <cell r="F202"/>
          <cell r="G202">
            <v>1200000</v>
          </cell>
          <cell r="H202"/>
          <cell r="I202" t="str">
            <v>CREDITO</v>
          </cell>
          <cell r="J202"/>
        </row>
        <row r="203">
          <cell r="B203" t="str">
            <v>ALVARO JAVIER ZAPATA</v>
          </cell>
          <cell r="C203">
            <v>1042767190</v>
          </cell>
          <cell r="D203">
            <v>3146496028</v>
          </cell>
          <cell r="E203" t="str">
            <v>YARUMAL</v>
          </cell>
          <cell r="F203"/>
          <cell r="G203">
            <v>2000000</v>
          </cell>
          <cell r="H203"/>
          <cell r="I203" t="str">
            <v>CREDITO</v>
          </cell>
          <cell r="J203">
            <v>600000</v>
          </cell>
        </row>
        <row r="204">
          <cell r="B204" t="str">
            <v xml:space="preserve">ENTREGA RESERVA PEDRO DONG </v>
          </cell>
          <cell r="C204"/>
          <cell r="D204"/>
          <cell r="E204"/>
          <cell r="F204"/>
          <cell r="G204">
            <v>-20350000</v>
          </cell>
          <cell r="H204"/>
          <cell r="I204" t="str">
            <v>DEBITO</v>
          </cell>
          <cell r="J204"/>
        </row>
        <row r="205">
          <cell r="B205" t="str">
            <v>MARIA EURICA CORDOBA</v>
          </cell>
          <cell r="C205">
            <v>54252099</v>
          </cell>
          <cell r="D205" t="str">
            <v>314 711 38 30</v>
          </cell>
          <cell r="E205" t="str">
            <v>QUIBDO</v>
          </cell>
          <cell r="F205"/>
          <cell r="G205">
            <v>1600000</v>
          </cell>
          <cell r="H205"/>
          <cell r="I205" t="str">
            <v>CREDITO</v>
          </cell>
          <cell r="J205"/>
        </row>
        <row r="206">
          <cell r="B206" t="str">
            <v>PATRICIA TINOCO GONZALEZ</v>
          </cell>
          <cell r="C206">
            <v>64543061</v>
          </cell>
          <cell r="D206">
            <v>3007191532</v>
          </cell>
          <cell r="E206" t="str">
            <v>SINCELEJO</v>
          </cell>
          <cell r="F206"/>
          <cell r="G206">
            <v>2000000</v>
          </cell>
          <cell r="H206"/>
          <cell r="I206" t="str">
            <v>CREDITO</v>
          </cell>
          <cell r="J206">
            <v>400000</v>
          </cell>
        </row>
        <row r="207">
          <cell r="B207" t="str">
            <v>LUIS MIGUEL NARANJO APOYO PANAMA</v>
          </cell>
          <cell r="C207"/>
          <cell r="D207"/>
          <cell r="E207"/>
          <cell r="F207"/>
          <cell r="G207">
            <v>-1000000</v>
          </cell>
          <cell r="H207"/>
          <cell r="I207" t="str">
            <v>DEBITO</v>
          </cell>
          <cell r="J207"/>
        </row>
        <row r="208">
          <cell r="B208" t="str">
            <v>DAIRON FOLIACO</v>
          </cell>
          <cell r="C208">
            <v>1128051565</v>
          </cell>
          <cell r="D208"/>
          <cell r="E208"/>
          <cell r="F208"/>
          <cell r="G208">
            <v>400000</v>
          </cell>
          <cell r="H208"/>
          <cell r="I208" t="str">
            <v>CREDITO</v>
          </cell>
          <cell r="J208"/>
        </row>
        <row r="209">
          <cell r="B209" t="str">
            <v>CRUZ ALONSO RESTREPO</v>
          </cell>
          <cell r="C209">
            <v>98533404</v>
          </cell>
          <cell r="D209">
            <v>3016089190</v>
          </cell>
          <cell r="E209" t="str">
            <v>MEDELLIN</v>
          </cell>
          <cell r="F209"/>
          <cell r="G209">
            <v>2000000</v>
          </cell>
          <cell r="H209"/>
          <cell r="I209" t="str">
            <v>CREDITO</v>
          </cell>
          <cell r="J209">
            <v>400000</v>
          </cell>
        </row>
        <row r="210">
          <cell r="B210" t="str">
            <v>IG. EN TUNJA</v>
          </cell>
          <cell r="C210"/>
          <cell r="D210"/>
          <cell r="E210"/>
          <cell r="F210"/>
          <cell r="G210">
            <v>2000000</v>
          </cell>
          <cell r="H210"/>
          <cell r="I210" t="str">
            <v>CREDITO</v>
          </cell>
          <cell r="J210"/>
        </row>
        <row r="211">
          <cell r="B211" t="str">
            <v>MARILUZ QUINTERO</v>
          </cell>
          <cell r="C211"/>
          <cell r="D211"/>
          <cell r="E211"/>
          <cell r="F211"/>
          <cell r="G211">
            <v>400000</v>
          </cell>
          <cell r="H211"/>
          <cell r="I211" t="str">
            <v>CREDITO</v>
          </cell>
          <cell r="J211"/>
        </row>
        <row r="212">
          <cell r="B212" t="str">
            <v>ESPERANZA TORRES</v>
          </cell>
          <cell r="C212"/>
          <cell r="D212"/>
          <cell r="E212" t="str">
            <v>BOGOTA</v>
          </cell>
          <cell r="F212"/>
          <cell r="G212">
            <v>1400000</v>
          </cell>
          <cell r="H212"/>
          <cell r="I212" t="str">
            <v>CREDITO</v>
          </cell>
          <cell r="J212"/>
        </row>
        <row r="213">
          <cell r="B213" t="str">
            <v>IG. EN EL META</v>
          </cell>
          <cell r="C213"/>
          <cell r="D213"/>
          <cell r="E213"/>
          <cell r="F213"/>
          <cell r="G213">
            <v>600000</v>
          </cell>
          <cell r="H213"/>
          <cell r="I213" t="str">
            <v>CREDITO</v>
          </cell>
          <cell r="J213"/>
        </row>
        <row r="214">
          <cell r="B214" t="str">
            <v>CELESTINA MORENO VELASQUEZ</v>
          </cell>
          <cell r="C214">
            <v>39302237</v>
          </cell>
          <cell r="D214">
            <v>3187333883</v>
          </cell>
          <cell r="E214" t="str">
            <v>BOLIVAR</v>
          </cell>
          <cell r="F214"/>
          <cell r="G214">
            <v>2000000</v>
          </cell>
          <cell r="H214"/>
          <cell r="I214" t="str">
            <v>CREDITO</v>
          </cell>
          <cell r="J214">
            <v>400000</v>
          </cell>
        </row>
        <row r="215">
          <cell r="B215" t="str">
            <v>IG. EN ABREGO</v>
          </cell>
          <cell r="C215"/>
          <cell r="D215"/>
          <cell r="E215"/>
          <cell r="F215"/>
          <cell r="G215">
            <v>70000</v>
          </cell>
          <cell r="H215"/>
          <cell r="I215" t="str">
            <v>CREDITO</v>
          </cell>
          <cell r="J215"/>
        </row>
        <row r="216">
          <cell r="B216" t="str">
            <v>VIATICOS COLPORTORES</v>
          </cell>
          <cell r="C216"/>
          <cell r="D216"/>
          <cell r="E216"/>
          <cell r="F216"/>
          <cell r="G216">
            <v>-459000</v>
          </cell>
          <cell r="H216"/>
          <cell r="I216" t="str">
            <v>DEBITO</v>
          </cell>
          <cell r="J216"/>
        </row>
        <row r="217">
          <cell r="B217" t="str">
            <v>LIBEDIS ESTHER ARIAS</v>
          </cell>
          <cell r="C217">
            <v>49741498</v>
          </cell>
          <cell r="D217"/>
          <cell r="E217"/>
          <cell r="F217"/>
          <cell r="G217">
            <v>400000</v>
          </cell>
          <cell r="H217"/>
          <cell r="I217" t="str">
            <v>CREDITO</v>
          </cell>
          <cell r="J217"/>
        </row>
        <row r="218">
          <cell r="B218" t="str">
            <v>APOYO LUIS GABRIEL BRASIL</v>
          </cell>
          <cell r="C218"/>
          <cell r="D218"/>
          <cell r="E218"/>
          <cell r="F218"/>
          <cell r="G218">
            <v>-2375000</v>
          </cell>
          <cell r="H218"/>
          <cell r="I218" t="str">
            <v>DEBITO</v>
          </cell>
          <cell r="J218"/>
        </row>
        <row r="219">
          <cell r="B219" t="str">
            <v>FRANKLIN FLORLEZ</v>
          </cell>
          <cell r="C219">
            <v>92257868</v>
          </cell>
          <cell r="D219">
            <v>3014216556</v>
          </cell>
          <cell r="E219" t="str">
            <v>CHIGORODO</v>
          </cell>
          <cell r="F219"/>
          <cell r="G219">
            <v>1600000</v>
          </cell>
          <cell r="H219"/>
          <cell r="I219" t="str">
            <v>CREDITO</v>
          </cell>
          <cell r="J219"/>
        </row>
        <row r="220">
          <cell r="B220" t="str">
            <v>VIATICOS ECUADOR JULIO SANCHEA</v>
          </cell>
          <cell r="C220"/>
          <cell r="D220"/>
          <cell r="E220"/>
          <cell r="F220"/>
          <cell r="G220">
            <v>-3844290</v>
          </cell>
          <cell r="H220"/>
          <cell r="I220" t="str">
            <v>DEBITO</v>
          </cell>
          <cell r="J220"/>
        </row>
        <row r="221">
          <cell r="B221" t="str">
            <v>ENTREGA PEDRO DONG</v>
          </cell>
          <cell r="C221"/>
          <cell r="D221"/>
          <cell r="E221"/>
          <cell r="F221"/>
          <cell r="G221">
            <v>-12045000</v>
          </cell>
          <cell r="H221"/>
          <cell r="I221" t="str">
            <v>DEBITO</v>
          </cell>
          <cell r="J221"/>
        </row>
        <row r="222">
          <cell r="B222" t="str">
            <v>ENTREGA A ESTANCIA</v>
          </cell>
          <cell r="C222"/>
          <cell r="D222"/>
          <cell r="E222"/>
          <cell r="F222"/>
          <cell r="G222">
            <v>-11190450</v>
          </cell>
          <cell r="H222"/>
          <cell r="I222" t="str">
            <v>DEBITO</v>
          </cell>
          <cell r="J222"/>
        </row>
        <row r="223">
          <cell r="B223" t="str">
            <v>APOYO PAC PANAMA</v>
          </cell>
          <cell r="C223"/>
          <cell r="D223"/>
          <cell r="E223"/>
          <cell r="F223"/>
          <cell r="G223">
            <v>-1100000</v>
          </cell>
          <cell r="H223"/>
          <cell r="I223" t="str">
            <v>DEBITO</v>
          </cell>
          <cell r="J223"/>
        </row>
        <row r="224">
          <cell r="B224" t="str">
            <v>ALFREDO CASTRO</v>
          </cell>
          <cell r="C224">
            <v>12610911</v>
          </cell>
          <cell r="D224">
            <v>3102029563</v>
          </cell>
          <cell r="E224" t="str">
            <v>MEDELLIN</v>
          </cell>
          <cell r="F224"/>
          <cell r="G224">
            <v>800000</v>
          </cell>
          <cell r="H224"/>
          <cell r="I224" t="str">
            <v>CREDITO</v>
          </cell>
          <cell r="J224"/>
        </row>
        <row r="225">
          <cell r="B225" t="str">
            <v>ANGELO JOSE PALMAR</v>
          </cell>
          <cell r="C225"/>
          <cell r="D225"/>
          <cell r="E225"/>
          <cell r="F225"/>
          <cell r="G225">
            <v>400000</v>
          </cell>
          <cell r="H225"/>
          <cell r="I225" t="str">
            <v>CREDITO</v>
          </cell>
          <cell r="J225"/>
        </row>
        <row r="226">
          <cell r="B226" t="str">
            <v>JHON BRAYAN</v>
          </cell>
          <cell r="C226">
            <v>1093795671</v>
          </cell>
          <cell r="D226">
            <v>3202805549</v>
          </cell>
          <cell r="E226" t="str">
            <v>LOS PATIOS</v>
          </cell>
          <cell r="F226"/>
          <cell r="G226">
            <v>1200000</v>
          </cell>
          <cell r="H226"/>
          <cell r="I226" t="str">
            <v>CREDITO</v>
          </cell>
          <cell r="J226"/>
        </row>
        <row r="227">
          <cell r="B227" t="str">
            <v>JESUS VIDAL CORDOBA</v>
          </cell>
          <cell r="C227">
            <v>11794402</v>
          </cell>
          <cell r="D227">
            <v>3107027375</v>
          </cell>
          <cell r="E227" t="str">
            <v>QUIBDO</v>
          </cell>
          <cell r="F227"/>
          <cell r="G227">
            <v>3200000</v>
          </cell>
          <cell r="H227"/>
          <cell r="I227" t="str">
            <v>CREDITO</v>
          </cell>
          <cell r="J227">
            <v>800000</v>
          </cell>
        </row>
        <row r="228">
          <cell r="B228" t="str">
            <v>FAMILIA FLORES TREJOS</v>
          </cell>
          <cell r="C228"/>
          <cell r="D228"/>
          <cell r="E228"/>
          <cell r="F228"/>
          <cell r="G228">
            <v>400000</v>
          </cell>
          <cell r="H228"/>
          <cell r="I228" t="str">
            <v>CREDITO</v>
          </cell>
          <cell r="J228"/>
        </row>
        <row r="229">
          <cell r="B229" t="str">
            <v>JUDY CAMARGO</v>
          </cell>
          <cell r="C229">
            <v>22528383</v>
          </cell>
          <cell r="D229"/>
          <cell r="E229" t="str">
            <v>MALAMBO</v>
          </cell>
          <cell r="F229"/>
          <cell r="G229">
            <v>1600000</v>
          </cell>
          <cell r="H229"/>
          <cell r="I229" t="str">
            <v>CREDITO</v>
          </cell>
          <cell r="J229">
            <v>400000</v>
          </cell>
        </row>
        <row r="230">
          <cell r="B230" t="str">
            <v>JULIO SANCHEZ VIATICOS LILMA</v>
          </cell>
          <cell r="C230"/>
          <cell r="D230"/>
          <cell r="E230"/>
          <cell r="F230"/>
          <cell r="G230">
            <v>-2284620</v>
          </cell>
          <cell r="H230"/>
          <cell r="I230" t="str">
            <v>DEBITO</v>
          </cell>
          <cell r="J230"/>
        </row>
        <row r="231">
          <cell r="B231" t="str">
            <v>APOYO CEPPEV</v>
          </cell>
          <cell r="C231"/>
          <cell r="D231"/>
          <cell r="E231"/>
          <cell r="F231"/>
          <cell r="G231">
            <v>-3200000</v>
          </cell>
          <cell r="H231"/>
          <cell r="I231" t="str">
            <v>DEBITO</v>
          </cell>
          <cell r="J231"/>
        </row>
        <row r="232">
          <cell r="B232" t="str">
            <v>VUELOS COLPORTORES PERU</v>
          </cell>
          <cell r="C232"/>
          <cell r="D232"/>
          <cell r="E232"/>
          <cell r="F232"/>
          <cell r="G232">
            <v>-3433200</v>
          </cell>
          <cell r="H232"/>
          <cell r="I232" t="str">
            <v>DEBITO</v>
          </cell>
          <cell r="J232"/>
        </row>
        <row r="233">
          <cell r="B233" t="str">
            <v>AURORA CONTRERAS</v>
          </cell>
          <cell r="C233"/>
          <cell r="D233"/>
          <cell r="E233"/>
          <cell r="F233"/>
          <cell r="G233">
            <v>1600000</v>
          </cell>
          <cell r="H233"/>
          <cell r="I233" t="str">
            <v>CREDITO</v>
          </cell>
          <cell r="J233">
            <v>400000</v>
          </cell>
        </row>
        <row r="234">
          <cell r="B234" t="str">
            <v>NINA ILLERA NAVARRO</v>
          </cell>
          <cell r="C234">
            <v>37315263</v>
          </cell>
          <cell r="D234">
            <v>3187750056</v>
          </cell>
          <cell r="E234" t="str">
            <v>OCAÑA</v>
          </cell>
          <cell r="F234"/>
          <cell r="G234">
            <v>1600000</v>
          </cell>
          <cell r="H234"/>
          <cell r="I234" t="str">
            <v>CREDITO</v>
          </cell>
          <cell r="J234"/>
        </row>
        <row r="235">
          <cell r="B235" t="str">
            <v>VUELOS COLPORTORES PANAMA</v>
          </cell>
          <cell r="C235"/>
          <cell r="D235"/>
          <cell r="E235"/>
          <cell r="F235"/>
          <cell r="G235">
            <v>-2416300</v>
          </cell>
          <cell r="H235"/>
          <cell r="I235" t="str">
            <v>DEBITO</v>
          </cell>
          <cell r="J235"/>
        </row>
        <row r="236">
          <cell r="B236" t="str">
            <v>CRISTIAN DAVID NUÑEZ</v>
          </cell>
          <cell r="C236">
            <v>1067960477</v>
          </cell>
          <cell r="D236">
            <v>3196090283</v>
          </cell>
          <cell r="E236" t="str">
            <v>SINCELEJO</v>
          </cell>
          <cell r="F236"/>
          <cell r="G236">
            <v>800000</v>
          </cell>
          <cell r="H236"/>
          <cell r="I236" t="str">
            <v>CREDITO</v>
          </cell>
          <cell r="J236"/>
        </row>
        <row r="237">
          <cell r="B237" t="str">
            <v>CARLOS JOSE CASTRO</v>
          </cell>
          <cell r="C237">
            <v>1091669219</v>
          </cell>
          <cell r="D237">
            <v>3182787563</v>
          </cell>
          <cell r="E237" t="str">
            <v>OCAÑA</v>
          </cell>
          <cell r="F237"/>
          <cell r="G237">
            <v>1200000</v>
          </cell>
          <cell r="H237"/>
          <cell r="I237" t="str">
            <v>CREDITO</v>
          </cell>
          <cell r="J237"/>
        </row>
        <row r="238">
          <cell r="B238" t="str">
            <v>JUAN ALVAREZ</v>
          </cell>
          <cell r="C238"/>
          <cell r="D238"/>
          <cell r="E238"/>
          <cell r="F238"/>
          <cell r="G238">
            <v>100000</v>
          </cell>
          <cell r="H238"/>
          <cell r="I238" t="str">
            <v>CREDITO</v>
          </cell>
          <cell r="J238"/>
        </row>
        <row r="239">
          <cell r="B239" t="str">
            <v>LUIS MIGUEL NARANJO APOYO PANAMA</v>
          </cell>
          <cell r="C239"/>
          <cell r="D239"/>
          <cell r="E239"/>
          <cell r="F239"/>
          <cell r="G239">
            <v>-900000</v>
          </cell>
          <cell r="H239"/>
          <cell r="I239" t="str">
            <v>DEBITO</v>
          </cell>
          <cell r="J239"/>
        </row>
        <row r="240">
          <cell r="B240" t="str">
            <v xml:space="preserve">EURICA CORDOBA </v>
          </cell>
          <cell r="C240"/>
          <cell r="D240"/>
          <cell r="E240"/>
          <cell r="F240"/>
          <cell r="G240">
            <v>400000</v>
          </cell>
          <cell r="H240"/>
          <cell r="I240" t="str">
            <v>CREDITO</v>
          </cell>
          <cell r="J240"/>
        </row>
        <row r="241">
          <cell r="B241" t="str">
            <v>MILENA GOMEZ LOPEZ</v>
          </cell>
          <cell r="C241">
            <v>52809513</v>
          </cell>
          <cell r="D241">
            <v>3053034243</v>
          </cell>
          <cell r="E241" t="str">
            <v>PEREIRA</v>
          </cell>
          <cell r="F241"/>
          <cell r="G241">
            <v>1200000</v>
          </cell>
          <cell r="H241"/>
          <cell r="I241" t="str">
            <v>CREDITO</v>
          </cell>
          <cell r="J241">
            <v>400000</v>
          </cell>
        </row>
        <row r="242">
          <cell r="B242" t="str">
            <v>FABIAN ANDRES CASTRO</v>
          </cell>
          <cell r="C242">
            <v>1091681333</v>
          </cell>
          <cell r="D242">
            <v>3158769403</v>
          </cell>
          <cell r="E242"/>
          <cell r="F242"/>
          <cell r="G242">
            <v>800000</v>
          </cell>
          <cell r="H242"/>
          <cell r="I242" t="str">
            <v>CREDITO</v>
          </cell>
          <cell r="J242">
            <v>1200000</v>
          </cell>
        </row>
        <row r="243">
          <cell r="B243" t="str">
            <v>IG. EN ARJONA</v>
          </cell>
          <cell r="C243"/>
          <cell r="D243"/>
          <cell r="E243"/>
          <cell r="F243"/>
          <cell r="G243">
            <v>1130000</v>
          </cell>
          <cell r="H243"/>
          <cell r="I243" t="str">
            <v>CREDITO</v>
          </cell>
          <cell r="J243"/>
        </row>
        <row r="244">
          <cell r="B244" t="str">
            <v>APOYO CEPPEV BUCARAMANGA</v>
          </cell>
          <cell r="C244"/>
          <cell r="D244"/>
          <cell r="E244"/>
          <cell r="F244"/>
          <cell r="G244">
            <v>-6000000</v>
          </cell>
          <cell r="H244"/>
          <cell r="I244" t="str">
            <v>DEBITO</v>
          </cell>
          <cell r="J244"/>
        </row>
        <row r="245">
          <cell r="B245" t="str">
            <v>KATHERINE SIERRA FONTALVO</v>
          </cell>
          <cell r="C245"/>
          <cell r="D245"/>
          <cell r="E245" t="str">
            <v>MALAMBO</v>
          </cell>
          <cell r="F245"/>
          <cell r="G245">
            <v>460000</v>
          </cell>
          <cell r="H245"/>
          <cell r="I245" t="str">
            <v>CREDITO</v>
          </cell>
          <cell r="J245"/>
        </row>
        <row r="246">
          <cell r="B246" t="str">
            <v>DAVID ORLANDO GALVIS</v>
          </cell>
          <cell r="C246" t="str">
            <v>88 257 848</v>
          </cell>
          <cell r="D246">
            <v>3170295457</v>
          </cell>
          <cell r="E246" t="str">
            <v>CUCUTA</v>
          </cell>
          <cell r="F246"/>
          <cell r="G246">
            <v>800000</v>
          </cell>
          <cell r="H246"/>
          <cell r="I246" t="str">
            <v>CREDITO</v>
          </cell>
          <cell r="J246">
            <v>1200000</v>
          </cell>
        </row>
        <row r="247">
          <cell r="B247" t="str">
            <v>IG. EN CHIGORODO</v>
          </cell>
          <cell r="C247"/>
          <cell r="D247"/>
          <cell r="E247"/>
          <cell r="F247"/>
          <cell r="G247">
            <v>400000</v>
          </cell>
          <cell r="H247"/>
          <cell r="I247" t="str">
            <v>CREDITO</v>
          </cell>
          <cell r="J247"/>
        </row>
        <row r="248">
          <cell r="B248" t="str">
            <v>DAVID MAESTRE VIATICOS ECUADOR</v>
          </cell>
          <cell r="C248"/>
          <cell r="D248"/>
          <cell r="E248"/>
          <cell r="F248"/>
          <cell r="G248">
            <v>-1561973</v>
          </cell>
          <cell r="H248"/>
          <cell r="I248" t="str">
            <v>DEBITO</v>
          </cell>
          <cell r="J248"/>
        </row>
        <row r="249">
          <cell r="B249" t="str">
            <v xml:space="preserve">ENTREGA RESERVA PEDRO DONG </v>
          </cell>
          <cell r="C249"/>
          <cell r="D249"/>
          <cell r="E249"/>
          <cell r="F249"/>
          <cell r="G249">
            <v>-29998000</v>
          </cell>
          <cell r="H249"/>
          <cell r="I249" t="str">
            <v>DEBITO</v>
          </cell>
          <cell r="J249"/>
        </row>
        <row r="250">
          <cell r="B250" t="str">
            <v>DAVID MIRANDA VUELOS COLPORTORES</v>
          </cell>
          <cell r="C250"/>
          <cell r="D250"/>
          <cell r="E250"/>
          <cell r="F250"/>
          <cell r="G250">
            <v>-3488330</v>
          </cell>
          <cell r="H250"/>
          <cell r="I250" t="str">
            <v>DEBITO</v>
          </cell>
          <cell r="J250"/>
        </row>
        <row r="251">
          <cell r="B251" t="str">
            <v>LUIS MIGUEL NARANJO VUELO COLPORTOR</v>
          </cell>
          <cell r="C251"/>
          <cell r="D251"/>
          <cell r="E251"/>
          <cell r="F251"/>
          <cell r="G251">
            <v>-572600</v>
          </cell>
          <cell r="H251"/>
          <cell r="I251" t="str">
            <v>DEBITO</v>
          </cell>
          <cell r="J251"/>
        </row>
        <row r="252">
          <cell r="B252" t="str">
            <v>IGLESIA EN B/MANGA APOYO VANS</v>
          </cell>
          <cell r="C252"/>
          <cell r="D252"/>
          <cell r="E252"/>
          <cell r="F252"/>
          <cell r="G252">
            <v>-10000000</v>
          </cell>
          <cell r="H252"/>
          <cell r="I252" t="str">
            <v>DEBITO</v>
          </cell>
          <cell r="J252"/>
        </row>
        <row r="253">
          <cell r="B253" t="str">
            <v>LUIS MIGUEL NARANJO APOYO PANAMA</v>
          </cell>
          <cell r="C253"/>
          <cell r="D253"/>
          <cell r="E253"/>
          <cell r="F253"/>
          <cell r="G253">
            <v>-6000000</v>
          </cell>
          <cell r="H253"/>
          <cell r="I253" t="str">
            <v>DEBITO</v>
          </cell>
          <cell r="J253"/>
        </row>
        <row r="254">
          <cell r="B254" t="str">
            <v>MARTIN ALFONSO RUEDA</v>
          </cell>
          <cell r="C254">
            <v>91175909</v>
          </cell>
          <cell r="D254">
            <v>3188566515</v>
          </cell>
          <cell r="E254" t="str">
            <v>MEDELLIN</v>
          </cell>
          <cell r="F254"/>
          <cell r="G254">
            <v>1600000</v>
          </cell>
          <cell r="H254"/>
          <cell r="I254" t="str">
            <v>CREDITO</v>
          </cell>
          <cell r="J254"/>
        </row>
        <row r="255">
          <cell r="B255" t="str">
            <v xml:space="preserve">CESAR AUGUSTO GUIRAL  </v>
          </cell>
          <cell r="C255">
            <v>15517784</v>
          </cell>
          <cell r="D255"/>
          <cell r="E255" t="str">
            <v>GIRARDOTA</v>
          </cell>
          <cell r="F255"/>
          <cell r="G255">
            <v>800000</v>
          </cell>
          <cell r="H255"/>
          <cell r="I255" t="str">
            <v>CREDITO</v>
          </cell>
          <cell r="J255"/>
        </row>
        <row r="256">
          <cell r="B256" t="str">
            <v>ANTONY SUAREZ</v>
          </cell>
          <cell r="C256">
            <v>1114884317</v>
          </cell>
          <cell r="D256">
            <v>3128481002</v>
          </cell>
          <cell r="E256" t="str">
            <v>CALI</v>
          </cell>
          <cell r="F256"/>
          <cell r="G256">
            <v>800000</v>
          </cell>
          <cell r="H256"/>
          <cell r="I256" t="str">
            <v>CREDITO</v>
          </cell>
          <cell r="J256">
            <v>400000</v>
          </cell>
        </row>
        <row r="257">
          <cell r="B257" t="str">
            <v>LILIAN BOHORQUEZ</v>
          </cell>
          <cell r="C257">
            <v>49742240</v>
          </cell>
          <cell r="D257">
            <v>3207260191</v>
          </cell>
          <cell r="E257" t="str">
            <v>CALI</v>
          </cell>
          <cell r="F257"/>
          <cell r="G257">
            <v>1000000</v>
          </cell>
          <cell r="H257"/>
          <cell r="I257" t="str">
            <v>CREDITO</v>
          </cell>
          <cell r="J257"/>
        </row>
        <row r="258">
          <cell r="B258" t="str">
            <v>JEREMIAS PAJARO PEÑA</v>
          </cell>
          <cell r="C258">
            <v>1143355775</v>
          </cell>
          <cell r="D258">
            <v>3042425180</v>
          </cell>
          <cell r="E258" t="str">
            <v>PUERTO C</v>
          </cell>
          <cell r="F258"/>
          <cell r="G258">
            <v>800000</v>
          </cell>
          <cell r="H258"/>
          <cell r="I258" t="str">
            <v>CREDITO</v>
          </cell>
          <cell r="J258">
            <v>400000</v>
          </cell>
        </row>
        <row r="259">
          <cell r="B259" t="str">
            <v>LUIS MIGUEL NARANJO APOYO PANAMA</v>
          </cell>
          <cell r="C259"/>
          <cell r="D259"/>
          <cell r="E259"/>
          <cell r="F259"/>
          <cell r="G259">
            <v>-1000000</v>
          </cell>
          <cell r="H259"/>
          <cell r="I259" t="str">
            <v>DEBITO</v>
          </cell>
          <cell r="J259"/>
        </row>
        <row r="260">
          <cell r="B260" t="str">
            <v xml:space="preserve">WILMER ARIAS </v>
          </cell>
          <cell r="C260">
            <v>1015997321</v>
          </cell>
          <cell r="D260">
            <v>3177392885</v>
          </cell>
          <cell r="E260" t="str">
            <v>BOGOTA</v>
          </cell>
          <cell r="F260"/>
          <cell r="G260">
            <v>1200000</v>
          </cell>
          <cell r="H260"/>
          <cell r="I260" t="str">
            <v>CREDITO</v>
          </cell>
          <cell r="J260"/>
        </row>
        <row r="261">
          <cell r="B261" t="str">
            <v>LADRICOL</v>
          </cell>
          <cell r="C261" t="str">
            <v>901.820.015-7</v>
          </cell>
          <cell r="D261">
            <v>3115871915</v>
          </cell>
          <cell r="E261" t="str">
            <v>LOS PATIOS</v>
          </cell>
          <cell r="F261"/>
          <cell r="G261">
            <v>800000</v>
          </cell>
          <cell r="H261"/>
          <cell r="I261" t="str">
            <v>CREDITO</v>
          </cell>
          <cell r="J261"/>
        </row>
        <row r="262">
          <cell r="B262" t="str">
            <v>NEHEMIAS PAJARO PEÑA</v>
          </cell>
          <cell r="C262">
            <v>1045737100</v>
          </cell>
          <cell r="D262">
            <v>3015184734</v>
          </cell>
          <cell r="E262" t="str">
            <v>PUERTO C</v>
          </cell>
          <cell r="F262"/>
          <cell r="G262">
            <v>800000</v>
          </cell>
          <cell r="H262"/>
          <cell r="I262" t="str">
            <v>CREDITO</v>
          </cell>
          <cell r="J262">
            <v>400000</v>
          </cell>
        </row>
        <row r="263">
          <cell r="B263" t="str">
            <v>MARIA EDITH BEJARANO BERMUDEZ</v>
          </cell>
          <cell r="C263">
            <v>26258801</v>
          </cell>
          <cell r="D263">
            <v>3206877280</v>
          </cell>
          <cell r="E263" t="str">
            <v>QUIBDO</v>
          </cell>
          <cell r="F263"/>
          <cell r="G263">
            <v>1200000</v>
          </cell>
          <cell r="H263"/>
          <cell r="I263" t="str">
            <v>CREDITO</v>
          </cell>
          <cell r="J263"/>
        </row>
        <row r="264">
          <cell r="B264" t="str">
            <v xml:space="preserve">ARMANDO CRUZ </v>
          </cell>
          <cell r="C264">
            <v>88309418</v>
          </cell>
          <cell r="D264">
            <v>3203034511</v>
          </cell>
          <cell r="E264" t="str">
            <v>LOS PATIOS</v>
          </cell>
          <cell r="F264"/>
          <cell r="G264">
            <v>800000</v>
          </cell>
          <cell r="H264"/>
          <cell r="I264" t="str">
            <v>CREDITO</v>
          </cell>
          <cell r="J264">
            <v>400000</v>
          </cell>
        </row>
        <row r="265">
          <cell r="B265" t="str">
            <v>EFRAIN ELGUEDO SALAS</v>
          </cell>
          <cell r="C265">
            <v>9093848</v>
          </cell>
          <cell r="D265">
            <v>3184909196</v>
          </cell>
          <cell r="E265" t="str">
            <v>BAYUNCA</v>
          </cell>
          <cell r="F265"/>
          <cell r="G265">
            <v>500000</v>
          </cell>
          <cell r="H265"/>
          <cell r="I265" t="str">
            <v>CREDITO</v>
          </cell>
          <cell r="J265">
            <v>400000</v>
          </cell>
        </row>
        <row r="266">
          <cell r="B266" t="str">
            <v>JORGE ARMANDO BRAVO</v>
          </cell>
          <cell r="C266">
            <v>1053798897</v>
          </cell>
          <cell r="D266">
            <v>3142872429</v>
          </cell>
          <cell r="E266" t="str">
            <v>TUNJA</v>
          </cell>
          <cell r="F266"/>
          <cell r="G266">
            <v>800000</v>
          </cell>
          <cell r="H266"/>
          <cell r="I266" t="str">
            <v>CREDITO</v>
          </cell>
          <cell r="J266"/>
        </row>
        <row r="267">
          <cell r="B267" t="str">
            <v>APOYO CUBA</v>
          </cell>
          <cell r="C267"/>
          <cell r="D267"/>
          <cell r="E267"/>
          <cell r="F267"/>
          <cell r="G267">
            <v>-1400000</v>
          </cell>
          <cell r="H267"/>
          <cell r="I267" t="str">
            <v>DEBITO</v>
          </cell>
          <cell r="J267"/>
        </row>
        <row r="268">
          <cell r="B268" t="str">
            <v>MARLENY DEL SOCORRO MONSALE</v>
          </cell>
          <cell r="C268">
            <v>32556538</v>
          </cell>
          <cell r="D268">
            <v>3108936691</v>
          </cell>
          <cell r="E268" t="str">
            <v>ANTIOQUIA</v>
          </cell>
          <cell r="F268"/>
          <cell r="G268">
            <v>40000</v>
          </cell>
          <cell r="H268"/>
          <cell r="I268" t="str">
            <v>CREDITO</v>
          </cell>
          <cell r="J268">
            <v>20000</v>
          </cell>
        </row>
        <row r="269">
          <cell r="B269" t="str">
            <v xml:space="preserve">BLANCA AINE GUAYARA </v>
          </cell>
          <cell r="C269">
            <v>28967914</v>
          </cell>
          <cell r="D269">
            <v>336684935</v>
          </cell>
          <cell r="E269" t="str">
            <v>ARMENIA</v>
          </cell>
          <cell r="F269"/>
          <cell r="G269">
            <v>400000</v>
          </cell>
          <cell r="H269"/>
          <cell r="I269" t="str">
            <v>CREDITO</v>
          </cell>
          <cell r="J269"/>
        </row>
        <row r="270">
          <cell r="B270" t="str">
            <v>MOVIL INVERSIONISTAS</v>
          </cell>
          <cell r="C270"/>
          <cell r="D270"/>
          <cell r="E270"/>
          <cell r="F270"/>
          <cell r="G270">
            <v>-41900</v>
          </cell>
          <cell r="H270"/>
          <cell r="I270" t="str">
            <v>DEBITO</v>
          </cell>
          <cell r="J270"/>
        </row>
        <row r="271">
          <cell r="B271" t="str">
            <v>EMMANUEL DUARTE MURILLO</v>
          </cell>
          <cell r="C271">
            <v>1094228628</v>
          </cell>
          <cell r="D271">
            <v>3124214946</v>
          </cell>
          <cell r="E271" t="str">
            <v>LOS PATIOS</v>
          </cell>
          <cell r="F271"/>
          <cell r="G271">
            <v>400000</v>
          </cell>
          <cell r="H271"/>
          <cell r="I271" t="str">
            <v>CREDITO</v>
          </cell>
          <cell r="J271">
            <v>200000</v>
          </cell>
        </row>
        <row r="272">
          <cell r="B272" t="str">
            <v>RAFAEL GUTIERREZ</v>
          </cell>
          <cell r="C272">
            <v>88237561</v>
          </cell>
          <cell r="D272">
            <v>3204473656</v>
          </cell>
          <cell r="E272" t="str">
            <v>LOS PATIOS</v>
          </cell>
          <cell r="F272"/>
          <cell r="G272">
            <v>800000</v>
          </cell>
          <cell r="H272"/>
          <cell r="I272" t="str">
            <v>CREDITO</v>
          </cell>
          <cell r="J272">
            <v>400000</v>
          </cell>
        </row>
        <row r="273">
          <cell r="B273" t="str">
            <v>RODRIGO SÁNCHEZ</v>
          </cell>
          <cell r="C273" t="str">
            <v xml:space="preserve">79,166,661 </v>
          </cell>
          <cell r="D273">
            <v>3102212862</v>
          </cell>
          <cell r="E273" t="str">
            <v>UBATE</v>
          </cell>
          <cell r="F273"/>
          <cell r="G273">
            <v>800000</v>
          </cell>
          <cell r="H273"/>
          <cell r="I273" t="str">
            <v>CREDITO</v>
          </cell>
          <cell r="J273"/>
        </row>
        <row r="274">
          <cell r="B274" t="str">
            <v xml:space="preserve">KEVIN SÁNCHEZ   </v>
          </cell>
          <cell r="C274" t="str">
            <v>1,076,660,747</v>
          </cell>
          <cell r="D274">
            <v>3173802748</v>
          </cell>
          <cell r="E274" t="str">
            <v>UBATE</v>
          </cell>
          <cell r="F274"/>
          <cell r="G274">
            <v>800000</v>
          </cell>
          <cell r="H274"/>
          <cell r="I274" t="str">
            <v>CREDITO</v>
          </cell>
          <cell r="J274"/>
        </row>
        <row r="275">
          <cell r="B275" t="str">
            <v xml:space="preserve">JOSHUA STANFORD </v>
          </cell>
          <cell r="C275" t="str">
            <v>1,015,439,209</v>
          </cell>
          <cell r="D275">
            <v>3174007835</v>
          </cell>
          <cell r="E275" t="str">
            <v>UBATE</v>
          </cell>
          <cell r="F275"/>
          <cell r="G275">
            <v>1200000</v>
          </cell>
          <cell r="H275"/>
          <cell r="I275" t="str">
            <v>CREDITO</v>
          </cell>
          <cell r="J275"/>
        </row>
        <row r="276">
          <cell r="B276" t="str">
            <v>IVAN HERNANDEZ</v>
          </cell>
          <cell r="C276" t="str">
            <v>1,045,699,283</v>
          </cell>
          <cell r="D276">
            <v>3008286649</v>
          </cell>
          <cell r="E276" t="str">
            <v>UBATE</v>
          </cell>
          <cell r="F276"/>
          <cell r="G276">
            <v>800000</v>
          </cell>
          <cell r="H276"/>
          <cell r="I276" t="str">
            <v>CREDITO</v>
          </cell>
          <cell r="J276"/>
        </row>
        <row r="277">
          <cell r="B277" t="str">
            <v>HAILER CASTRO</v>
          </cell>
          <cell r="C277" t="str">
            <v>1,076,650,797</v>
          </cell>
          <cell r="D277">
            <v>3212079648</v>
          </cell>
          <cell r="E277" t="str">
            <v>UBATE</v>
          </cell>
          <cell r="F277"/>
          <cell r="G277">
            <v>800000</v>
          </cell>
          <cell r="H277"/>
          <cell r="I277" t="str">
            <v>CREDITO</v>
          </cell>
          <cell r="J277"/>
        </row>
        <row r="278">
          <cell r="B278" t="str">
            <v xml:space="preserve">ANDRÉS MARULANDA   </v>
          </cell>
          <cell r="C278" t="str">
            <v>8,433,398</v>
          </cell>
          <cell r="D278">
            <v>3212648565</v>
          </cell>
          <cell r="E278" t="str">
            <v>SUTATAUSA</v>
          </cell>
          <cell r="F278"/>
          <cell r="G278">
            <v>800000</v>
          </cell>
          <cell r="H278"/>
          <cell r="I278" t="str">
            <v>CREDITO</v>
          </cell>
          <cell r="J278"/>
        </row>
        <row r="279">
          <cell r="B279" t="str">
            <v xml:space="preserve">HÉCTOR PAEZ </v>
          </cell>
          <cell r="C279" t="str">
            <v>79,166,183</v>
          </cell>
          <cell r="D279">
            <v>3156601344</v>
          </cell>
          <cell r="E279" t="str">
            <v>FUQUENE</v>
          </cell>
          <cell r="F279"/>
          <cell r="G279">
            <v>800000</v>
          </cell>
          <cell r="H279"/>
          <cell r="I279" t="str">
            <v>CREDITO</v>
          </cell>
          <cell r="J279"/>
        </row>
        <row r="280">
          <cell r="B280" t="str">
            <v>EMILIO GARCÍA</v>
          </cell>
          <cell r="C280" t="str">
            <v>79,166,692</v>
          </cell>
          <cell r="D280">
            <v>3114967016</v>
          </cell>
          <cell r="E280" t="str">
            <v>CUCUNUBA</v>
          </cell>
          <cell r="F280"/>
          <cell r="G280">
            <v>400000</v>
          </cell>
          <cell r="H280"/>
          <cell r="I280" t="str">
            <v>CREDITO</v>
          </cell>
          <cell r="J280"/>
        </row>
        <row r="281">
          <cell r="B281" t="str">
            <v>HERNAN BOLIVAR</v>
          </cell>
          <cell r="C281" t="str">
            <v>1,076,650,088</v>
          </cell>
          <cell r="D281">
            <v>3214289394</v>
          </cell>
          <cell r="E281" t="str">
            <v>CUCUNUBA</v>
          </cell>
          <cell r="F281"/>
          <cell r="G281">
            <v>800000</v>
          </cell>
          <cell r="H281"/>
          <cell r="I281" t="str">
            <v>CREDITO</v>
          </cell>
          <cell r="J281"/>
        </row>
        <row r="282">
          <cell r="B282" t="str">
            <v>ANDERSON HORMAZA</v>
          </cell>
          <cell r="C282" t="str">
            <v>1,051,588,792</v>
          </cell>
          <cell r="D282">
            <v>3214411717</v>
          </cell>
          <cell r="E282" t="str">
            <v>NEMOCON</v>
          </cell>
          <cell r="F282"/>
          <cell r="G282">
            <v>800000</v>
          </cell>
          <cell r="H282"/>
          <cell r="I282" t="str">
            <v>CREDITO</v>
          </cell>
          <cell r="J282"/>
        </row>
        <row r="283">
          <cell r="B283" t="str">
            <v>JUAN SEBASTIAN MONTES</v>
          </cell>
          <cell r="C283" t="str">
            <v>1,192,773,744</v>
          </cell>
          <cell r="D283">
            <v>3204014480</v>
          </cell>
          <cell r="E283" t="str">
            <v>ZIPAQUIRA</v>
          </cell>
          <cell r="F283"/>
          <cell r="G283">
            <v>400000</v>
          </cell>
          <cell r="H283"/>
          <cell r="I283" t="str">
            <v>CREDITO</v>
          </cell>
          <cell r="J283"/>
        </row>
        <row r="284">
          <cell r="B284" t="str">
            <v xml:space="preserve">JULIO BENÍTEZ  </v>
          </cell>
          <cell r="C284" t="str">
            <v>80,490,223</v>
          </cell>
          <cell r="D284">
            <v>3114612778</v>
          </cell>
          <cell r="E284" t="str">
            <v>NEMOCON</v>
          </cell>
          <cell r="F284"/>
          <cell r="G284">
            <v>800000</v>
          </cell>
          <cell r="H284"/>
          <cell r="I284" t="str">
            <v>CREDITO</v>
          </cell>
          <cell r="J284"/>
        </row>
        <row r="285">
          <cell r="B285" t="str">
            <v>LUIS GABRIEL ALVAREZ MARQUEZ</v>
          </cell>
          <cell r="C285">
            <v>85203032</v>
          </cell>
          <cell r="D285">
            <v>3107315557</v>
          </cell>
          <cell r="E285" t="str">
            <v>MONTERÍA</v>
          </cell>
          <cell r="F285"/>
          <cell r="G285">
            <v>800000</v>
          </cell>
          <cell r="H285"/>
          <cell r="I285" t="str">
            <v>CREDITO</v>
          </cell>
          <cell r="J285"/>
        </row>
        <row r="286">
          <cell r="B286" t="str">
            <v xml:space="preserve">LEONARDO FURNIELES GONZÁLEZ </v>
          </cell>
          <cell r="C286">
            <v>1067904102</v>
          </cell>
          <cell r="D286">
            <v>3137896402</v>
          </cell>
          <cell r="E286" t="str">
            <v>SANTA LUCÍA</v>
          </cell>
          <cell r="F286"/>
          <cell r="G286">
            <v>800000</v>
          </cell>
          <cell r="H286"/>
          <cell r="I286" t="str">
            <v>CREDITO</v>
          </cell>
          <cell r="J286"/>
        </row>
        <row r="287">
          <cell r="B287" t="str">
            <v>ESPERANZA DEL PILAR LAMBERTINEZ</v>
          </cell>
          <cell r="C287">
            <v>50901037</v>
          </cell>
          <cell r="D287">
            <v>3205707487</v>
          </cell>
          <cell r="E287"/>
          <cell r="F287"/>
          <cell r="G287">
            <v>800000</v>
          </cell>
          <cell r="H287"/>
          <cell r="I287" t="str">
            <v>CREDITO</v>
          </cell>
          <cell r="J287"/>
        </row>
        <row r="288">
          <cell r="B288" t="str">
            <v xml:space="preserve">JOHANA TATIANA ALVAREZ MÁRQUEZ </v>
          </cell>
          <cell r="C288">
            <v>1002371747</v>
          </cell>
          <cell r="D288">
            <v>3017076403</v>
          </cell>
          <cell r="E288" t="str">
            <v>CERETÉ</v>
          </cell>
          <cell r="F288"/>
          <cell r="G288">
            <v>800000</v>
          </cell>
          <cell r="H288"/>
          <cell r="I288" t="str">
            <v>CREDITO</v>
          </cell>
          <cell r="J288"/>
        </row>
        <row r="289">
          <cell r="B289" t="str">
            <v xml:space="preserve">LUZ DAYNETH GOMEZ MARTINEZ </v>
          </cell>
          <cell r="C289">
            <v>1066737038</v>
          </cell>
          <cell r="D289">
            <v>3122228619</v>
          </cell>
          <cell r="E289" t="str">
            <v>PLANETA RICA</v>
          </cell>
          <cell r="F289"/>
          <cell r="G289">
            <v>800000</v>
          </cell>
          <cell r="H289"/>
          <cell r="I289" t="str">
            <v>CREDITO</v>
          </cell>
          <cell r="J289"/>
        </row>
        <row r="290">
          <cell r="B290" t="str">
            <v>IVÁN ARTURO AVILÉZ PETRO</v>
          </cell>
          <cell r="C290">
            <v>1064996539</v>
          </cell>
          <cell r="D290">
            <v>3135513063</v>
          </cell>
          <cell r="E290" t="str">
            <v>MONTERÍA</v>
          </cell>
          <cell r="F290"/>
          <cell r="G290">
            <v>800000</v>
          </cell>
          <cell r="H290"/>
          <cell r="I290" t="str">
            <v>CREDITO</v>
          </cell>
          <cell r="J290"/>
        </row>
        <row r="291">
          <cell r="B291" t="str">
            <v>SILVIA PATRICIA BUELVAS LAMBERTINEZ</v>
          </cell>
          <cell r="C291">
            <v>1067884505</v>
          </cell>
          <cell r="D291">
            <v>3215857733</v>
          </cell>
          <cell r="E291" t="str">
            <v>SANTA LUCIA</v>
          </cell>
          <cell r="F291"/>
          <cell r="G291">
            <v>800000</v>
          </cell>
          <cell r="H291"/>
          <cell r="I291" t="str">
            <v>CREDITO</v>
          </cell>
          <cell r="J291"/>
        </row>
        <row r="292">
          <cell r="B292" t="str">
            <v xml:space="preserve">KEYLA GONZÁLEZ PÁJARO </v>
          </cell>
          <cell r="C292">
            <v>30777006</v>
          </cell>
          <cell r="D292">
            <v>3186436044</v>
          </cell>
          <cell r="E292" t="str">
            <v>MONTERÍA</v>
          </cell>
          <cell r="F292"/>
          <cell r="G292">
            <v>800000</v>
          </cell>
          <cell r="H292"/>
          <cell r="I292" t="str">
            <v>CREDITO</v>
          </cell>
          <cell r="J292"/>
        </row>
        <row r="293">
          <cell r="B293" t="str">
            <v>ROSARIO DE LA CONSOLACIÓN MONTERO ABAD</v>
          </cell>
          <cell r="C293">
            <v>34962463</v>
          </cell>
          <cell r="D293">
            <v>3205294049</v>
          </cell>
          <cell r="E293" t="str">
            <v>MONTERÍA</v>
          </cell>
          <cell r="F293"/>
          <cell r="G293">
            <v>800000</v>
          </cell>
          <cell r="H293"/>
          <cell r="I293" t="str">
            <v>CREDITO</v>
          </cell>
          <cell r="J293"/>
        </row>
        <row r="294">
          <cell r="B294" t="str">
            <v xml:space="preserve">SALLURIS BUELVAS LAMBERTINEZ </v>
          </cell>
          <cell r="C294">
            <v>1067922782</v>
          </cell>
          <cell r="D294">
            <v>3013999279</v>
          </cell>
          <cell r="E294" t="str">
            <v>SANTA LUCÍA</v>
          </cell>
          <cell r="F294"/>
          <cell r="G294">
            <v>800000</v>
          </cell>
          <cell r="H294"/>
          <cell r="I294" t="str">
            <v>CREDITO</v>
          </cell>
          <cell r="J294"/>
        </row>
        <row r="295">
          <cell r="B295" t="str">
            <v xml:space="preserve">SANDRA MARCELA BUELVAS LAMBERTINEZ </v>
          </cell>
          <cell r="C295">
            <v>1133795577</v>
          </cell>
          <cell r="D295">
            <v>3013994780</v>
          </cell>
          <cell r="E295" t="str">
            <v>SANTA LUCÍA</v>
          </cell>
          <cell r="F295"/>
          <cell r="G295">
            <v>800000</v>
          </cell>
          <cell r="H295"/>
          <cell r="I295" t="str">
            <v>CREDITO</v>
          </cell>
          <cell r="J295"/>
        </row>
        <row r="296">
          <cell r="B296" t="str">
            <v xml:space="preserve">JAVIER ANTONIO NÚÑEZ CASTRO </v>
          </cell>
          <cell r="C296">
            <v>78753440</v>
          </cell>
          <cell r="D296">
            <v>3217473284</v>
          </cell>
          <cell r="E296" t="str">
            <v>MONTERÍA</v>
          </cell>
          <cell r="F296"/>
          <cell r="G296">
            <v>800000</v>
          </cell>
          <cell r="H296"/>
          <cell r="I296" t="str">
            <v>CREDITO</v>
          </cell>
          <cell r="J296"/>
        </row>
        <row r="297">
          <cell r="B297" t="str">
            <v xml:space="preserve">CARMEN ALICIA SAEZ SÁNCHEZ </v>
          </cell>
          <cell r="C297">
            <v>34979435</v>
          </cell>
          <cell r="D297">
            <v>3205025275</v>
          </cell>
          <cell r="E297" t="str">
            <v>MONTERÍA</v>
          </cell>
          <cell r="F297"/>
          <cell r="G297">
            <v>800000</v>
          </cell>
          <cell r="H297"/>
          <cell r="I297" t="str">
            <v>CREDITO</v>
          </cell>
          <cell r="J297"/>
        </row>
        <row r="298">
          <cell r="B298" t="str">
            <v>MANUEL DARIO PADILLA PADILLA.</v>
          </cell>
          <cell r="C298">
            <v>78323723</v>
          </cell>
          <cell r="D298">
            <v>3136913916</v>
          </cell>
          <cell r="E298" t="str">
            <v>PLANETA RICA</v>
          </cell>
          <cell r="F298"/>
          <cell r="G298">
            <v>800000</v>
          </cell>
          <cell r="H298"/>
          <cell r="I298" t="str">
            <v>CREDITO</v>
          </cell>
          <cell r="J298"/>
        </row>
        <row r="299">
          <cell r="B299" t="str">
            <v xml:space="preserve">OSCAR DAVID GÓMEZ GUEVARA </v>
          </cell>
          <cell r="C299">
            <v>1003404028</v>
          </cell>
          <cell r="D299">
            <v>3205172305</v>
          </cell>
          <cell r="E299" t="str">
            <v>MONTERÍA</v>
          </cell>
          <cell r="F299"/>
          <cell r="G299">
            <v>800000</v>
          </cell>
          <cell r="H299"/>
          <cell r="I299" t="str">
            <v>CREDITO</v>
          </cell>
          <cell r="J299"/>
        </row>
        <row r="300">
          <cell r="B300" t="str">
            <v>NANNYS ELVIRA MÁRQUEZ CAMPOS</v>
          </cell>
          <cell r="C300">
            <v>30843113</v>
          </cell>
          <cell r="D300">
            <v>3135249664</v>
          </cell>
          <cell r="E300" t="str">
            <v>CERETÉ</v>
          </cell>
          <cell r="F300"/>
          <cell r="G300">
            <v>800000</v>
          </cell>
          <cell r="H300"/>
          <cell r="I300" t="str">
            <v>CREDITO</v>
          </cell>
          <cell r="J300"/>
        </row>
        <row r="301">
          <cell r="B301" t="str">
            <v xml:space="preserve">MISAEL PASTRANA ESPITIA </v>
          </cell>
          <cell r="C301">
            <v>15647945</v>
          </cell>
          <cell r="D301">
            <v>3105193541</v>
          </cell>
          <cell r="E301" t="str">
            <v>CERETÉ</v>
          </cell>
          <cell r="F301"/>
          <cell r="G301">
            <v>800000</v>
          </cell>
          <cell r="H301"/>
          <cell r="I301" t="str">
            <v>CREDITO</v>
          </cell>
          <cell r="J301"/>
        </row>
        <row r="302">
          <cell r="B302" t="str">
            <v>ANDREAOROZCO</v>
          </cell>
          <cell r="C302">
            <v>1088296001</v>
          </cell>
          <cell r="D302"/>
          <cell r="E302" t="str">
            <v>PEREIRA</v>
          </cell>
          <cell r="F302"/>
          <cell r="G302">
            <v>200000</v>
          </cell>
          <cell r="H302"/>
          <cell r="I302" t="str">
            <v>CREDITO</v>
          </cell>
          <cell r="J302"/>
        </row>
        <row r="303">
          <cell r="B303" t="str">
            <v>DAVID MIRANDA VUELOS COLPORTORES Y JONES</v>
          </cell>
          <cell r="C303"/>
          <cell r="D303"/>
          <cell r="E303"/>
          <cell r="F303"/>
          <cell r="G303">
            <v>-8689840</v>
          </cell>
          <cell r="H303"/>
          <cell r="I303" t="str">
            <v>DEBITO</v>
          </cell>
          <cell r="J303"/>
        </row>
        <row r="304">
          <cell r="B304" t="str">
            <v>MARIA EUGENIA GRIMALDO</v>
          </cell>
          <cell r="C304">
            <v>60319496</v>
          </cell>
          <cell r="D304">
            <v>3114112215</v>
          </cell>
          <cell r="E304" t="str">
            <v>LOS PATIOS</v>
          </cell>
          <cell r="F304"/>
          <cell r="G304">
            <v>400000</v>
          </cell>
          <cell r="H304"/>
          <cell r="I304" t="str">
            <v>CREDITO</v>
          </cell>
          <cell r="J304"/>
        </row>
        <row r="305">
          <cell r="B305" t="str">
            <v>EDRAS SANABRIA</v>
          </cell>
          <cell r="C305">
            <v>1121969843</v>
          </cell>
          <cell r="D305">
            <v>3026352060</v>
          </cell>
          <cell r="E305" t="str">
            <v>SOGAMOSO</v>
          </cell>
          <cell r="F305"/>
          <cell r="G305">
            <v>850000</v>
          </cell>
          <cell r="H305"/>
          <cell r="I305" t="str">
            <v>CREDITO</v>
          </cell>
          <cell r="J305"/>
        </row>
        <row r="306">
          <cell r="B306" t="str">
            <v>CARLOS MADRID</v>
          </cell>
          <cell r="C306">
            <v>70322335</v>
          </cell>
          <cell r="D306">
            <v>3106907142</v>
          </cell>
          <cell r="E306" t="str">
            <v>GIRARDOTA</v>
          </cell>
          <cell r="F306"/>
          <cell r="G306">
            <v>800000</v>
          </cell>
          <cell r="H306"/>
          <cell r="I306" t="str">
            <v>CREDITO</v>
          </cell>
          <cell r="J306"/>
        </row>
        <row r="307">
          <cell r="B307" t="str">
            <v>ADRIAN HERNANDEZ PONCE</v>
          </cell>
          <cell r="C307">
            <v>72049339</v>
          </cell>
          <cell r="D307">
            <v>3148093554</v>
          </cell>
          <cell r="E307" t="str">
            <v>GIRARDOTA</v>
          </cell>
          <cell r="F307"/>
          <cell r="G307">
            <v>400000</v>
          </cell>
          <cell r="H307"/>
          <cell r="I307" t="str">
            <v>CREDITO</v>
          </cell>
          <cell r="J307"/>
        </row>
        <row r="308">
          <cell r="B308" t="str">
            <v>FABIO NELSON ARROYAVE</v>
          </cell>
          <cell r="C308">
            <v>71273662</v>
          </cell>
          <cell r="D308">
            <v>3103476233</v>
          </cell>
          <cell r="E308" t="str">
            <v>RIONEGRO</v>
          </cell>
          <cell r="F308"/>
          <cell r="G308">
            <v>800000</v>
          </cell>
          <cell r="H308"/>
          <cell r="I308" t="str">
            <v>CREDITO</v>
          </cell>
          <cell r="J308">
            <v>400000</v>
          </cell>
        </row>
        <row r="309">
          <cell r="B309" t="str">
            <v>MARLIDIA ARROYO PEÑA</v>
          </cell>
          <cell r="C309">
            <v>64556783</v>
          </cell>
          <cell r="D309">
            <v>3017981102</v>
          </cell>
          <cell r="E309" t="str">
            <v>CARTAGENA</v>
          </cell>
          <cell r="F309"/>
          <cell r="G309">
            <v>800000</v>
          </cell>
          <cell r="H309"/>
          <cell r="I309" t="str">
            <v>CREDITO</v>
          </cell>
          <cell r="J309"/>
        </row>
        <row r="310">
          <cell r="B310" t="str">
            <v>LEDIS PAJARO CARDONA</v>
          </cell>
          <cell r="C310">
            <v>30771251</v>
          </cell>
          <cell r="D310" t="str">
            <v>313 5925709</v>
          </cell>
          <cell r="E310" t="str">
            <v>CARTAGENA</v>
          </cell>
          <cell r="F310"/>
          <cell r="G310">
            <v>800000</v>
          </cell>
          <cell r="H310"/>
          <cell r="I310" t="str">
            <v>CREDITO</v>
          </cell>
          <cell r="J310"/>
        </row>
        <row r="311">
          <cell r="B311" t="str">
            <v>SUGEY ATENCIA</v>
          </cell>
          <cell r="C311">
            <v>45758051</v>
          </cell>
          <cell r="D311" t="str">
            <v>320 5808311</v>
          </cell>
          <cell r="E311" t="str">
            <v>CARTAGENA</v>
          </cell>
          <cell r="F311"/>
          <cell r="G311">
            <v>400000</v>
          </cell>
          <cell r="H311"/>
          <cell r="I311" t="str">
            <v>CREDITO</v>
          </cell>
          <cell r="J311"/>
        </row>
        <row r="312">
          <cell r="B312" t="str">
            <v>CARLOS HUMBERTO VERGEL LAZARO</v>
          </cell>
          <cell r="C312">
            <v>88137146</v>
          </cell>
          <cell r="D312">
            <v>3157943643</v>
          </cell>
          <cell r="E312" t="str">
            <v>OCAÑA</v>
          </cell>
          <cell r="F312"/>
          <cell r="G312">
            <v>800000</v>
          </cell>
          <cell r="H312"/>
          <cell r="I312" t="str">
            <v>CREDITO</v>
          </cell>
          <cell r="J312"/>
        </row>
        <row r="313">
          <cell r="B313" t="str">
            <v>LEONARDO CARDENAS</v>
          </cell>
          <cell r="C313">
            <v>88284263</v>
          </cell>
          <cell r="D313">
            <v>88284263</v>
          </cell>
          <cell r="E313" t="str">
            <v>OCAÑA</v>
          </cell>
          <cell r="F313"/>
          <cell r="G313">
            <v>800000</v>
          </cell>
          <cell r="H313"/>
          <cell r="I313" t="str">
            <v>CREDITO</v>
          </cell>
          <cell r="J313">
            <v>400000</v>
          </cell>
        </row>
        <row r="314">
          <cell r="B314" t="str">
            <v>HERNANDO BARBOSA</v>
          </cell>
          <cell r="C314">
            <v>77179718</v>
          </cell>
          <cell r="D314">
            <v>3214184733</v>
          </cell>
          <cell r="E314" t="str">
            <v>OCAÑA</v>
          </cell>
          <cell r="F314"/>
          <cell r="G314">
            <v>800000</v>
          </cell>
          <cell r="H314"/>
          <cell r="I314" t="str">
            <v>CREDITO</v>
          </cell>
          <cell r="J314"/>
        </row>
        <row r="315">
          <cell r="B315" t="str">
            <v xml:space="preserve">GUSTAVO LEON RAY </v>
          </cell>
          <cell r="C315">
            <v>16354014</v>
          </cell>
          <cell r="D315"/>
          <cell r="E315" t="str">
            <v>CUCUTA</v>
          </cell>
          <cell r="F315"/>
          <cell r="G315">
            <v>800000</v>
          </cell>
          <cell r="H315"/>
          <cell r="I315" t="str">
            <v>CREDITO</v>
          </cell>
          <cell r="J315"/>
        </row>
        <row r="316">
          <cell r="B316" t="str">
            <v>ALBA ROSA BEJARANO</v>
          </cell>
          <cell r="C316">
            <v>26257532</v>
          </cell>
          <cell r="D316" t="str">
            <v>310 3761797</v>
          </cell>
          <cell r="E316" t="str">
            <v>QUIBDO</v>
          </cell>
          <cell r="F316"/>
          <cell r="G316">
            <v>400000</v>
          </cell>
          <cell r="H316"/>
          <cell r="I316" t="str">
            <v>CREDITO</v>
          </cell>
          <cell r="J316">
            <v>400000</v>
          </cell>
        </row>
        <row r="317">
          <cell r="B317" t="str">
            <v>MOVIL INVERSIONISTAS</v>
          </cell>
          <cell r="C317"/>
          <cell r="D317"/>
          <cell r="E317"/>
          <cell r="F317"/>
          <cell r="G317">
            <v>-34200</v>
          </cell>
          <cell r="H317"/>
          <cell r="I317" t="str">
            <v>DEBITO</v>
          </cell>
          <cell r="J317"/>
        </row>
        <row r="318">
          <cell r="B318" t="str">
            <v>LUIS MIGUEL NARANJO APOYO PANAMA</v>
          </cell>
          <cell r="C318"/>
          <cell r="D318"/>
          <cell r="E318"/>
          <cell r="F318"/>
          <cell r="G318">
            <v>-1000000</v>
          </cell>
          <cell r="H318"/>
          <cell r="I318" t="str">
            <v>DEBITO</v>
          </cell>
          <cell r="J318"/>
        </row>
        <row r="319">
          <cell r="B319" t="str">
            <v>IG. EN BELLO</v>
          </cell>
          <cell r="C319"/>
          <cell r="D319"/>
          <cell r="E319"/>
          <cell r="F319"/>
          <cell r="G319">
            <v>200000</v>
          </cell>
          <cell r="H319"/>
          <cell r="I319" t="str">
            <v>CREDITO</v>
          </cell>
          <cell r="J319"/>
        </row>
        <row r="320">
          <cell r="B320" t="str">
            <v>BATEMAN BELEÑO</v>
          </cell>
          <cell r="C320">
            <v>72295408</v>
          </cell>
          <cell r="D320"/>
          <cell r="E320" t="str">
            <v>SUAN</v>
          </cell>
          <cell r="F320"/>
          <cell r="G320">
            <v>50000</v>
          </cell>
          <cell r="H320"/>
          <cell r="I320" t="str">
            <v>CREDITO</v>
          </cell>
          <cell r="J320"/>
        </row>
        <row r="321">
          <cell r="B321" t="str">
            <v>FARID POLO ALTAHONA</v>
          </cell>
          <cell r="C321">
            <v>3770607</v>
          </cell>
          <cell r="D321">
            <v>3126624361</v>
          </cell>
          <cell r="E321" t="str">
            <v>SUAN</v>
          </cell>
          <cell r="F321"/>
          <cell r="G321">
            <v>400000</v>
          </cell>
          <cell r="H321"/>
          <cell r="I321" t="str">
            <v>CREDITO</v>
          </cell>
          <cell r="J321"/>
        </row>
        <row r="322">
          <cell r="B322" t="str">
            <v>MARIA PAULA CARDOZO</v>
          </cell>
          <cell r="C322">
            <v>1075271930</v>
          </cell>
          <cell r="D322" t="str">
            <v>317 754 5784</v>
          </cell>
          <cell r="E322" t="str">
            <v>NEIVA</v>
          </cell>
          <cell r="F322"/>
          <cell r="G322">
            <v>400000</v>
          </cell>
          <cell r="H322"/>
          <cell r="I322" t="str">
            <v>CREDITO</v>
          </cell>
          <cell r="J322">
            <v>400000</v>
          </cell>
        </row>
        <row r="323">
          <cell r="B323" t="str">
            <v>ROBINSON ESPAÑA</v>
          </cell>
          <cell r="C323">
            <v>1093789365</v>
          </cell>
          <cell r="D323"/>
          <cell r="E323" t="str">
            <v>CUCUTA</v>
          </cell>
          <cell r="F323"/>
          <cell r="G323">
            <v>1400000</v>
          </cell>
          <cell r="H323"/>
          <cell r="I323" t="str">
            <v>CREDITO</v>
          </cell>
          <cell r="J323"/>
        </row>
        <row r="324">
          <cell r="B324" t="str">
            <v>OSCAR GONZALEZ</v>
          </cell>
          <cell r="C324">
            <v>1090399128</v>
          </cell>
          <cell r="D324"/>
          <cell r="E324" t="str">
            <v>CUCUTA</v>
          </cell>
          <cell r="F324"/>
          <cell r="G324">
            <v>400000</v>
          </cell>
          <cell r="H324"/>
          <cell r="I324" t="str">
            <v>CREDITO</v>
          </cell>
          <cell r="J324"/>
        </row>
        <row r="325">
          <cell r="B325" t="str">
            <v>LUIS OSPINA</v>
          </cell>
          <cell r="C325">
            <v>98552933</v>
          </cell>
          <cell r="D325">
            <v>3184873565</v>
          </cell>
          <cell r="E325" t="str">
            <v>MEDELLIN</v>
          </cell>
          <cell r="F325"/>
          <cell r="G325">
            <v>400000</v>
          </cell>
          <cell r="H325"/>
          <cell r="I325" t="str">
            <v>CREDITO</v>
          </cell>
          <cell r="J325"/>
        </row>
        <row r="326">
          <cell r="B326" t="str">
            <v>IG. EN VALLEDUPAR APOYO COLPORTOR</v>
          </cell>
          <cell r="C326"/>
          <cell r="D326"/>
          <cell r="E326"/>
          <cell r="F326"/>
          <cell r="G326">
            <v>-2000000</v>
          </cell>
          <cell r="H326"/>
          <cell r="I326" t="str">
            <v>DEBITO</v>
          </cell>
          <cell r="J326"/>
        </row>
        <row r="327">
          <cell r="B327" t="str">
            <v xml:space="preserve">ALVARO ATENCIA </v>
          </cell>
          <cell r="C327">
            <v>45758051</v>
          </cell>
          <cell r="D327"/>
          <cell r="E327" t="str">
            <v>CARTAGENA</v>
          </cell>
          <cell r="F327"/>
          <cell r="G327">
            <v>400000</v>
          </cell>
          <cell r="H327"/>
          <cell r="I327" t="str">
            <v>CREDITO</v>
          </cell>
          <cell r="J327"/>
        </row>
        <row r="328">
          <cell r="B328" t="str">
            <v>MONICA PACHECO SANTOS</v>
          </cell>
          <cell r="C328">
            <v>1091662369</v>
          </cell>
          <cell r="D328">
            <v>3155529907</v>
          </cell>
          <cell r="E328" t="str">
            <v>OCAÑA</v>
          </cell>
          <cell r="F328"/>
          <cell r="G328">
            <v>400000</v>
          </cell>
          <cell r="H328"/>
          <cell r="I328" t="str">
            <v>CREDITO</v>
          </cell>
          <cell r="J328"/>
        </row>
        <row r="329">
          <cell r="B329" t="str">
            <v>ALLAN SEBASTIAN LOPEZ</v>
          </cell>
          <cell r="C329">
            <v>16071816</v>
          </cell>
          <cell r="D329">
            <v>3176880448</v>
          </cell>
          <cell r="E329" t="str">
            <v>RIONEGRO</v>
          </cell>
          <cell r="F329"/>
          <cell r="G329">
            <v>80000</v>
          </cell>
          <cell r="H329"/>
          <cell r="I329" t="str">
            <v>CREDITO</v>
          </cell>
          <cell r="J329">
            <v>150000</v>
          </cell>
        </row>
        <row r="330">
          <cell r="B330" t="str">
            <v>IG. EN BUCARAM/APOYO</v>
          </cell>
          <cell r="C330"/>
          <cell r="D330"/>
          <cell r="E330"/>
          <cell r="F330"/>
          <cell r="G330">
            <v>-1000000</v>
          </cell>
          <cell r="H330"/>
          <cell r="I330"/>
          <cell r="J330"/>
        </row>
        <row r="331">
          <cell r="B331" t="str">
            <v>GLORIA ESTEFANY VEGA</v>
          </cell>
          <cell r="C331">
            <v>1122403315</v>
          </cell>
          <cell r="D331">
            <v>3135707447</v>
          </cell>
          <cell r="E331" t="str">
            <v>SAN JUAN</v>
          </cell>
          <cell r="F331"/>
          <cell r="G331">
            <v>400000</v>
          </cell>
          <cell r="H331"/>
          <cell r="I331"/>
          <cell r="J331"/>
        </row>
        <row r="332">
          <cell r="B332" t="str">
            <v>MARISOL TORRES</v>
          </cell>
          <cell r="C332">
            <v>1090405714</v>
          </cell>
          <cell r="D332"/>
          <cell r="E332" t="str">
            <v>CUCUTA</v>
          </cell>
          <cell r="F332"/>
          <cell r="G332">
            <v>400000</v>
          </cell>
          <cell r="H332"/>
          <cell r="I332"/>
          <cell r="J332"/>
        </row>
        <row r="333">
          <cell r="B333" t="str">
            <v>EUCLIDES MENESES</v>
          </cell>
          <cell r="C333"/>
          <cell r="D333"/>
          <cell r="E333" t="str">
            <v>YARUMAL</v>
          </cell>
          <cell r="F333"/>
          <cell r="G333">
            <v>400000</v>
          </cell>
          <cell r="H333"/>
          <cell r="I333"/>
          <cell r="J333"/>
        </row>
        <row r="334">
          <cell r="B334" t="str">
            <v>MARCELA DIAZ</v>
          </cell>
          <cell r="C334"/>
          <cell r="D334"/>
          <cell r="E334" t="str">
            <v>PEREIRA</v>
          </cell>
          <cell r="F334"/>
          <cell r="G334">
            <v>400000</v>
          </cell>
          <cell r="H334"/>
          <cell r="I334"/>
          <cell r="J334"/>
        </row>
        <row r="335">
          <cell r="B335" t="str">
            <v>NORMA GALVIS</v>
          </cell>
          <cell r="C335"/>
          <cell r="D335"/>
          <cell r="E335" t="str">
            <v>CUCUTA</v>
          </cell>
          <cell r="F335"/>
          <cell r="G335">
            <v>400000</v>
          </cell>
          <cell r="H335"/>
          <cell r="I335"/>
          <cell r="J335"/>
        </row>
        <row r="336">
          <cell r="B336" t="str">
            <v xml:space="preserve">ENTREGA RESERVA PEDRO DONG </v>
          </cell>
          <cell r="C336"/>
          <cell r="D336"/>
          <cell r="E336"/>
          <cell r="F336"/>
          <cell r="G336">
            <v>-60793350</v>
          </cell>
          <cell r="H336"/>
          <cell r="I336"/>
          <cell r="J336"/>
        </row>
        <row r="337">
          <cell r="B337" t="str">
            <v>MELIDA RAMIREZ</v>
          </cell>
          <cell r="C337"/>
          <cell r="D337"/>
          <cell r="E337" t="str">
            <v>CARTAGO</v>
          </cell>
          <cell r="F337"/>
          <cell r="G337"/>
          <cell r="H337"/>
          <cell r="I337"/>
          <cell r="J337">
            <v>500000</v>
          </cell>
        </row>
        <row r="338">
          <cell r="B338" t="str">
            <v>SANDRA LOPEZ MEJIA</v>
          </cell>
          <cell r="C338"/>
          <cell r="D338"/>
          <cell r="E338" t="str">
            <v>PEREIRA</v>
          </cell>
          <cell r="F338"/>
          <cell r="G338"/>
          <cell r="H338"/>
          <cell r="I338"/>
          <cell r="J338">
            <v>400000</v>
          </cell>
        </row>
        <row r="339">
          <cell r="B339" t="str">
            <v>DIANA URQUIJO</v>
          </cell>
          <cell r="C339"/>
          <cell r="D339"/>
          <cell r="E339" t="str">
            <v>BOGOTA</v>
          </cell>
          <cell r="F339"/>
          <cell r="G339"/>
          <cell r="H339"/>
          <cell r="I339"/>
          <cell r="J339">
            <v>200000</v>
          </cell>
        </row>
        <row r="340">
          <cell r="B340" t="str">
            <v>JIRETH SOFIA CHICA</v>
          </cell>
          <cell r="C340"/>
          <cell r="D340"/>
          <cell r="E340" t="str">
            <v>BOGOTA</v>
          </cell>
          <cell r="F340"/>
          <cell r="G340"/>
          <cell r="H340"/>
          <cell r="I340"/>
          <cell r="J340">
            <v>400000</v>
          </cell>
        </row>
        <row r="341">
          <cell r="B341" t="str">
            <v>OSCAR HERNANDO GONZALEZ</v>
          </cell>
          <cell r="C341">
            <v>1090399128</v>
          </cell>
          <cell r="D341"/>
          <cell r="E341" t="str">
            <v>CUCUTA</v>
          </cell>
          <cell r="F341"/>
          <cell r="G341"/>
          <cell r="H341"/>
          <cell r="I341"/>
          <cell r="J341">
            <v>400000</v>
          </cell>
        </row>
        <row r="342">
          <cell r="B342" t="str">
            <v>ARTURO MACHUCA</v>
          </cell>
          <cell r="C342">
            <v>13923806</v>
          </cell>
          <cell r="D342"/>
          <cell r="E342" t="str">
            <v>NEIVA</v>
          </cell>
          <cell r="F342"/>
          <cell r="G342"/>
          <cell r="H342"/>
          <cell r="I342"/>
          <cell r="J342">
            <v>1600000</v>
          </cell>
        </row>
        <row r="343">
          <cell r="B343" t="str">
            <v>ROSMIRA FERNANDEZ</v>
          </cell>
          <cell r="C343">
            <v>60300203</v>
          </cell>
          <cell r="D343"/>
          <cell r="E343" t="str">
            <v>CUCUTA</v>
          </cell>
          <cell r="F343"/>
          <cell r="G343"/>
          <cell r="H343"/>
          <cell r="I343"/>
          <cell r="J343">
            <v>400000</v>
          </cell>
        </row>
        <row r="344">
          <cell r="B344" t="str">
            <v>ALFONSO RUEDA</v>
          </cell>
          <cell r="C344"/>
          <cell r="D344">
            <v>3188566515</v>
          </cell>
          <cell r="E344" t="str">
            <v>MEDELLIN</v>
          </cell>
          <cell r="F344"/>
          <cell r="G344"/>
          <cell r="H344"/>
          <cell r="I344"/>
          <cell r="J344">
            <v>400000</v>
          </cell>
        </row>
        <row r="345">
          <cell r="B345" t="str">
            <v>HIRAN DAVID OCHOA</v>
          </cell>
          <cell r="C345">
            <v>10667593528</v>
          </cell>
          <cell r="D345"/>
          <cell r="E345" t="str">
            <v>BOGOTA</v>
          </cell>
          <cell r="F345"/>
          <cell r="G345"/>
          <cell r="H345"/>
          <cell r="I345"/>
          <cell r="J345">
            <v>400000</v>
          </cell>
        </row>
        <row r="346">
          <cell r="B346" t="str">
            <v>CARLOS OSORIO OLAYA</v>
          </cell>
          <cell r="C346">
            <v>71630690</v>
          </cell>
          <cell r="D346">
            <v>3012567771</v>
          </cell>
          <cell r="E346" t="str">
            <v>BELLO</v>
          </cell>
          <cell r="F346"/>
          <cell r="G346"/>
          <cell r="H346"/>
          <cell r="I346"/>
          <cell r="J346">
            <v>200000</v>
          </cell>
        </row>
        <row r="347">
          <cell r="B347" t="str">
            <v>ISIDRO SERRANO</v>
          </cell>
          <cell r="C347"/>
          <cell r="D347" t="str">
            <v>320 4621706</v>
          </cell>
          <cell r="E347" t="str">
            <v>VILLA</v>
          </cell>
          <cell r="F347"/>
          <cell r="G347"/>
          <cell r="H347"/>
          <cell r="I347"/>
          <cell r="J347">
            <v>400000</v>
          </cell>
        </row>
        <row r="348">
          <cell r="B348" t="str">
            <v>ELICEO CEDEÑO</v>
          </cell>
          <cell r="C348"/>
          <cell r="D348" t="str">
            <v>320 2361660</v>
          </cell>
          <cell r="E348" t="str">
            <v>VILLA</v>
          </cell>
          <cell r="F348"/>
          <cell r="G348"/>
          <cell r="H348"/>
          <cell r="I348"/>
          <cell r="J348">
            <v>400000</v>
          </cell>
        </row>
        <row r="349">
          <cell r="B349" t="str">
            <v>LUIS EDUARDO JULIO</v>
          </cell>
          <cell r="C349">
            <v>1090381261</v>
          </cell>
          <cell r="D349"/>
          <cell r="E349" t="str">
            <v>CUCUTA</v>
          </cell>
          <cell r="F349"/>
          <cell r="G349"/>
          <cell r="H349"/>
          <cell r="I349"/>
          <cell r="J349">
            <v>400000</v>
          </cell>
        </row>
        <row r="350">
          <cell r="B350" t="str">
            <v>IG. EN CESAR GUAJIRA</v>
          </cell>
          <cell r="C350"/>
          <cell r="D350"/>
          <cell r="E350" t="str">
            <v>CESAR</v>
          </cell>
          <cell r="F350"/>
          <cell r="G350"/>
          <cell r="H350"/>
          <cell r="I350"/>
          <cell r="J350">
            <v>11250000</v>
          </cell>
        </row>
        <row r="351">
          <cell r="B351" t="str">
            <v>SHELSIN MOSQUERA</v>
          </cell>
          <cell r="C351">
            <v>26331372</v>
          </cell>
          <cell r="D351">
            <v>3216248917</v>
          </cell>
          <cell r="E351" t="str">
            <v>ITSMINA</v>
          </cell>
          <cell r="F351"/>
          <cell r="G351"/>
          <cell r="H351"/>
          <cell r="I351"/>
          <cell r="J351">
            <v>400000</v>
          </cell>
        </row>
        <row r="352">
          <cell r="B352" t="str">
            <v>MIRLEY P ROMAN</v>
          </cell>
          <cell r="C352">
            <v>50995836</v>
          </cell>
          <cell r="D352">
            <v>3106115579</v>
          </cell>
          <cell r="E352" t="str">
            <v>ITSMINA</v>
          </cell>
          <cell r="F352"/>
          <cell r="G352"/>
          <cell r="H352"/>
          <cell r="I352"/>
          <cell r="J352">
            <v>400000</v>
          </cell>
        </row>
        <row r="353">
          <cell r="B353" t="str">
            <v>HECTOR RENE GALEANO</v>
          </cell>
          <cell r="C353"/>
          <cell r="D353"/>
          <cell r="E353" t="str">
            <v>BOGOTA</v>
          </cell>
          <cell r="F353"/>
          <cell r="G353"/>
          <cell r="H353"/>
          <cell r="I353"/>
          <cell r="J353">
            <v>4800000</v>
          </cell>
        </row>
        <row r="354">
          <cell r="B354" t="str">
            <v>IG. EN SOGAMOSO</v>
          </cell>
          <cell r="C354"/>
          <cell r="D354"/>
          <cell r="E354" t="str">
            <v>SOGAMOSO</v>
          </cell>
          <cell r="F354"/>
          <cell r="G354"/>
          <cell r="H354"/>
          <cell r="I354"/>
          <cell r="J354">
            <v>500000</v>
          </cell>
        </row>
        <row r="355">
          <cell r="B355" t="str">
            <v>PATRICIA MORENO</v>
          </cell>
          <cell r="C355"/>
          <cell r="D355"/>
          <cell r="E355" t="str">
            <v>BOGOTA</v>
          </cell>
          <cell r="F355"/>
          <cell r="G355"/>
          <cell r="H355"/>
          <cell r="I355"/>
          <cell r="J355">
            <v>400000</v>
          </cell>
        </row>
        <row r="356">
          <cell r="B356" t="str">
            <v>TOTALES</v>
          </cell>
          <cell r="C356"/>
          <cell r="D356"/>
          <cell r="E356"/>
          <cell r="F356"/>
          <cell r="G356">
            <v>210794694</v>
          </cell>
          <cell r="H356"/>
          <cell r="I356"/>
          <cell r="J356">
            <v>70337000</v>
          </cell>
        </row>
        <row r="360">
          <cell r="D360">
            <v>281131694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Inversionistas 26"/>
      <sheetName val="Gastos 26"/>
      <sheetName val="2025"/>
    </sheetNames>
    <sheetDataSet>
      <sheetData sheetId="0">
        <row r="5"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</row>
        <row r="8">
          <cell r="J8">
            <v>0</v>
          </cell>
          <cell r="K8">
            <v>0</v>
          </cell>
          <cell r="L8">
            <v>0</v>
          </cell>
          <cell r="M8">
            <v>600000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J9">
            <v>400000</v>
          </cell>
          <cell r="K9">
            <v>400000</v>
          </cell>
          <cell r="L9">
            <v>400000</v>
          </cell>
          <cell r="M9">
            <v>400000</v>
          </cell>
          <cell r="N9">
            <v>0</v>
          </cell>
          <cell r="O9">
            <v>400000</v>
          </cell>
          <cell r="P9">
            <v>0</v>
          </cell>
          <cell r="Q9">
            <v>0</v>
          </cell>
        </row>
        <row r="10">
          <cell r="J10">
            <v>0</v>
          </cell>
          <cell r="K10">
            <v>0</v>
          </cell>
          <cell r="L10">
            <v>0</v>
          </cell>
          <cell r="M10">
            <v>400000</v>
          </cell>
          <cell r="N10">
            <v>0</v>
          </cell>
          <cell r="O10">
            <v>800000</v>
          </cell>
          <cell r="P10">
            <v>0</v>
          </cell>
          <cell r="Q10">
            <v>0</v>
          </cell>
        </row>
        <row r="11"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</row>
        <row r="12"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400000</v>
          </cell>
          <cell r="P12">
            <v>0</v>
          </cell>
          <cell r="Q12">
            <v>0</v>
          </cell>
        </row>
        <row r="13"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J14">
            <v>0</v>
          </cell>
          <cell r="K14">
            <v>0</v>
          </cell>
          <cell r="L14">
            <v>0</v>
          </cell>
          <cell r="M14">
            <v>1600000</v>
          </cell>
          <cell r="N14">
            <v>0</v>
          </cell>
          <cell r="O14">
            <v>1200000</v>
          </cell>
          <cell r="P14">
            <v>1600000</v>
          </cell>
          <cell r="Q14">
            <v>0</v>
          </cell>
        </row>
        <row r="15"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</row>
        <row r="16">
          <cell r="J16">
            <v>400000</v>
          </cell>
          <cell r="K16">
            <v>400000</v>
          </cell>
          <cell r="L16">
            <v>0</v>
          </cell>
          <cell r="M16">
            <v>1200000</v>
          </cell>
          <cell r="N16">
            <v>0</v>
          </cell>
          <cell r="O16">
            <v>400000</v>
          </cell>
          <cell r="P16">
            <v>400000</v>
          </cell>
          <cell r="Q16">
            <v>0</v>
          </cell>
        </row>
        <row r="17">
          <cell r="J17">
            <v>400000</v>
          </cell>
          <cell r="K17">
            <v>400000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</row>
        <row r="18">
          <cell r="J18">
            <v>400000</v>
          </cell>
          <cell r="K18">
            <v>400000</v>
          </cell>
          <cell r="L18">
            <v>400000</v>
          </cell>
          <cell r="M18">
            <v>400000</v>
          </cell>
          <cell r="N18">
            <v>400000</v>
          </cell>
          <cell r="O18">
            <v>600000</v>
          </cell>
          <cell r="P18">
            <v>0</v>
          </cell>
          <cell r="Q18">
            <v>0</v>
          </cell>
        </row>
        <row r="19">
          <cell r="J19">
            <v>0</v>
          </cell>
          <cell r="K19">
            <v>800000</v>
          </cell>
          <cell r="L19">
            <v>400000</v>
          </cell>
          <cell r="M19">
            <v>400000</v>
          </cell>
          <cell r="N19">
            <v>400000</v>
          </cell>
          <cell r="O19">
            <v>0</v>
          </cell>
          <cell r="P19">
            <v>0</v>
          </cell>
          <cell r="Q19">
            <v>0</v>
          </cell>
        </row>
        <row r="20">
          <cell r="J20">
            <v>450000</v>
          </cell>
          <cell r="K20">
            <v>450000</v>
          </cell>
          <cell r="L20">
            <v>500000</v>
          </cell>
          <cell r="M20">
            <v>600000</v>
          </cell>
          <cell r="N20">
            <v>0</v>
          </cell>
          <cell r="O20">
            <v>0</v>
          </cell>
          <cell r="P20">
            <v>600000</v>
          </cell>
          <cell r="Q20">
            <v>400000</v>
          </cell>
        </row>
        <row r="21">
          <cell r="J21">
            <v>0</v>
          </cell>
          <cell r="K21">
            <v>0</v>
          </cell>
          <cell r="L21">
            <v>0</v>
          </cell>
          <cell r="M21">
            <v>400000</v>
          </cell>
          <cell r="N21">
            <v>400000</v>
          </cell>
          <cell r="O21">
            <v>0</v>
          </cell>
          <cell r="P21">
            <v>0</v>
          </cell>
          <cell r="Q21">
            <v>0</v>
          </cell>
        </row>
        <row r="22">
          <cell r="J22">
            <v>2000000</v>
          </cell>
          <cell r="K22">
            <v>1600000</v>
          </cell>
          <cell r="L22">
            <v>1600000</v>
          </cell>
          <cell r="M22">
            <v>2000000</v>
          </cell>
          <cell r="N22">
            <v>800000</v>
          </cell>
          <cell r="O22">
            <v>4000000</v>
          </cell>
          <cell r="P22">
            <v>3100000</v>
          </cell>
          <cell r="Q22">
            <v>1600000</v>
          </cell>
        </row>
        <row r="23"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400000</v>
          </cell>
          <cell r="O23">
            <v>0</v>
          </cell>
          <cell r="P23">
            <v>0</v>
          </cell>
          <cell r="Q23">
            <v>0</v>
          </cell>
        </row>
        <row r="24">
          <cell r="J24">
            <v>400000</v>
          </cell>
          <cell r="K24">
            <v>600000</v>
          </cell>
          <cell r="L24">
            <v>600000</v>
          </cell>
          <cell r="M24">
            <v>0</v>
          </cell>
          <cell r="N24">
            <v>800000</v>
          </cell>
          <cell r="O24">
            <v>400000</v>
          </cell>
          <cell r="P24">
            <v>0</v>
          </cell>
          <cell r="Q24">
            <v>0</v>
          </cell>
        </row>
        <row r="25"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</row>
        <row r="27">
          <cell r="J27">
            <v>400000</v>
          </cell>
          <cell r="K27">
            <v>0</v>
          </cell>
          <cell r="L27">
            <v>0</v>
          </cell>
          <cell r="M27">
            <v>800000</v>
          </cell>
          <cell r="N27">
            <v>400000</v>
          </cell>
          <cell r="O27">
            <v>0</v>
          </cell>
          <cell r="P27">
            <v>1200000</v>
          </cell>
          <cell r="Q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</row>
        <row r="29">
          <cell r="J29">
            <v>0</v>
          </cell>
          <cell r="K29">
            <v>400000</v>
          </cell>
          <cell r="L29">
            <v>400000</v>
          </cell>
          <cell r="M29">
            <v>400000</v>
          </cell>
          <cell r="N29">
            <v>400000</v>
          </cell>
          <cell r="O29">
            <v>0</v>
          </cell>
          <cell r="P29">
            <v>0</v>
          </cell>
          <cell r="Q29">
            <v>0</v>
          </cell>
        </row>
        <row r="30"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</row>
        <row r="31">
          <cell r="J31">
            <v>1600000</v>
          </cell>
          <cell r="K31">
            <v>1600000</v>
          </cell>
          <cell r="L31">
            <v>1400000</v>
          </cell>
          <cell r="M31">
            <v>1200000</v>
          </cell>
          <cell r="N31">
            <v>1200000</v>
          </cell>
          <cell r="O31">
            <v>1200000</v>
          </cell>
          <cell r="P31">
            <v>1200000</v>
          </cell>
          <cell r="Q31">
            <v>1200000</v>
          </cell>
        </row>
        <row r="32"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</row>
        <row r="35">
          <cell r="J35">
            <v>3600000</v>
          </cell>
          <cell r="K35">
            <v>3600000</v>
          </cell>
          <cell r="L35">
            <v>3600000</v>
          </cell>
          <cell r="M35">
            <v>5600000</v>
          </cell>
          <cell r="N35">
            <v>3600000</v>
          </cell>
          <cell r="O35">
            <v>3600000</v>
          </cell>
          <cell r="P35">
            <v>3600000</v>
          </cell>
          <cell r="Q35">
            <v>3600000</v>
          </cell>
        </row>
        <row r="36">
          <cell r="J36">
            <v>400000</v>
          </cell>
          <cell r="K36">
            <v>400000</v>
          </cell>
          <cell r="L36">
            <v>400000</v>
          </cell>
          <cell r="M36">
            <v>400000</v>
          </cell>
          <cell r="N36">
            <v>400000</v>
          </cell>
          <cell r="O36">
            <v>400000</v>
          </cell>
          <cell r="P36">
            <v>400000</v>
          </cell>
          <cell r="Q36">
            <v>0</v>
          </cell>
        </row>
        <row r="37">
          <cell r="J37">
            <v>0</v>
          </cell>
          <cell r="K37">
            <v>0</v>
          </cell>
          <cell r="L37">
            <v>400000</v>
          </cell>
          <cell r="M37">
            <v>0</v>
          </cell>
          <cell r="N37">
            <v>400000</v>
          </cell>
          <cell r="O37">
            <v>0</v>
          </cell>
          <cell r="P37">
            <v>800000</v>
          </cell>
          <cell r="Q37">
            <v>400000</v>
          </cell>
        </row>
        <row r="38"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J39">
            <v>0</v>
          </cell>
          <cell r="K39">
            <v>1600000</v>
          </cell>
          <cell r="L39">
            <v>1600000</v>
          </cell>
          <cell r="M39">
            <v>0</v>
          </cell>
          <cell r="N39">
            <v>1600000</v>
          </cell>
          <cell r="O39">
            <v>1600000</v>
          </cell>
          <cell r="P39">
            <v>1600000</v>
          </cell>
          <cell r="Q39">
            <v>1600000</v>
          </cell>
        </row>
        <row r="40">
          <cell r="J40">
            <v>0</v>
          </cell>
          <cell r="K40">
            <v>800000</v>
          </cell>
          <cell r="L40">
            <v>800000</v>
          </cell>
          <cell r="M40">
            <v>0</v>
          </cell>
          <cell r="N40">
            <v>0</v>
          </cell>
          <cell r="O40">
            <v>800000</v>
          </cell>
          <cell r="P40">
            <v>800000</v>
          </cell>
          <cell r="Q40">
            <v>800000</v>
          </cell>
        </row>
        <row r="41">
          <cell r="J41">
            <v>0</v>
          </cell>
          <cell r="K41">
            <v>0</v>
          </cell>
          <cell r="L41">
            <v>0</v>
          </cell>
          <cell r="M41">
            <v>400000</v>
          </cell>
          <cell r="N41">
            <v>0</v>
          </cell>
          <cell r="O41">
            <v>0</v>
          </cell>
          <cell r="P41">
            <v>0</v>
          </cell>
          <cell r="Q41">
            <v>800000</v>
          </cell>
        </row>
        <row r="42"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</row>
        <row r="43">
          <cell r="J43">
            <v>2085000</v>
          </cell>
          <cell r="K43">
            <v>2000000</v>
          </cell>
          <cell r="L43">
            <v>1180000</v>
          </cell>
          <cell r="M43">
            <v>0</v>
          </cell>
          <cell r="N43">
            <v>2140000</v>
          </cell>
          <cell r="O43">
            <v>1430000</v>
          </cell>
          <cell r="P43">
            <v>0</v>
          </cell>
          <cell r="Q43">
            <v>1770000</v>
          </cell>
        </row>
        <row r="44">
          <cell r="J44">
            <v>0</v>
          </cell>
          <cell r="K44">
            <v>0</v>
          </cell>
          <cell r="L44">
            <v>0</v>
          </cell>
          <cell r="M44">
            <v>400000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J45">
            <v>6000000</v>
          </cell>
          <cell r="K45">
            <v>15000000</v>
          </cell>
          <cell r="L45">
            <v>9000000</v>
          </cell>
          <cell r="M45">
            <v>6000000</v>
          </cell>
          <cell r="N45">
            <v>8800000</v>
          </cell>
          <cell r="O45">
            <v>0</v>
          </cell>
          <cell r="P45">
            <v>5600000</v>
          </cell>
          <cell r="Q45">
            <v>0</v>
          </cell>
        </row>
        <row r="46">
          <cell r="J46">
            <v>0</v>
          </cell>
          <cell r="K46">
            <v>1950000</v>
          </cell>
          <cell r="L46">
            <v>400000</v>
          </cell>
          <cell r="M46">
            <v>1900000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J47">
            <v>0</v>
          </cell>
          <cell r="K47">
            <v>6800000</v>
          </cell>
          <cell r="L47">
            <v>7200000</v>
          </cell>
          <cell r="M47">
            <v>7200000</v>
          </cell>
          <cell r="N47">
            <v>8400000</v>
          </cell>
          <cell r="O47">
            <v>0</v>
          </cell>
          <cell r="P47">
            <v>0</v>
          </cell>
          <cell r="Q47">
            <v>0</v>
          </cell>
        </row>
        <row r="48">
          <cell r="J48">
            <v>800000</v>
          </cell>
          <cell r="K48">
            <v>425000</v>
          </cell>
          <cell r="L48">
            <v>0</v>
          </cell>
          <cell r="M48">
            <v>1600000</v>
          </cell>
          <cell r="N48">
            <v>0</v>
          </cell>
          <cell r="O48">
            <v>800000</v>
          </cell>
          <cell r="P48">
            <v>0</v>
          </cell>
          <cell r="Q48">
            <v>800000</v>
          </cell>
        </row>
        <row r="49">
          <cell r="J49">
            <v>0</v>
          </cell>
          <cell r="K49">
            <v>0</v>
          </cell>
          <cell r="L49">
            <v>160000</v>
          </cell>
          <cell r="M49">
            <v>70000</v>
          </cell>
          <cell r="N49">
            <v>120000</v>
          </cell>
          <cell r="O49">
            <v>250000</v>
          </cell>
          <cell r="P49">
            <v>270000</v>
          </cell>
          <cell r="Q49">
            <v>0</v>
          </cell>
        </row>
        <row r="50">
          <cell r="J50">
            <v>800000</v>
          </cell>
          <cell r="K50">
            <v>800000</v>
          </cell>
          <cell r="L50">
            <v>800000</v>
          </cell>
          <cell r="M50">
            <v>800000</v>
          </cell>
          <cell r="N50">
            <v>800000</v>
          </cell>
          <cell r="O50">
            <v>800000</v>
          </cell>
          <cell r="P50">
            <v>800000</v>
          </cell>
          <cell r="Q50">
            <v>800000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400000</v>
          </cell>
          <cell r="O51">
            <v>0</v>
          </cell>
          <cell r="P51">
            <v>800000</v>
          </cell>
          <cell r="Q51">
            <v>0</v>
          </cell>
        </row>
        <row r="52">
          <cell r="J52">
            <v>1200000</v>
          </cell>
          <cell r="K52">
            <v>2000000</v>
          </cell>
          <cell r="L52">
            <v>1200000</v>
          </cell>
          <cell r="M52">
            <v>1750000</v>
          </cell>
          <cell r="N52">
            <v>0</v>
          </cell>
          <cell r="O52">
            <v>1500000</v>
          </cell>
          <cell r="P52">
            <v>1200000</v>
          </cell>
          <cell r="Q52">
            <v>0</v>
          </cell>
        </row>
        <row r="53">
          <cell r="J53">
            <v>0</v>
          </cell>
          <cell r="K53">
            <v>0</v>
          </cell>
          <cell r="L53">
            <v>0</v>
          </cell>
          <cell r="M53">
            <v>2470000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J54">
            <v>800000</v>
          </cell>
          <cell r="K54">
            <v>0</v>
          </cell>
          <cell r="L54">
            <v>2400000</v>
          </cell>
          <cell r="M54">
            <v>1200000</v>
          </cell>
          <cell r="N54">
            <v>0</v>
          </cell>
          <cell r="O54">
            <v>1200000</v>
          </cell>
          <cell r="P54">
            <v>2800000</v>
          </cell>
          <cell r="Q54">
            <v>1600000</v>
          </cell>
        </row>
        <row r="55">
          <cell r="J55">
            <v>400000</v>
          </cell>
          <cell r="K55">
            <v>400000</v>
          </cell>
          <cell r="L55">
            <v>0</v>
          </cell>
          <cell r="M55">
            <v>0</v>
          </cell>
          <cell r="N55">
            <v>400000</v>
          </cell>
          <cell r="O55">
            <v>0</v>
          </cell>
          <cell r="P55">
            <v>0</v>
          </cell>
          <cell r="Q55">
            <v>0</v>
          </cell>
        </row>
        <row r="56">
          <cell r="J56">
            <v>400000</v>
          </cell>
          <cell r="K56">
            <v>0</v>
          </cell>
          <cell r="L56">
            <v>0</v>
          </cell>
          <cell r="M56">
            <v>400000</v>
          </cell>
          <cell r="N56">
            <v>400000</v>
          </cell>
          <cell r="O56">
            <v>0</v>
          </cell>
          <cell r="P56">
            <v>0</v>
          </cell>
          <cell r="Q56">
            <v>400000</v>
          </cell>
        </row>
        <row r="57">
          <cell r="J57">
            <v>0</v>
          </cell>
          <cell r="K57">
            <v>0</v>
          </cell>
          <cell r="L57">
            <v>400000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400000</v>
          </cell>
        </row>
        <row r="58">
          <cell r="J58">
            <v>600000</v>
          </cell>
          <cell r="K58">
            <v>600000</v>
          </cell>
          <cell r="L58">
            <v>2000000</v>
          </cell>
          <cell r="M58">
            <v>0</v>
          </cell>
          <cell r="N58">
            <v>0</v>
          </cell>
          <cell r="O58">
            <v>600000</v>
          </cell>
          <cell r="P58">
            <v>3600000</v>
          </cell>
          <cell r="Q58">
            <v>3600000</v>
          </cell>
        </row>
        <row r="59">
          <cell r="J59">
            <v>0</v>
          </cell>
          <cell r="K59">
            <v>1200000</v>
          </cell>
          <cell r="L59">
            <v>2000000</v>
          </cell>
          <cell r="M59">
            <v>1600000</v>
          </cell>
          <cell r="N59">
            <v>0</v>
          </cell>
          <cell r="O59">
            <v>800000</v>
          </cell>
          <cell r="P59">
            <v>1200000</v>
          </cell>
          <cell r="Q59">
            <v>0</v>
          </cell>
        </row>
        <row r="60">
          <cell r="J60">
            <v>0</v>
          </cell>
          <cell r="K60">
            <v>400000</v>
          </cell>
          <cell r="L60">
            <v>1200000</v>
          </cell>
          <cell r="M60">
            <v>400000</v>
          </cell>
          <cell r="N60">
            <v>0</v>
          </cell>
          <cell r="O60">
            <v>1600000</v>
          </cell>
          <cell r="P60">
            <v>900000</v>
          </cell>
          <cell r="Q60">
            <v>400000</v>
          </cell>
        </row>
        <row r="61">
          <cell r="J61">
            <v>800000</v>
          </cell>
          <cell r="K61">
            <v>4800000</v>
          </cell>
          <cell r="L61">
            <v>1200000</v>
          </cell>
          <cell r="M61">
            <v>400000</v>
          </cell>
          <cell r="N61">
            <v>400000</v>
          </cell>
          <cell r="O61">
            <v>400000</v>
          </cell>
          <cell r="P61">
            <v>800000</v>
          </cell>
          <cell r="Q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J63">
            <v>0</v>
          </cell>
          <cell r="K63">
            <v>100000</v>
          </cell>
          <cell r="L63">
            <v>0</v>
          </cell>
          <cell r="M63">
            <v>100000</v>
          </cell>
          <cell r="N63">
            <v>400000</v>
          </cell>
          <cell r="O63">
            <v>0</v>
          </cell>
          <cell r="P63">
            <v>0</v>
          </cell>
          <cell r="Q63">
            <v>240000</v>
          </cell>
        </row>
        <row r="64">
          <cell r="J64">
            <v>400000</v>
          </cell>
          <cell r="K64">
            <v>400000</v>
          </cell>
          <cell r="L64">
            <v>0</v>
          </cell>
          <cell r="M64">
            <v>400000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  <cell r="M65">
            <v>2800000</v>
          </cell>
          <cell r="N65">
            <v>0</v>
          </cell>
          <cell r="O65">
            <v>1600000</v>
          </cell>
          <cell r="P65">
            <v>1600000</v>
          </cell>
          <cell r="Q65">
            <v>1600000</v>
          </cell>
        </row>
        <row r="66">
          <cell r="J66">
            <v>2130000</v>
          </cell>
          <cell r="K66">
            <v>2135000</v>
          </cell>
          <cell r="L66">
            <v>2080000</v>
          </cell>
          <cell r="M66">
            <v>0</v>
          </cell>
          <cell r="N66">
            <v>1910000</v>
          </cell>
          <cell r="O66">
            <v>2070000</v>
          </cell>
          <cell r="P66">
            <v>2100000</v>
          </cell>
          <cell r="Q66">
            <v>1900000</v>
          </cell>
        </row>
        <row r="67">
          <cell r="J67">
            <v>570000</v>
          </cell>
          <cell r="K67">
            <v>400000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400000</v>
          </cell>
          <cell r="Q67">
            <v>400000</v>
          </cell>
        </row>
        <row r="68">
          <cell r="J68">
            <v>0</v>
          </cell>
          <cell r="K68">
            <v>2254243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J69">
            <v>4800000</v>
          </cell>
          <cell r="K69">
            <v>5440000</v>
          </cell>
          <cell r="L69">
            <v>5000000</v>
          </cell>
          <cell r="M69">
            <v>6000000</v>
          </cell>
          <cell r="N69">
            <v>0</v>
          </cell>
          <cell r="O69">
            <v>5060000</v>
          </cell>
          <cell r="P69">
            <v>4300000</v>
          </cell>
          <cell r="Q69">
            <v>850000</v>
          </cell>
        </row>
        <row r="70">
          <cell r="J70">
            <v>0</v>
          </cell>
          <cell r="K70">
            <v>10006000</v>
          </cell>
          <cell r="L70">
            <v>0</v>
          </cell>
          <cell r="M70">
            <v>12000000</v>
          </cell>
          <cell r="N70">
            <v>12400000</v>
          </cell>
          <cell r="O70">
            <v>10214000</v>
          </cell>
          <cell r="P70">
            <v>10000000</v>
          </cell>
          <cell r="Q70">
            <v>11000000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J72">
            <v>1200000</v>
          </cell>
          <cell r="K72">
            <v>400000</v>
          </cell>
          <cell r="L72">
            <v>400000</v>
          </cell>
          <cell r="M72">
            <v>400000</v>
          </cell>
          <cell r="N72">
            <v>0</v>
          </cell>
          <cell r="O72">
            <v>400000</v>
          </cell>
          <cell r="P72">
            <v>400000</v>
          </cell>
          <cell r="Q72">
            <v>0</v>
          </cell>
        </row>
        <row r="73">
          <cell r="J73">
            <v>0</v>
          </cell>
          <cell r="K73">
            <v>0</v>
          </cell>
          <cell r="L73">
            <v>400000</v>
          </cell>
          <cell r="M73">
            <v>0</v>
          </cell>
          <cell r="N73">
            <v>0</v>
          </cell>
          <cell r="O73">
            <v>0</v>
          </cell>
          <cell r="P73">
            <v>800000</v>
          </cell>
          <cell r="Q73">
            <v>400000</v>
          </cell>
        </row>
        <row r="74"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800000</v>
          </cell>
          <cell r="Q74">
            <v>0</v>
          </cell>
        </row>
        <row r="75">
          <cell r="J75">
            <v>0</v>
          </cell>
          <cell r="K75">
            <v>2000000</v>
          </cell>
          <cell r="L75">
            <v>800000</v>
          </cell>
          <cell r="M75">
            <v>0</v>
          </cell>
          <cell r="N75">
            <v>2000000</v>
          </cell>
          <cell r="O75">
            <v>2400000</v>
          </cell>
          <cell r="P75">
            <v>2400000</v>
          </cell>
          <cell r="Q75">
            <v>2000000</v>
          </cell>
        </row>
        <row r="76">
          <cell r="J76">
            <v>800000</v>
          </cell>
          <cell r="K76">
            <v>800000</v>
          </cell>
          <cell r="L76">
            <v>800000</v>
          </cell>
          <cell r="M76">
            <v>800000</v>
          </cell>
          <cell r="N76">
            <v>800000</v>
          </cell>
          <cell r="O76">
            <v>800000</v>
          </cell>
          <cell r="P76">
            <v>800000</v>
          </cell>
          <cell r="Q76">
            <v>1200000</v>
          </cell>
        </row>
        <row r="77">
          <cell r="J77">
            <v>7200000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8000000</v>
          </cell>
          <cell r="P77">
            <v>8000000</v>
          </cell>
          <cell r="Q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  <cell r="M81">
            <v>420982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J82">
            <v>400000</v>
          </cell>
          <cell r="K82">
            <v>1600000</v>
          </cell>
          <cell r="L82">
            <v>800000</v>
          </cell>
          <cell r="M82">
            <v>1200000</v>
          </cell>
          <cell r="N82">
            <v>1200000</v>
          </cell>
          <cell r="O82">
            <v>1200000</v>
          </cell>
          <cell r="P82">
            <v>1200000</v>
          </cell>
          <cell r="Q82">
            <v>1200000</v>
          </cell>
        </row>
        <row r="83">
          <cell r="J83">
            <v>400000</v>
          </cell>
          <cell r="K83">
            <v>400000</v>
          </cell>
          <cell r="L83">
            <v>300000</v>
          </cell>
          <cell r="M83">
            <v>0</v>
          </cell>
          <cell r="N83">
            <v>300000</v>
          </cell>
          <cell r="O83">
            <v>300000</v>
          </cell>
          <cell r="P83">
            <v>400000</v>
          </cell>
          <cell r="Q83">
            <v>300000</v>
          </cell>
        </row>
        <row r="84">
          <cell r="J84">
            <v>401000</v>
          </cell>
          <cell r="K84">
            <v>0</v>
          </cell>
          <cell r="L84">
            <v>0</v>
          </cell>
          <cell r="M84">
            <v>1000000</v>
          </cell>
          <cell r="N84">
            <v>0</v>
          </cell>
          <cell r="O84">
            <v>400000</v>
          </cell>
          <cell r="P84">
            <v>800000</v>
          </cell>
          <cell r="Q84">
            <v>0</v>
          </cell>
        </row>
        <row r="85"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400000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  <row r="89"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J92">
            <v>0</v>
          </cell>
          <cell r="K92">
            <v>0</v>
          </cell>
          <cell r="L92">
            <v>800000</v>
          </cell>
          <cell r="M92">
            <v>400000</v>
          </cell>
          <cell r="N92">
            <v>0</v>
          </cell>
          <cell r="O92">
            <v>400000</v>
          </cell>
          <cell r="P92">
            <v>0</v>
          </cell>
          <cell r="Q92">
            <v>0</v>
          </cell>
        </row>
        <row r="93"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  <cell r="M95">
            <v>800000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J96">
            <v>400000</v>
          </cell>
          <cell r="K96">
            <v>400000</v>
          </cell>
          <cell r="L96">
            <v>400000</v>
          </cell>
          <cell r="M96">
            <v>400000</v>
          </cell>
          <cell r="N96">
            <v>400000</v>
          </cell>
          <cell r="O96">
            <v>400000</v>
          </cell>
          <cell r="P96">
            <v>0</v>
          </cell>
          <cell r="Q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400000</v>
          </cell>
          <cell r="Q97">
            <v>400000</v>
          </cell>
        </row>
        <row r="98">
          <cell r="J98">
            <v>2400000</v>
          </cell>
          <cell r="K98">
            <v>2400000</v>
          </cell>
          <cell r="L98">
            <v>0</v>
          </cell>
          <cell r="M98">
            <v>0</v>
          </cell>
          <cell r="N98">
            <v>2400000</v>
          </cell>
          <cell r="O98">
            <v>2400000</v>
          </cell>
          <cell r="P98">
            <v>0</v>
          </cell>
          <cell r="Q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</row>
        <row r="103">
          <cell r="J103">
            <v>0</v>
          </cell>
          <cell r="K103">
            <v>1200000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</row>
        <row r="104">
          <cell r="J104">
            <v>800000</v>
          </cell>
          <cell r="K104">
            <v>800000</v>
          </cell>
          <cell r="L104">
            <v>800000</v>
          </cell>
          <cell r="M104">
            <v>800000</v>
          </cell>
          <cell r="N104">
            <v>800000</v>
          </cell>
          <cell r="O104">
            <v>800000</v>
          </cell>
          <cell r="P104">
            <v>800000</v>
          </cell>
          <cell r="Q104">
            <v>800000</v>
          </cell>
        </row>
        <row r="105"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</row>
        <row r="106"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</row>
        <row r="107"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  <cell r="M109">
            <v>800000</v>
          </cell>
          <cell r="N109">
            <v>0</v>
          </cell>
          <cell r="O109">
            <v>800000</v>
          </cell>
          <cell r="P109">
            <v>0</v>
          </cell>
          <cell r="Q109">
            <v>0</v>
          </cell>
        </row>
        <row r="110">
          <cell r="J110">
            <v>2000000</v>
          </cell>
          <cell r="K110">
            <v>2000000</v>
          </cell>
          <cell r="L110">
            <v>2000000</v>
          </cell>
          <cell r="M110">
            <v>2000000</v>
          </cell>
          <cell r="N110">
            <v>2000000</v>
          </cell>
          <cell r="O110">
            <v>2000000</v>
          </cell>
          <cell r="P110">
            <v>2000000</v>
          </cell>
          <cell r="Q110">
            <v>2000000</v>
          </cell>
        </row>
        <row r="111"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</row>
        <row r="112">
          <cell r="J112">
            <v>400000</v>
          </cell>
          <cell r="K112">
            <v>0</v>
          </cell>
          <cell r="L112">
            <v>800000</v>
          </cell>
          <cell r="M112">
            <v>0</v>
          </cell>
          <cell r="N112">
            <v>400000</v>
          </cell>
          <cell r="O112">
            <v>400000</v>
          </cell>
          <cell r="P112">
            <v>0</v>
          </cell>
          <cell r="Q112">
            <v>400000</v>
          </cell>
        </row>
        <row r="113">
          <cell r="J113">
            <v>1192000</v>
          </cell>
          <cell r="K113">
            <v>1205000</v>
          </cell>
          <cell r="L113">
            <v>400000</v>
          </cell>
          <cell r="M113">
            <v>400000</v>
          </cell>
          <cell r="N113">
            <v>0</v>
          </cell>
          <cell r="O113">
            <v>400000</v>
          </cell>
          <cell r="P113">
            <v>0</v>
          </cell>
          <cell r="Q113">
            <v>400000</v>
          </cell>
        </row>
        <row r="114">
          <cell r="J114">
            <v>400000</v>
          </cell>
          <cell r="K114">
            <v>0</v>
          </cell>
          <cell r="L114">
            <v>400000</v>
          </cell>
          <cell r="M114">
            <v>400000</v>
          </cell>
          <cell r="N114">
            <v>0</v>
          </cell>
          <cell r="O114">
            <v>800000</v>
          </cell>
          <cell r="P114">
            <v>400000</v>
          </cell>
          <cell r="Q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</row>
        <row r="117"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</row>
        <row r="118"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J119">
            <v>400000</v>
          </cell>
          <cell r="K119">
            <v>400000</v>
          </cell>
          <cell r="L119">
            <v>400000</v>
          </cell>
          <cell r="M119">
            <v>400000</v>
          </cell>
          <cell r="N119">
            <v>400000</v>
          </cell>
          <cell r="O119">
            <v>400000</v>
          </cell>
          <cell r="P119">
            <v>400000</v>
          </cell>
          <cell r="Q119">
            <v>400000</v>
          </cell>
        </row>
        <row r="120">
          <cell r="J120">
            <v>800000</v>
          </cell>
          <cell r="K120">
            <v>1200000</v>
          </cell>
          <cell r="L120">
            <v>800000</v>
          </cell>
          <cell r="M120">
            <v>1200000</v>
          </cell>
          <cell r="N120">
            <v>800000</v>
          </cell>
          <cell r="O120">
            <v>800000</v>
          </cell>
          <cell r="P120">
            <v>0</v>
          </cell>
          <cell r="Q120">
            <v>0</v>
          </cell>
        </row>
        <row r="121">
          <cell r="J121">
            <v>400000</v>
          </cell>
          <cell r="K121">
            <v>0</v>
          </cell>
          <cell r="L121">
            <v>400000</v>
          </cell>
          <cell r="M121">
            <v>0</v>
          </cell>
          <cell r="N121">
            <v>400000</v>
          </cell>
          <cell r="O121">
            <v>400000</v>
          </cell>
          <cell r="P121">
            <v>500000</v>
          </cell>
          <cell r="Q121">
            <v>400000</v>
          </cell>
        </row>
        <row r="122"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</row>
        <row r="127"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J128">
            <v>400000</v>
          </cell>
          <cell r="K128">
            <v>400000</v>
          </cell>
          <cell r="L128">
            <v>400000</v>
          </cell>
          <cell r="M128">
            <v>0</v>
          </cell>
          <cell r="N128">
            <v>400000</v>
          </cell>
          <cell r="O128">
            <v>400000</v>
          </cell>
          <cell r="P128">
            <v>400000</v>
          </cell>
          <cell r="Q128">
            <v>0</v>
          </cell>
        </row>
        <row r="129">
          <cell r="J129">
            <v>400000</v>
          </cell>
          <cell r="K129">
            <v>0</v>
          </cell>
          <cell r="L129">
            <v>400000</v>
          </cell>
          <cell r="M129">
            <v>400000</v>
          </cell>
          <cell r="N129">
            <v>400000</v>
          </cell>
          <cell r="O129">
            <v>400000</v>
          </cell>
          <cell r="P129">
            <v>400000</v>
          </cell>
          <cell r="Q129">
            <v>400000</v>
          </cell>
        </row>
        <row r="130"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J131">
            <v>400000</v>
          </cell>
          <cell r="K131">
            <v>0</v>
          </cell>
          <cell r="L131">
            <v>900000</v>
          </cell>
          <cell r="M131">
            <v>400000</v>
          </cell>
          <cell r="N131">
            <v>0</v>
          </cell>
          <cell r="O131">
            <v>0</v>
          </cell>
          <cell r="P131">
            <v>400000</v>
          </cell>
          <cell r="Q131">
            <v>400000</v>
          </cell>
        </row>
        <row r="132"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</row>
        <row r="133"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</row>
        <row r="134"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1600000</v>
          </cell>
          <cell r="O134">
            <v>0</v>
          </cell>
          <cell r="P134">
            <v>0</v>
          </cell>
          <cell r="Q134">
            <v>0</v>
          </cell>
        </row>
        <row r="135"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J136">
            <v>400000</v>
          </cell>
          <cell r="K136">
            <v>400000</v>
          </cell>
          <cell r="L136">
            <v>400000</v>
          </cell>
          <cell r="M136">
            <v>0</v>
          </cell>
          <cell r="N136">
            <v>400000</v>
          </cell>
          <cell r="O136">
            <v>400000</v>
          </cell>
          <cell r="P136">
            <v>400000</v>
          </cell>
          <cell r="Q136">
            <v>0</v>
          </cell>
        </row>
        <row r="137"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</row>
        <row r="138">
          <cell r="J138">
            <v>800000</v>
          </cell>
          <cell r="K138">
            <v>800000</v>
          </cell>
          <cell r="L138">
            <v>800000</v>
          </cell>
          <cell r="M138">
            <v>800000</v>
          </cell>
          <cell r="N138">
            <v>800000</v>
          </cell>
          <cell r="O138">
            <v>800000</v>
          </cell>
          <cell r="P138">
            <v>800000</v>
          </cell>
          <cell r="Q138">
            <v>800000</v>
          </cell>
        </row>
        <row r="139"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</row>
        <row r="141">
          <cell r="J141">
            <v>400000</v>
          </cell>
          <cell r="K141">
            <v>400000</v>
          </cell>
          <cell r="L141">
            <v>400000</v>
          </cell>
          <cell r="M141">
            <v>0</v>
          </cell>
          <cell r="N141">
            <v>1200000</v>
          </cell>
          <cell r="O141">
            <v>400000</v>
          </cell>
          <cell r="P141">
            <v>0</v>
          </cell>
          <cell r="Q141">
            <v>400000</v>
          </cell>
        </row>
        <row r="142"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</row>
        <row r="148">
          <cell r="J148">
            <v>400000</v>
          </cell>
          <cell r="K148">
            <v>0</v>
          </cell>
          <cell r="L148">
            <v>400000</v>
          </cell>
          <cell r="M148">
            <v>0</v>
          </cell>
          <cell r="N148">
            <v>1600000</v>
          </cell>
          <cell r="O148">
            <v>0</v>
          </cell>
          <cell r="P148">
            <v>400000</v>
          </cell>
          <cell r="Q148">
            <v>400000</v>
          </cell>
        </row>
        <row r="149"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</row>
        <row r="153">
          <cell r="J153">
            <v>100000</v>
          </cell>
          <cell r="K153">
            <v>200000</v>
          </cell>
          <cell r="L153">
            <v>0</v>
          </cell>
          <cell r="M153">
            <v>200000</v>
          </cell>
          <cell r="N153">
            <v>0</v>
          </cell>
          <cell r="O153">
            <v>100000</v>
          </cell>
          <cell r="P153">
            <v>200000</v>
          </cell>
          <cell r="Q153">
            <v>0</v>
          </cell>
        </row>
        <row r="154"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</row>
        <row r="155"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J156">
            <v>0</v>
          </cell>
          <cell r="K156">
            <v>0</v>
          </cell>
          <cell r="L156">
            <v>0</v>
          </cell>
          <cell r="M156">
            <v>800000</v>
          </cell>
          <cell r="N156">
            <v>0</v>
          </cell>
          <cell r="O156">
            <v>400000</v>
          </cell>
          <cell r="P156">
            <v>0</v>
          </cell>
          <cell r="Q156">
            <v>0</v>
          </cell>
        </row>
        <row r="157"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J158">
            <v>140000</v>
          </cell>
          <cell r="K158">
            <v>140000</v>
          </cell>
          <cell r="L158">
            <v>140000</v>
          </cell>
          <cell r="M158">
            <v>120000</v>
          </cell>
          <cell r="N158">
            <v>160000</v>
          </cell>
          <cell r="O158">
            <v>140000</v>
          </cell>
          <cell r="P158">
            <v>140000</v>
          </cell>
          <cell r="Q158">
            <v>140000</v>
          </cell>
        </row>
        <row r="159"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</row>
        <row r="160"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</row>
        <row r="161"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</row>
        <row r="162">
          <cell r="J162">
            <v>400000</v>
          </cell>
          <cell r="K162">
            <v>400000</v>
          </cell>
          <cell r="L162">
            <v>400000</v>
          </cell>
          <cell r="M162">
            <v>2400000</v>
          </cell>
          <cell r="N162">
            <v>0</v>
          </cell>
          <cell r="O162">
            <v>800000</v>
          </cell>
          <cell r="P162">
            <v>800000</v>
          </cell>
          <cell r="Q162">
            <v>800000</v>
          </cell>
        </row>
        <row r="163">
          <cell r="J163">
            <v>0</v>
          </cell>
          <cell r="K163">
            <v>0</v>
          </cell>
          <cell r="L163">
            <v>400000</v>
          </cell>
          <cell r="M163">
            <v>0</v>
          </cell>
          <cell r="N163">
            <v>400000</v>
          </cell>
          <cell r="O163">
            <v>400000</v>
          </cell>
          <cell r="P163">
            <v>400000</v>
          </cell>
          <cell r="Q163">
            <v>0</v>
          </cell>
        </row>
        <row r="164"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</row>
        <row r="165">
          <cell r="J165">
            <v>400000</v>
          </cell>
          <cell r="K165">
            <v>400000</v>
          </cell>
          <cell r="L165">
            <v>0</v>
          </cell>
          <cell r="M165">
            <v>400000</v>
          </cell>
          <cell r="N165">
            <v>400000</v>
          </cell>
          <cell r="O165">
            <v>400000</v>
          </cell>
          <cell r="P165">
            <v>400000</v>
          </cell>
          <cell r="Q165">
            <v>687500</v>
          </cell>
        </row>
        <row r="166"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</row>
        <row r="167"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</row>
        <row r="171">
          <cell r="J171">
            <v>0</v>
          </cell>
          <cell r="K171">
            <v>0</v>
          </cell>
          <cell r="L171">
            <v>0</v>
          </cell>
          <cell r="M171">
            <v>1200000</v>
          </cell>
          <cell r="N171">
            <v>0</v>
          </cell>
          <cell r="O171">
            <v>2000000</v>
          </cell>
          <cell r="P171">
            <v>1200000</v>
          </cell>
          <cell r="Q171">
            <v>0</v>
          </cell>
        </row>
        <row r="172"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</row>
        <row r="173">
          <cell r="J173">
            <v>800000</v>
          </cell>
          <cell r="K173">
            <v>400000</v>
          </cell>
          <cell r="L173">
            <v>800000</v>
          </cell>
          <cell r="M173">
            <v>800000</v>
          </cell>
          <cell r="N173">
            <v>800000</v>
          </cell>
          <cell r="O173">
            <v>800000</v>
          </cell>
          <cell r="P173">
            <v>800000</v>
          </cell>
          <cell r="Q173">
            <v>0</v>
          </cell>
        </row>
        <row r="174"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</row>
        <row r="175">
          <cell r="J175">
            <v>0</v>
          </cell>
          <cell r="K175">
            <v>0</v>
          </cell>
          <cell r="L175">
            <v>400000</v>
          </cell>
          <cell r="M175">
            <v>400000</v>
          </cell>
          <cell r="N175">
            <v>400000</v>
          </cell>
          <cell r="O175">
            <v>0</v>
          </cell>
          <cell r="P175">
            <v>0</v>
          </cell>
          <cell r="Q175">
            <v>0</v>
          </cell>
        </row>
        <row r="176">
          <cell r="J176">
            <v>800000</v>
          </cell>
          <cell r="K176">
            <v>0</v>
          </cell>
          <cell r="L176">
            <v>0</v>
          </cell>
          <cell r="M176">
            <v>0</v>
          </cell>
          <cell r="N176">
            <v>400000</v>
          </cell>
          <cell r="O176">
            <v>400000</v>
          </cell>
          <cell r="P176">
            <v>400000</v>
          </cell>
          <cell r="Q176">
            <v>400000</v>
          </cell>
        </row>
        <row r="177">
          <cell r="J177">
            <v>1200000</v>
          </cell>
          <cell r="K177">
            <v>0</v>
          </cell>
          <cell r="L177">
            <v>600000</v>
          </cell>
          <cell r="M177">
            <v>600000</v>
          </cell>
          <cell r="N177">
            <v>0</v>
          </cell>
          <cell r="O177">
            <v>1400000</v>
          </cell>
          <cell r="P177">
            <v>800000</v>
          </cell>
          <cell r="Q177">
            <v>800000</v>
          </cell>
        </row>
        <row r="178">
          <cell r="J178">
            <v>0</v>
          </cell>
          <cell r="K178">
            <v>400000</v>
          </cell>
          <cell r="L178">
            <v>400000</v>
          </cell>
          <cell r="M178">
            <v>400000</v>
          </cell>
          <cell r="N178">
            <v>400000</v>
          </cell>
          <cell r="O178">
            <v>400000</v>
          </cell>
          <cell r="P178">
            <v>400000</v>
          </cell>
          <cell r="Q178">
            <v>400000</v>
          </cell>
        </row>
        <row r="179">
          <cell r="J179">
            <v>400000</v>
          </cell>
          <cell r="K179">
            <v>400000</v>
          </cell>
          <cell r="L179">
            <v>400000</v>
          </cell>
          <cell r="M179">
            <v>400000</v>
          </cell>
          <cell r="N179">
            <v>400000</v>
          </cell>
          <cell r="O179">
            <v>800000</v>
          </cell>
          <cell r="P179">
            <v>400000</v>
          </cell>
          <cell r="Q179">
            <v>400000</v>
          </cell>
        </row>
        <row r="180"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</row>
        <row r="181">
          <cell r="J181">
            <v>400000</v>
          </cell>
          <cell r="K181">
            <v>400000</v>
          </cell>
          <cell r="L181">
            <v>400000</v>
          </cell>
          <cell r="M181">
            <v>400000</v>
          </cell>
          <cell r="N181">
            <v>400000</v>
          </cell>
          <cell r="O181">
            <v>0</v>
          </cell>
          <cell r="P181">
            <v>400000</v>
          </cell>
          <cell r="Q181">
            <v>0</v>
          </cell>
        </row>
        <row r="182">
          <cell r="J182">
            <v>0</v>
          </cell>
          <cell r="K182">
            <v>800000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1300000</v>
          </cell>
          <cell r="Q185">
            <v>0</v>
          </cell>
        </row>
        <row r="186">
          <cell r="J186">
            <v>400000</v>
          </cell>
          <cell r="K186">
            <v>400000</v>
          </cell>
          <cell r="L186">
            <v>400000</v>
          </cell>
          <cell r="M186">
            <v>400000</v>
          </cell>
          <cell r="N186">
            <v>400000</v>
          </cell>
          <cell r="O186">
            <v>400000</v>
          </cell>
          <cell r="P186">
            <v>400000</v>
          </cell>
          <cell r="Q186">
            <v>400000</v>
          </cell>
        </row>
        <row r="187"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1000000</v>
          </cell>
          <cell r="P187">
            <v>0</v>
          </cell>
          <cell r="Q187">
            <v>400000</v>
          </cell>
        </row>
        <row r="188"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J189">
            <v>0</v>
          </cell>
          <cell r="K189">
            <v>0</v>
          </cell>
          <cell r="L189">
            <v>0</v>
          </cell>
          <cell r="M189">
            <v>400000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0">
          <cell r="J190">
            <v>0</v>
          </cell>
          <cell r="K190">
            <v>500000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400000</v>
          </cell>
        </row>
        <row r="191"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2">
          <cell r="J192">
            <v>0</v>
          </cell>
          <cell r="K192">
            <v>400000</v>
          </cell>
          <cell r="L192">
            <v>400000</v>
          </cell>
          <cell r="M192">
            <v>800000</v>
          </cell>
          <cell r="N192">
            <v>400000</v>
          </cell>
          <cell r="O192">
            <v>0</v>
          </cell>
          <cell r="P192">
            <v>0</v>
          </cell>
          <cell r="Q192">
            <v>0</v>
          </cell>
        </row>
        <row r="193">
          <cell r="J193">
            <v>800000</v>
          </cell>
          <cell r="K193">
            <v>800000</v>
          </cell>
          <cell r="L193">
            <v>800000</v>
          </cell>
          <cell r="M193">
            <v>800000</v>
          </cell>
          <cell r="N193">
            <v>800000</v>
          </cell>
          <cell r="O193">
            <v>800000</v>
          </cell>
          <cell r="P193">
            <v>800000</v>
          </cell>
          <cell r="Q193">
            <v>800000</v>
          </cell>
        </row>
        <row r="194">
          <cell r="J194">
            <v>400000</v>
          </cell>
          <cell r="K194">
            <v>400000</v>
          </cell>
          <cell r="L194">
            <v>400000</v>
          </cell>
          <cell r="M194">
            <v>0</v>
          </cell>
          <cell r="N194">
            <v>400000</v>
          </cell>
          <cell r="O194">
            <v>0</v>
          </cell>
          <cell r="P194">
            <v>0</v>
          </cell>
          <cell r="Q194">
            <v>0</v>
          </cell>
        </row>
        <row r="195">
          <cell r="J195">
            <v>400000</v>
          </cell>
          <cell r="K195">
            <v>400000</v>
          </cell>
          <cell r="L195">
            <v>900000</v>
          </cell>
          <cell r="M195">
            <v>0</v>
          </cell>
          <cell r="N195">
            <v>450000</v>
          </cell>
          <cell r="O195">
            <v>450000</v>
          </cell>
          <cell r="P195">
            <v>0</v>
          </cell>
          <cell r="Q195">
            <v>450000</v>
          </cell>
        </row>
        <row r="196">
          <cell r="J196">
            <v>400000</v>
          </cell>
          <cell r="K196">
            <v>400000</v>
          </cell>
          <cell r="L196">
            <v>400000</v>
          </cell>
          <cell r="M196">
            <v>800000</v>
          </cell>
          <cell r="N196">
            <v>400000</v>
          </cell>
          <cell r="O196">
            <v>0</v>
          </cell>
          <cell r="P196">
            <v>400000</v>
          </cell>
          <cell r="Q196">
            <v>0</v>
          </cell>
        </row>
        <row r="197">
          <cell r="J197">
            <v>400000</v>
          </cell>
          <cell r="K197">
            <v>0</v>
          </cell>
          <cell r="L197">
            <v>800000</v>
          </cell>
          <cell r="M197">
            <v>400000</v>
          </cell>
          <cell r="N197">
            <v>400000</v>
          </cell>
          <cell r="O197">
            <v>0</v>
          </cell>
          <cell r="P197">
            <v>0</v>
          </cell>
          <cell r="Q197">
            <v>100000</v>
          </cell>
        </row>
        <row r="198"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</row>
        <row r="199"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</row>
        <row r="200">
          <cell r="J200">
            <v>0</v>
          </cell>
          <cell r="K200">
            <v>400000</v>
          </cell>
          <cell r="L200">
            <v>400000</v>
          </cell>
          <cell r="M200">
            <v>400000</v>
          </cell>
          <cell r="N200">
            <v>0</v>
          </cell>
          <cell r="O200">
            <v>500000</v>
          </cell>
          <cell r="P200">
            <v>500000</v>
          </cell>
          <cell r="Q200">
            <v>400000</v>
          </cell>
        </row>
        <row r="201"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</row>
        <row r="202">
          <cell r="J202">
            <v>400000</v>
          </cell>
          <cell r="K202">
            <v>0</v>
          </cell>
          <cell r="L202">
            <v>400000</v>
          </cell>
          <cell r="M202">
            <v>400000</v>
          </cell>
          <cell r="N202">
            <v>0</v>
          </cell>
          <cell r="O202">
            <v>400000</v>
          </cell>
          <cell r="P202">
            <v>0</v>
          </cell>
          <cell r="Q202">
            <v>0</v>
          </cell>
        </row>
        <row r="203">
          <cell r="J203">
            <v>1200000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</row>
        <row r="204"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</row>
        <row r="205"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</row>
        <row r="206">
          <cell r="J206">
            <v>1200000</v>
          </cell>
          <cell r="K206">
            <v>1200000</v>
          </cell>
          <cell r="L206">
            <v>0</v>
          </cell>
          <cell r="M206">
            <v>800000</v>
          </cell>
          <cell r="N206">
            <v>0</v>
          </cell>
          <cell r="O206">
            <v>1200000</v>
          </cell>
          <cell r="P206">
            <v>0</v>
          </cell>
          <cell r="Q206">
            <v>2400000</v>
          </cell>
        </row>
        <row r="207"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</row>
        <row r="208">
          <cell r="J208">
            <v>0</v>
          </cell>
          <cell r="K208">
            <v>0</v>
          </cell>
          <cell r="L208">
            <v>0</v>
          </cell>
          <cell r="M208">
            <v>800000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</row>
        <row r="209">
          <cell r="J209">
            <v>0</v>
          </cell>
          <cell r="K209">
            <v>0</v>
          </cell>
          <cell r="L209">
            <v>0</v>
          </cell>
          <cell r="M209">
            <v>400000</v>
          </cell>
          <cell r="N209">
            <v>400000</v>
          </cell>
          <cell r="O209">
            <v>400000</v>
          </cell>
          <cell r="P209">
            <v>400000</v>
          </cell>
          <cell r="Q209">
            <v>0</v>
          </cell>
        </row>
        <row r="210">
          <cell r="J210">
            <v>400000</v>
          </cell>
          <cell r="K210">
            <v>400000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J211">
            <v>0</v>
          </cell>
          <cell r="K211">
            <v>600000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200000</v>
          </cell>
          <cell r="Q211">
            <v>0</v>
          </cell>
        </row>
        <row r="212">
          <cell r="J212">
            <v>400000</v>
          </cell>
          <cell r="K212">
            <v>0</v>
          </cell>
          <cell r="L212">
            <v>0</v>
          </cell>
          <cell r="M212">
            <v>0</v>
          </cell>
          <cell r="N212">
            <v>400000</v>
          </cell>
          <cell r="O212">
            <v>0</v>
          </cell>
          <cell r="P212">
            <v>0</v>
          </cell>
          <cell r="Q212">
            <v>0</v>
          </cell>
        </row>
        <row r="213"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</row>
        <row r="214">
          <cell r="J214">
            <v>0</v>
          </cell>
          <cell r="K214">
            <v>800000</v>
          </cell>
          <cell r="L214">
            <v>400000</v>
          </cell>
          <cell r="M214">
            <v>400000</v>
          </cell>
          <cell r="N214">
            <v>400000</v>
          </cell>
          <cell r="O214">
            <v>0</v>
          </cell>
          <cell r="P214">
            <v>0</v>
          </cell>
          <cell r="Q214">
            <v>1200000</v>
          </cell>
        </row>
        <row r="215">
          <cell r="J215">
            <v>400000</v>
          </cell>
          <cell r="K215">
            <v>0</v>
          </cell>
          <cell r="L215">
            <v>400000</v>
          </cell>
          <cell r="M215">
            <v>400000</v>
          </cell>
          <cell r="N215">
            <v>0</v>
          </cell>
          <cell r="O215">
            <v>0</v>
          </cell>
          <cell r="P215">
            <v>400000</v>
          </cell>
          <cell r="Q215">
            <v>0</v>
          </cell>
        </row>
        <row r="216"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400000</v>
          </cell>
          <cell r="O216">
            <v>400000</v>
          </cell>
          <cell r="P216">
            <v>400000</v>
          </cell>
          <cell r="Q216">
            <v>0</v>
          </cell>
        </row>
        <row r="217">
          <cell r="J217">
            <v>400000</v>
          </cell>
          <cell r="K217">
            <v>400000</v>
          </cell>
          <cell r="L217">
            <v>400000</v>
          </cell>
          <cell r="M217">
            <v>400000</v>
          </cell>
          <cell r="N217">
            <v>400000</v>
          </cell>
          <cell r="O217">
            <v>400000</v>
          </cell>
          <cell r="P217">
            <v>400000</v>
          </cell>
          <cell r="Q217">
            <v>400000</v>
          </cell>
        </row>
        <row r="218">
          <cell r="J218">
            <v>400000</v>
          </cell>
          <cell r="K218">
            <v>400000</v>
          </cell>
          <cell r="L218">
            <v>400000</v>
          </cell>
          <cell r="M218">
            <v>0</v>
          </cell>
          <cell r="N218">
            <v>400000</v>
          </cell>
          <cell r="O218">
            <v>400000</v>
          </cell>
          <cell r="P218">
            <v>400000</v>
          </cell>
          <cell r="Q218">
            <v>0</v>
          </cell>
        </row>
        <row r="219">
          <cell r="J219">
            <v>300000</v>
          </cell>
          <cell r="K219">
            <v>300000</v>
          </cell>
          <cell r="L219">
            <v>200000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</row>
        <row r="220">
          <cell r="J220">
            <v>20000</v>
          </cell>
          <cell r="K220">
            <v>30000</v>
          </cell>
          <cell r="L220">
            <v>30000</v>
          </cell>
          <cell r="M220">
            <v>50000</v>
          </cell>
          <cell r="N220">
            <v>50000</v>
          </cell>
          <cell r="O220">
            <v>50000</v>
          </cell>
          <cell r="P220">
            <v>30000</v>
          </cell>
          <cell r="Q220">
            <v>40000</v>
          </cell>
        </row>
        <row r="221"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</row>
        <row r="222">
          <cell r="J222">
            <v>200000</v>
          </cell>
          <cell r="K222">
            <v>0</v>
          </cell>
          <cell r="L222">
            <v>0</v>
          </cell>
          <cell r="M222">
            <v>400000</v>
          </cell>
          <cell r="N222">
            <v>400000</v>
          </cell>
          <cell r="O222">
            <v>0</v>
          </cell>
          <cell r="P222">
            <v>0</v>
          </cell>
          <cell r="Q222">
            <v>0</v>
          </cell>
        </row>
        <row r="223">
          <cell r="J223">
            <v>400000</v>
          </cell>
          <cell r="K223">
            <v>400000</v>
          </cell>
          <cell r="L223">
            <v>400000</v>
          </cell>
          <cell r="M223">
            <v>400000</v>
          </cell>
          <cell r="N223">
            <v>400000</v>
          </cell>
          <cell r="O223">
            <v>0</v>
          </cell>
          <cell r="P223">
            <v>400000</v>
          </cell>
          <cell r="Q223">
            <v>0</v>
          </cell>
        </row>
        <row r="224"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800000</v>
          </cell>
        </row>
        <row r="225"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</row>
        <row r="226"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400000</v>
          </cell>
        </row>
        <row r="227"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400000</v>
          </cell>
        </row>
        <row r="228"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</row>
        <row r="229"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</row>
        <row r="230"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400000</v>
          </cell>
        </row>
        <row r="231"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</row>
        <row r="233"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</row>
        <row r="235"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400000</v>
          </cell>
        </row>
        <row r="236"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</row>
        <row r="237"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4000000</v>
          </cell>
          <cell r="Q237">
            <v>0</v>
          </cell>
        </row>
        <row r="238"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</row>
        <row r="239"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</row>
        <row r="240"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</row>
        <row r="241"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</row>
        <row r="242"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</row>
        <row r="243"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</row>
        <row r="244"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</row>
        <row r="245"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</row>
        <row r="247"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</row>
        <row r="252"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</row>
        <row r="253">
          <cell r="J253">
            <v>0</v>
          </cell>
          <cell r="K253">
            <v>0</v>
          </cell>
          <cell r="L253">
            <v>400000</v>
          </cell>
          <cell r="M253">
            <v>400000</v>
          </cell>
          <cell r="N253">
            <v>0</v>
          </cell>
          <cell r="O253">
            <v>0</v>
          </cell>
          <cell r="P253">
            <v>400000</v>
          </cell>
          <cell r="Q253">
            <v>0</v>
          </cell>
        </row>
        <row r="254">
          <cell r="J254">
            <v>0</v>
          </cell>
          <cell r="K254">
            <v>200000</v>
          </cell>
          <cell r="L254">
            <v>0</v>
          </cell>
          <cell r="M254">
            <v>400000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540000</v>
          </cell>
          <cell r="O255">
            <v>450000</v>
          </cell>
          <cell r="P255">
            <v>0</v>
          </cell>
          <cell r="Q255">
            <v>0</v>
          </cell>
        </row>
        <row r="256">
          <cell r="J256">
            <v>400000</v>
          </cell>
          <cell r="K256">
            <v>400000</v>
          </cell>
          <cell r="L256">
            <v>400000</v>
          </cell>
          <cell r="M256">
            <v>400000</v>
          </cell>
          <cell r="N256">
            <v>0</v>
          </cell>
          <cell r="O256">
            <v>400000</v>
          </cell>
          <cell r="P256">
            <v>0</v>
          </cell>
          <cell r="Q256">
            <v>0</v>
          </cell>
        </row>
        <row r="257"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J258">
            <v>400000</v>
          </cell>
          <cell r="K258">
            <v>400000</v>
          </cell>
          <cell r="L258">
            <v>400000</v>
          </cell>
          <cell r="M258">
            <v>0</v>
          </cell>
          <cell r="N258">
            <v>400000</v>
          </cell>
          <cell r="O258">
            <v>400000</v>
          </cell>
          <cell r="P258">
            <v>400000</v>
          </cell>
          <cell r="Q258">
            <v>0</v>
          </cell>
        </row>
        <row r="259"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</row>
        <row r="260"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</row>
        <row r="261"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</row>
        <row r="262">
          <cell r="J262">
            <v>0</v>
          </cell>
          <cell r="K262">
            <v>400000</v>
          </cell>
          <cell r="L262">
            <v>400000</v>
          </cell>
          <cell r="M262">
            <v>400000</v>
          </cell>
          <cell r="N262">
            <v>0</v>
          </cell>
          <cell r="O262">
            <v>0</v>
          </cell>
          <cell r="P262">
            <v>400000</v>
          </cell>
          <cell r="Q262">
            <v>400000</v>
          </cell>
        </row>
        <row r="263">
          <cell r="J263">
            <v>400000</v>
          </cell>
          <cell r="K263">
            <v>0</v>
          </cell>
          <cell r="L263">
            <v>400000</v>
          </cell>
          <cell r="M263">
            <v>400000</v>
          </cell>
          <cell r="N263">
            <v>400000</v>
          </cell>
          <cell r="O263">
            <v>0</v>
          </cell>
          <cell r="P263">
            <v>400000</v>
          </cell>
          <cell r="Q263">
            <v>400000</v>
          </cell>
        </row>
        <row r="264">
          <cell r="J264">
            <v>0</v>
          </cell>
          <cell r="K264">
            <v>400000</v>
          </cell>
          <cell r="L264">
            <v>400000</v>
          </cell>
          <cell r="M264">
            <v>400000</v>
          </cell>
          <cell r="N264">
            <v>400000</v>
          </cell>
          <cell r="O264">
            <v>400000</v>
          </cell>
          <cell r="P264">
            <v>400000</v>
          </cell>
          <cell r="Q264">
            <v>400000</v>
          </cell>
        </row>
        <row r="265">
          <cell r="J265">
            <v>0</v>
          </cell>
          <cell r="K265">
            <v>400000</v>
          </cell>
          <cell r="L265">
            <v>400000</v>
          </cell>
          <cell r="M265">
            <v>800000</v>
          </cell>
          <cell r="N265">
            <v>800000</v>
          </cell>
          <cell r="O265">
            <v>0</v>
          </cell>
          <cell r="P265">
            <v>800000</v>
          </cell>
          <cell r="Q265">
            <v>0</v>
          </cell>
        </row>
        <row r="266">
          <cell r="J266">
            <v>400000</v>
          </cell>
          <cell r="K266">
            <v>400000</v>
          </cell>
          <cell r="L266">
            <v>400000</v>
          </cell>
          <cell r="M266">
            <v>800000</v>
          </cell>
          <cell r="N266">
            <v>0</v>
          </cell>
          <cell r="O266">
            <v>800000</v>
          </cell>
          <cell r="P266">
            <v>800000</v>
          </cell>
          <cell r="Q266">
            <v>800000</v>
          </cell>
        </row>
        <row r="267">
          <cell r="J267">
            <v>0</v>
          </cell>
          <cell r="K267">
            <v>200000</v>
          </cell>
          <cell r="L267">
            <v>200000</v>
          </cell>
          <cell r="M267">
            <v>200000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</row>
        <row r="268"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</row>
        <row r="269">
          <cell r="J269">
            <v>0</v>
          </cell>
          <cell r="K269">
            <v>0</v>
          </cell>
          <cell r="L269">
            <v>400000</v>
          </cell>
          <cell r="M269">
            <v>400000</v>
          </cell>
          <cell r="N269">
            <v>400000</v>
          </cell>
          <cell r="O269">
            <v>400000</v>
          </cell>
          <cell r="P269">
            <v>0</v>
          </cell>
          <cell r="Q269">
            <v>0</v>
          </cell>
        </row>
        <row r="270">
          <cell r="J270">
            <v>400000</v>
          </cell>
          <cell r="K270">
            <v>400000</v>
          </cell>
          <cell r="L270">
            <v>400000</v>
          </cell>
          <cell r="M270">
            <v>400000</v>
          </cell>
          <cell r="N270">
            <v>400000</v>
          </cell>
          <cell r="O270">
            <v>0</v>
          </cell>
          <cell r="P270">
            <v>0</v>
          </cell>
          <cell r="Q270">
            <v>0</v>
          </cell>
        </row>
        <row r="271">
          <cell r="J271">
            <v>400000</v>
          </cell>
          <cell r="K271">
            <v>400000</v>
          </cell>
          <cell r="L271">
            <v>400000</v>
          </cell>
          <cell r="M271">
            <v>0</v>
          </cell>
          <cell r="N271">
            <v>400000</v>
          </cell>
          <cell r="O271">
            <v>400000</v>
          </cell>
          <cell r="P271">
            <v>400000</v>
          </cell>
          <cell r="Q271">
            <v>400000</v>
          </cell>
        </row>
        <row r="272">
          <cell r="J272">
            <v>0</v>
          </cell>
          <cell r="K272">
            <v>400000</v>
          </cell>
          <cell r="L272">
            <v>0</v>
          </cell>
          <cell r="M272">
            <v>400000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</row>
        <row r="273"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</row>
        <row r="274"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400000</v>
          </cell>
        </row>
        <row r="275">
          <cell r="J275">
            <v>150000</v>
          </cell>
          <cell r="K275">
            <v>0</v>
          </cell>
          <cell r="L275">
            <v>50000</v>
          </cell>
          <cell r="M275">
            <v>200000</v>
          </cell>
          <cell r="N275">
            <v>200000</v>
          </cell>
          <cell r="O275">
            <v>200000</v>
          </cell>
          <cell r="P275">
            <v>0</v>
          </cell>
          <cell r="Q275">
            <v>0</v>
          </cell>
        </row>
        <row r="276"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150000</v>
          </cell>
          <cell r="P276">
            <v>0</v>
          </cell>
          <cell r="Q276">
            <v>0</v>
          </cell>
        </row>
        <row r="277">
          <cell r="J277">
            <v>400000</v>
          </cell>
          <cell r="K277">
            <v>400000</v>
          </cell>
          <cell r="L277">
            <v>400000</v>
          </cell>
          <cell r="M277">
            <v>0</v>
          </cell>
          <cell r="N277">
            <v>400000</v>
          </cell>
          <cell r="O277">
            <v>0</v>
          </cell>
          <cell r="P277">
            <v>800000</v>
          </cell>
          <cell r="Q277">
            <v>0</v>
          </cell>
        </row>
        <row r="278">
          <cell r="J278">
            <v>0</v>
          </cell>
          <cell r="K278">
            <v>400000</v>
          </cell>
          <cell r="L278">
            <v>200000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</row>
        <row r="279"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</row>
        <row r="280">
          <cell r="J280">
            <v>400000</v>
          </cell>
          <cell r="K280">
            <v>0</v>
          </cell>
          <cell r="L280">
            <v>400000</v>
          </cell>
          <cell r="M280">
            <v>400000</v>
          </cell>
          <cell r="N280">
            <v>400000</v>
          </cell>
          <cell r="O280">
            <v>400000</v>
          </cell>
          <cell r="P280">
            <v>400000</v>
          </cell>
          <cell r="Q280">
            <v>400000</v>
          </cell>
        </row>
        <row r="281">
          <cell r="J281">
            <v>500000</v>
          </cell>
          <cell r="K281">
            <v>500000</v>
          </cell>
          <cell r="L281">
            <v>500000</v>
          </cell>
          <cell r="M281">
            <v>500000</v>
          </cell>
          <cell r="N281">
            <v>500000</v>
          </cell>
          <cell r="O281">
            <v>500000</v>
          </cell>
          <cell r="P281">
            <v>0</v>
          </cell>
          <cell r="Q281">
            <v>0</v>
          </cell>
        </row>
        <row r="282">
          <cell r="J282">
            <v>400000</v>
          </cell>
          <cell r="K282">
            <v>400000</v>
          </cell>
          <cell r="L282">
            <v>400000</v>
          </cell>
          <cell r="M282">
            <v>400000</v>
          </cell>
          <cell r="N282">
            <v>400000</v>
          </cell>
          <cell r="O282">
            <v>400000</v>
          </cell>
          <cell r="P282">
            <v>400000</v>
          </cell>
          <cell r="Q282">
            <v>400000</v>
          </cell>
        </row>
        <row r="283">
          <cell r="J283">
            <v>200000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</row>
        <row r="284">
          <cell r="J284">
            <v>400000</v>
          </cell>
          <cell r="K284">
            <v>0</v>
          </cell>
          <cell r="L284">
            <v>0</v>
          </cell>
          <cell r="M284">
            <v>400000</v>
          </cell>
          <cell r="N284">
            <v>0</v>
          </cell>
          <cell r="O284">
            <v>400000</v>
          </cell>
          <cell r="P284">
            <v>0</v>
          </cell>
          <cell r="Q284">
            <v>0</v>
          </cell>
        </row>
        <row r="285">
          <cell r="J285">
            <v>400000</v>
          </cell>
          <cell r="K285">
            <v>400000</v>
          </cell>
          <cell r="L285">
            <v>400000</v>
          </cell>
          <cell r="M285">
            <v>0</v>
          </cell>
          <cell r="N285">
            <v>400000</v>
          </cell>
          <cell r="O285">
            <v>400000</v>
          </cell>
          <cell r="P285">
            <v>0</v>
          </cell>
          <cell r="Q285">
            <v>400000</v>
          </cell>
        </row>
        <row r="286">
          <cell r="J286">
            <v>1600000</v>
          </cell>
          <cell r="K286">
            <v>1600000</v>
          </cell>
          <cell r="L286">
            <v>1600000</v>
          </cell>
          <cell r="M286">
            <v>0</v>
          </cell>
          <cell r="N286">
            <v>2000000</v>
          </cell>
          <cell r="O286">
            <v>2000000</v>
          </cell>
          <cell r="P286">
            <v>0</v>
          </cell>
          <cell r="Q286">
            <v>0</v>
          </cell>
        </row>
        <row r="287">
          <cell r="J287">
            <v>400000</v>
          </cell>
          <cell r="K287">
            <v>400000</v>
          </cell>
          <cell r="L287">
            <v>800000</v>
          </cell>
          <cell r="M287">
            <v>0</v>
          </cell>
          <cell r="N287">
            <v>0</v>
          </cell>
          <cell r="O287">
            <v>400000</v>
          </cell>
          <cell r="P287">
            <v>400000</v>
          </cell>
          <cell r="Q287">
            <v>400000</v>
          </cell>
        </row>
        <row r="288">
          <cell r="J288">
            <v>400000</v>
          </cell>
          <cell r="K288">
            <v>400000</v>
          </cell>
          <cell r="L288">
            <v>0</v>
          </cell>
          <cell r="M288">
            <v>0</v>
          </cell>
          <cell r="N288">
            <v>0</v>
          </cell>
          <cell r="O288">
            <v>400000</v>
          </cell>
          <cell r="P288">
            <v>800000</v>
          </cell>
          <cell r="Q288">
            <v>0</v>
          </cell>
        </row>
        <row r="289">
          <cell r="J289">
            <v>400000</v>
          </cell>
          <cell r="K289">
            <v>400000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</row>
        <row r="290">
          <cell r="J290">
            <v>200000</v>
          </cell>
          <cell r="K290">
            <v>0</v>
          </cell>
          <cell r="L290">
            <v>0</v>
          </cell>
          <cell r="M290">
            <v>0</v>
          </cell>
          <cell r="N290">
            <v>200000</v>
          </cell>
          <cell r="O290">
            <v>200000</v>
          </cell>
          <cell r="P290">
            <v>0</v>
          </cell>
          <cell r="Q290">
            <v>0</v>
          </cell>
        </row>
        <row r="291">
          <cell r="J291">
            <v>400000</v>
          </cell>
          <cell r="K291">
            <v>400000</v>
          </cell>
          <cell r="L291">
            <v>400000</v>
          </cell>
          <cell r="M291">
            <v>400000</v>
          </cell>
          <cell r="N291">
            <v>0</v>
          </cell>
          <cell r="O291">
            <v>400000</v>
          </cell>
          <cell r="P291">
            <v>400000</v>
          </cell>
          <cell r="Q291">
            <v>0</v>
          </cell>
        </row>
        <row r="292">
          <cell r="J292">
            <v>400000</v>
          </cell>
          <cell r="K292">
            <v>400000</v>
          </cell>
          <cell r="L292">
            <v>400000</v>
          </cell>
          <cell r="M292">
            <v>400000</v>
          </cell>
          <cell r="N292">
            <v>0</v>
          </cell>
          <cell r="O292">
            <v>400000</v>
          </cell>
          <cell r="P292">
            <v>400000</v>
          </cell>
          <cell r="Q292">
            <v>0</v>
          </cell>
        </row>
        <row r="293">
          <cell r="J293">
            <v>400000</v>
          </cell>
          <cell r="K293">
            <v>400000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</row>
        <row r="294">
          <cell r="J294">
            <v>11250000</v>
          </cell>
          <cell r="K294">
            <v>0</v>
          </cell>
          <cell r="L294">
            <v>10800000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</row>
        <row r="295">
          <cell r="J295">
            <v>400000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</row>
        <row r="296">
          <cell r="J296">
            <v>400000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</row>
        <row r="297">
          <cell r="J297">
            <v>4800000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4800000</v>
          </cell>
          <cell r="Q297">
            <v>0</v>
          </cell>
        </row>
        <row r="298">
          <cell r="J298">
            <v>500000</v>
          </cell>
          <cell r="K298">
            <v>0</v>
          </cell>
          <cell r="L298">
            <v>400000</v>
          </cell>
          <cell r="M298">
            <v>400000</v>
          </cell>
          <cell r="N298">
            <v>0</v>
          </cell>
          <cell r="O298">
            <v>0</v>
          </cell>
          <cell r="P298">
            <v>800000</v>
          </cell>
          <cell r="Q298">
            <v>750000</v>
          </cell>
        </row>
        <row r="299">
          <cell r="J299">
            <v>400000</v>
          </cell>
          <cell r="K299">
            <v>400000</v>
          </cell>
          <cell r="L299">
            <v>0</v>
          </cell>
          <cell r="M299">
            <v>400000</v>
          </cell>
          <cell r="N299">
            <v>0</v>
          </cell>
          <cell r="O299">
            <v>800000</v>
          </cell>
          <cell r="P299">
            <v>0</v>
          </cell>
          <cell r="Q299">
            <v>800000</v>
          </cell>
        </row>
        <row r="300">
          <cell r="J300">
            <v>1200000</v>
          </cell>
          <cell r="K300">
            <v>0</v>
          </cell>
          <cell r="L300">
            <v>1600000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</row>
        <row r="301">
          <cell r="J301">
            <v>20000</v>
          </cell>
          <cell r="K301">
            <v>0</v>
          </cell>
          <cell r="L301">
            <v>25000</v>
          </cell>
          <cell r="M301">
            <v>0</v>
          </cell>
          <cell r="N301">
            <v>25000</v>
          </cell>
          <cell r="O301">
            <v>50000</v>
          </cell>
          <cell r="P301">
            <v>0</v>
          </cell>
          <cell r="Q301">
            <v>30000</v>
          </cell>
        </row>
        <row r="302">
          <cell r="J302">
            <v>400000</v>
          </cell>
          <cell r="K302">
            <v>400000</v>
          </cell>
          <cell r="L302">
            <v>400000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</row>
        <row r="303">
          <cell r="J303">
            <v>400000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</row>
        <row r="304">
          <cell r="J304">
            <v>0</v>
          </cell>
          <cell r="K304">
            <v>400000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</row>
        <row r="305">
          <cell r="J305">
            <v>0</v>
          </cell>
          <cell r="K305">
            <v>400000</v>
          </cell>
          <cell r="L305">
            <v>400000</v>
          </cell>
          <cell r="M305">
            <v>0</v>
          </cell>
          <cell r="N305">
            <v>0</v>
          </cell>
          <cell r="O305">
            <v>400000</v>
          </cell>
          <cell r="P305">
            <v>0</v>
          </cell>
          <cell r="Q305">
            <v>1200000</v>
          </cell>
        </row>
        <row r="306">
          <cell r="J306">
            <v>0</v>
          </cell>
          <cell r="K306">
            <v>800000</v>
          </cell>
          <cell r="L306">
            <v>400000</v>
          </cell>
          <cell r="M306">
            <v>0</v>
          </cell>
          <cell r="N306">
            <v>400000</v>
          </cell>
          <cell r="O306">
            <v>400000</v>
          </cell>
          <cell r="P306">
            <v>400000</v>
          </cell>
          <cell r="Q306">
            <v>200000</v>
          </cell>
        </row>
        <row r="307">
          <cell r="J307">
            <v>0</v>
          </cell>
          <cell r="K307">
            <v>200000</v>
          </cell>
          <cell r="L307">
            <v>200000</v>
          </cell>
          <cell r="M307">
            <v>400000</v>
          </cell>
          <cell r="N307">
            <v>400000</v>
          </cell>
          <cell r="O307">
            <v>0</v>
          </cell>
          <cell r="P307">
            <v>400000</v>
          </cell>
          <cell r="Q307">
            <v>0</v>
          </cell>
        </row>
        <row r="308">
          <cell r="J308">
            <v>0</v>
          </cell>
          <cell r="K308">
            <v>805000</v>
          </cell>
          <cell r="L308">
            <v>660000</v>
          </cell>
          <cell r="M308">
            <v>820000</v>
          </cell>
          <cell r="N308">
            <v>640000</v>
          </cell>
          <cell r="O308">
            <v>795000</v>
          </cell>
          <cell r="P308">
            <v>1120000</v>
          </cell>
          <cell r="Q308">
            <v>850000</v>
          </cell>
        </row>
        <row r="309">
          <cell r="J309">
            <v>0</v>
          </cell>
          <cell r="K309">
            <v>400000</v>
          </cell>
          <cell r="L309">
            <v>400000</v>
          </cell>
          <cell r="M309">
            <v>400000</v>
          </cell>
          <cell r="N309">
            <v>0</v>
          </cell>
          <cell r="O309">
            <v>400000</v>
          </cell>
          <cell r="P309">
            <v>400000</v>
          </cell>
          <cell r="Q309">
            <v>0</v>
          </cell>
        </row>
        <row r="310">
          <cell r="J310">
            <v>0</v>
          </cell>
          <cell r="K310">
            <v>400000</v>
          </cell>
          <cell r="L310">
            <v>400000</v>
          </cell>
          <cell r="M310">
            <v>400000</v>
          </cell>
          <cell r="N310">
            <v>0</v>
          </cell>
          <cell r="O310">
            <v>400000</v>
          </cell>
          <cell r="P310">
            <v>400000</v>
          </cell>
          <cell r="Q310">
            <v>0</v>
          </cell>
        </row>
        <row r="311">
          <cell r="J311">
            <v>0</v>
          </cell>
          <cell r="K311">
            <v>100000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</row>
        <row r="312">
          <cell r="J312">
            <v>0</v>
          </cell>
          <cell r="K312">
            <v>4800000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4800000</v>
          </cell>
          <cell r="Q312">
            <v>0</v>
          </cell>
        </row>
        <row r="313">
          <cell r="J313">
            <v>0</v>
          </cell>
          <cell r="K313">
            <v>400000</v>
          </cell>
          <cell r="L313">
            <v>0</v>
          </cell>
          <cell r="M313">
            <v>400000</v>
          </cell>
          <cell r="N313">
            <v>0</v>
          </cell>
          <cell r="O313">
            <v>400000</v>
          </cell>
          <cell r="P313">
            <v>800000</v>
          </cell>
          <cell r="Q313">
            <v>0</v>
          </cell>
        </row>
        <row r="314">
          <cell r="J314">
            <v>0</v>
          </cell>
          <cell r="K314">
            <v>400000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</row>
        <row r="315">
          <cell r="J315">
            <v>0</v>
          </cell>
          <cell r="K315">
            <v>400000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400000</v>
          </cell>
        </row>
        <row r="316">
          <cell r="J316">
            <v>0</v>
          </cell>
          <cell r="K316">
            <v>100000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J317">
            <v>0</v>
          </cell>
          <cell r="K317">
            <v>100000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</row>
        <row r="318">
          <cell r="J318">
            <v>0</v>
          </cell>
          <cell r="K318">
            <v>100000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  <row r="319">
          <cell r="J319">
            <v>0</v>
          </cell>
          <cell r="K319">
            <v>400000</v>
          </cell>
          <cell r="L319">
            <v>0</v>
          </cell>
          <cell r="M319">
            <v>400000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</row>
        <row r="320">
          <cell r="J320">
            <v>0</v>
          </cell>
          <cell r="K320">
            <v>800000</v>
          </cell>
          <cell r="L320">
            <v>800000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400000</v>
          </cell>
        </row>
        <row r="321">
          <cell r="J321">
            <v>0</v>
          </cell>
          <cell r="K321">
            <v>0</v>
          </cell>
          <cell r="L321">
            <v>400000</v>
          </cell>
          <cell r="M321">
            <v>0</v>
          </cell>
          <cell r="N321">
            <v>400000</v>
          </cell>
          <cell r="O321">
            <v>400000</v>
          </cell>
          <cell r="P321">
            <v>0</v>
          </cell>
          <cell r="Q321">
            <v>0</v>
          </cell>
        </row>
        <row r="322">
          <cell r="J322">
            <v>0</v>
          </cell>
          <cell r="K322">
            <v>0</v>
          </cell>
          <cell r="L322">
            <v>400000</v>
          </cell>
          <cell r="M322">
            <v>400000</v>
          </cell>
          <cell r="N322">
            <v>0</v>
          </cell>
          <cell r="O322">
            <v>0</v>
          </cell>
          <cell r="P322">
            <v>0</v>
          </cell>
          <cell r="Q322">
            <v>400000</v>
          </cell>
        </row>
        <row r="323">
          <cell r="J323">
            <v>0</v>
          </cell>
          <cell r="K323">
            <v>0</v>
          </cell>
          <cell r="L323">
            <v>600000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</row>
        <row r="324">
          <cell r="J324">
            <v>0</v>
          </cell>
          <cell r="K324">
            <v>400000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</row>
        <row r="325">
          <cell r="J325">
            <v>0</v>
          </cell>
          <cell r="K325">
            <v>0</v>
          </cell>
          <cell r="L325">
            <v>400000</v>
          </cell>
          <cell r="M325">
            <v>400000</v>
          </cell>
          <cell r="N325">
            <v>400000</v>
          </cell>
          <cell r="O325">
            <v>0</v>
          </cell>
          <cell r="P325">
            <v>400000</v>
          </cell>
          <cell r="Q325">
            <v>0</v>
          </cell>
        </row>
        <row r="326">
          <cell r="J326">
            <v>0</v>
          </cell>
          <cell r="K326">
            <v>0</v>
          </cell>
          <cell r="L326">
            <v>0</v>
          </cell>
          <cell r="M326">
            <v>400000</v>
          </cell>
          <cell r="N326">
            <v>400000</v>
          </cell>
          <cell r="O326">
            <v>400000</v>
          </cell>
          <cell r="P326">
            <v>0</v>
          </cell>
          <cell r="Q326">
            <v>1000000</v>
          </cell>
        </row>
        <row r="327">
          <cell r="J327">
            <v>0</v>
          </cell>
          <cell r="K327">
            <v>0</v>
          </cell>
          <cell r="L327">
            <v>0</v>
          </cell>
          <cell r="M327">
            <v>400000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</row>
        <row r="328">
          <cell r="J328">
            <v>0</v>
          </cell>
          <cell r="K328">
            <v>0</v>
          </cell>
          <cell r="L328">
            <v>0</v>
          </cell>
          <cell r="M328">
            <v>400000</v>
          </cell>
          <cell r="N328">
            <v>0</v>
          </cell>
          <cell r="O328">
            <v>400000</v>
          </cell>
          <cell r="P328">
            <v>400000</v>
          </cell>
          <cell r="Q328">
            <v>0</v>
          </cell>
        </row>
        <row r="329">
          <cell r="J329">
            <v>0</v>
          </cell>
          <cell r="K329">
            <v>0</v>
          </cell>
          <cell r="L329">
            <v>0</v>
          </cell>
          <cell r="M329">
            <v>400000</v>
          </cell>
          <cell r="N329">
            <v>0</v>
          </cell>
          <cell r="O329">
            <v>400000</v>
          </cell>
          <cell r="P329">
            <v>400000</v>
          </cell>
          <cell r="Q329">
            <v>0</v>
          </cell>
        </row>
        <row r="330">
          <cell r="J330">
            <v>0</v>
          </cell>
          <cell r="K330">
            <v>0</v>
          </cell>
          <cell r="L330">
            <v>0</v>
          </cell>
          <cell r="M330">
            <v>100000</v>
          </cell>
          <cell r="N330">
            <v>0</v>
          </cell>
          <cell r="O330">
            <v>100000</v>
          </cell>
          <cell r="P330">
            <v>100000</v>
          </cell>
          <cell r="Q330">
            <v>0</v>
          </cell>
        </row>
        <row r="331">
          <cell r="J331">
            <v>0</v>
          </cell>
          <cell r="K331">
            <v>0</v>
          </cell>
          <cell r="L331">
            <v>0</v>
          </cell>
          <cell r="M331">
            <v>60000</v>
          </cell>
          <cell r="N331">
            <v>0</v>
          </cell>
          <cell r="O331">
            <v>0</v>
          </cell>
          <cell r="P331">
            <v>30000</v>
          </cell>
          <cell r="Q331">
            <v>0</v>
          </cell>
        </row>
        <row r="332">
          <cell r="J332">
            <v>0</v>
          </cell>
          <cell r="K332">
            <v>0</v>
          </cell>
          <cell r="L332">
            <v>0</v>
          </cell>
          <cell r="M332">
            <v>75000</v>
          </cell>
          <cell r="N332">
            <v>0</v>
          </cell>
          <cell r="O332">
            <v>90000</v>
          </cell>
          <cell r="P332">
            <v>50000</v>
          </cell>
          <cell r="Q332">
            <v>0</v>
          </cell>
        </row>
        <row r="333">
          <cell r="J333">
            <v>0</v>
          </cell>
          <cell r="K333">
            <v>0</v>
          </cell>
          <cell r="L333">
            <v>0</v>
          </cell>
          <cell r="M333">
            <v>400000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</row>
        <row r="334">
          <cell r="J334">
            <v>0</v>
          </cell>
          <cell r="K334">
            <v>0</v>
          </cell>
          <cell r="L334">
            <v>0</v>
          </cell>
          <cell r="M334">
            <v>400000</v>
          </cell>
          <cell r="N334">
            <v>400000</v>
          </cell>
          <cell r="O334">
            <v>400000</v>
          </cell>
          <cell r="P334">
            <v>400000</v>
          </cell>
          <cell r="Q334">
            <v>0</v>
          </cell>
        </row>
        <row r="335">
          <cell r="J335">
            <v>0</v>
          </cell>
          <cell r="K335">
            <v>0</v>
          </cell>
          <cell r="L335">
            <v>0</v>
          </cell>
          <cell r="M335">
            <v>150000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</row>
        <row r="336">
          <cell r="J336">
            <v>0</v>
          </cell>
          <cell r="K336">
            <v>0</v>
          </cell>
          <cell r="L336">
            <v>0</v>
          </cell>
          <cell r="M336">
            <v>800000</v>
          </cell>
          <cell r="N336">
            <v>0</v>
          </cell>
          <cell r="O336">
            <v>0</v>
          </cell>
          <cell r="P336">
            <v>0</v>
          </cell>
          <cell r="Q336">
            <v>400000</v>
          </cell>
        </row>
        <row r="337">
          <cell r="J337">
            <v>0</v>
          </cell>
          <cell r="K337">
            <v>0</v>
          </cell>
          <cell r="L337">
            <v>0</v>
          </cell>
          <cell r="M337">
            <v>400000</v>
          </cell>
          <cell r="N337">
            <v>400000</v>
          </cell>
          <cell r="O337">
            <v>0</v>
          </cell>
          <cell r="P337">
            <v>0</v>
          </cell>
          <cell r="Q337">
            <v>0</v>
          </cell>
        </row>
        <row r="338">
          <cell r="J338">
            <v>0</v>
          </cell>
          <cell r="K338">
            <v>0</v>
          </cell>
          <cell r="L338">
            <v>0</v>
          </cell>
          <cell r="M338">
            <v>400000</v>
          </cell>
          <cell r="N338">
            <v>400000</v>
          </cell>
          <cell r="O338">
            <v>0</v>
          </cell>
          <cell r="P338">
            <v>0</v>
          </cell>
          <cell r="Q338">
            <v>0</v>
          </cell>
        </row>
        <row r="339">
          <cell r="J339">
            <v>0</v>
          </cell>
          <cell r="K339">
            <v>0</v>
          </cell>
          <cell r="L339">
            <v>0</v>
          </cell>
          <cell r="M339">
            <v>400000</v>
          </cell>
          <cell r="N339">
            <v>400000</v>
          </cell>
          <cell r="O339">
            <v>400000</v>
          </cell>
          <cell r="P339">
            <v>0</v>
          </cell>
          <cell r="Q339">
            <v>400000</v>
          </cell>
        </row>
        <row r="340">
          <cell r="J340">
            <v>0</v>
          </cell>
          <cell r="K340">
            <v>0</v>
          </cell>
          <cell r="L340">
            <v>0</v>
          </cell>
          <cell r="M340">
            <v>100000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</row>
        <row r="341">
          <cell r="J341">
            <v>0</v>
          </cell>
          <cell r="K341">
            <v>0</v>
          </cell>
          <cell r="L341">
            <v>0</v>
          </cell>
          <cell r="M341">
            <v>400000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</row>
        <row r="342">
          <cell r="J342">
            <v>0</v>
          </cell>
          <cell r="K342">
            <v>0</v>
          </cell>
          <cell r="L342">
            <v>0</v>
          </cell>
          <cell r="M342">
            <v>400000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</row>
        <row r="343">
          <cell r="J343">
            <v>0</v>
          </cell>
          <cell r="K343">
            <v>0</v>
          </cell>
          <cell r="L343">
            <v>0</v>
          </cell>
          <cell r="M343">
            <v>200000</v>
          </cell>
          <cell r="N343">
            <v>200000</v>
          </cell>
          <cell r="O343">
            <v>400000</v>
          </cell>
          <cell r="P343">
            <v>0</v>
          </cell>
          <cell r="Q343">
            <v>0</v>
          </cell>
        </row>
        <row r="344"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800000</v>
          </cell>
          <cell r="O344">
            <v>0</v>
          </cell>
          <cell r="P344">
            <v>0</v>
          </cell>
          <cell r="Q344">
            <v>400000</v>
          </cell>
        </row>
        <row r="345"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400000</v>
          </cell>
          <cell r="O345">
            <v>400000</v>
          </cell>
          <cell r="P345">
            <v>0</v>
          </cell>
          <cell r="Q345">
            <v>0</v>
          </cell>
        </row>
        <row r="346"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1600000</v>
          </cell>
          <cell r="O346">
            <v>400000</v>
          </cell>
          <cell r="P346">
            <v>0</v>
          </cell>
          <cell r="Q346">
            <v>0</v>
          </cell>
        </row>
        <row r="347"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400000</v>
          </cell>
          <cell r="O347">
            <v>0</v>
          </cell>
          <cell r="P347">
            <v>0</v>
          </cell>
          <cell r="Q347">
            <v>500000</v>
          </cell>
        </row>
        <row r="348"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400000</v>
          </cell>
          <cell r="O348">
            <v>800000</v>
          </cell>
          <cell r="P348">
            <v>800000</v>
          </cell>
          <cell r="Q348">
            <v>800000</v>
          </cell>
        </row>
        <row r="349"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800000</v>
          </cell>
          <cell r="P349">
            <v>0</v>
          </cell>
          <cell r="Q349">
            <v>0</v>
          </cell>
        </row>
        <row r="350"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400000</v>
          </cell>
          <cell r="P350">
            <v>0</v>
          </cell>
          <cell r="Q350">
            <v>0</v>
          </cell>
        </row>
        <row r="351"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400000</v>
          </cell>
          <cell r="P351">
            <v>0</v>
          </cell>
          <cell r="Q351">
            <v>0</v>
          </cell>
        </row>
        <row r="352"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300000</v>
          </cell>
          <cell r="P352">
            <v>0</v>
          </cell>
          <cell r="Q352">
            <v>0</v>
          </cell>
        </row>
        <row r="353"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18359000</v>
          </cell>
          <cell r="P353">
            <v>0</v>
          </cell>
          <cell r="Q353">
            <v>0</v>
          </cell>
        </row>
        <row r="354"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8860000</v>
          </cell>
          <cell r="P354">
            <v>0</v>
          </cell>
          <cell r="Q354">
            <v>0</v>
          </cell>
        </row>
        <row r="355"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550000</v>
          </cell>
          <cell r="P355">
            <v>0</v>
          </cell>
          <cell r="Q355">
            <v>0</v>
          </cell>
        </row>
        <row r="356"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400000</v>
          </cell>
          <cell r="P356">
            <v>400000</v>
          </cell>
          <cell r="Q356">
            <v>0</v>
          </cell>
        </row>
        <row r="357"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800000</v>
          </cell>
          <cell r="Q357">
            <v>0</v>
          </cell>
        </row>
        <row r="358"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400000</v>
          </cell>
          <cell r="Q358">
            <v>400000</v>
          </cell>
        </row>
        <row r="359"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400000</v>
          </cell>
          <cell r="Q359">
            <v>0</v>
          </cell>
        </row>
        <row r="360"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20000</v>
          </cell>
          <cell r="Q360">
            <v>0</v>
          </cell>
        </row>
        <row r="361"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200000</v>
          </cell>
          <cell r="Q361">
            <v>0</v>
          </cell>
        </row>
        <row r="362"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400000</v>
          </cell>
          <cell r="Q362">
            <v>0</v>
          </cell>
        </row>
        <row r="363"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400000</v>
          </cell>
          <cell r="Q363">
            <v>0</v>
          </cell>
        </row>
        <row r="364"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200000</v>
          </cell>
          <cell r="Q364">
            <v>0</v>
          </cell>
        </row>
        <row r="365"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6855000</v>
          </cell>
          <cell r="Q365">
            <v>0</v>
          </cell>
        </row>
        <row r="366"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400000</v>
          </cell>
          <cell r="Q366">
            <v>0</v>
          </cell>
        </row>
        <row r="367"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400000</v>
          </cell>
          <cell r="Q367">
            <v>0</v>
          </cell>
        </row>
        <row r="368"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400000</v>
          </cell>
          <cell r="Q368">
            <v>0</v>
          </cell>
        </row>
        <row r="369"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400000</v>
          </cell>
        </row>
        <row r="370"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400000</v>
          </cell>
        </row>
        <row r="371"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400000</v>
          </cell>
        </row>
        <row r="372"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400000</v>
          </cell>
        </row>
        <row r="373"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11081664</v>
          </cell>
          <cell r="Q373">
            <v>0</v>
          </cell>
        </row>
        <row r="374"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6000000</v>
          </cell>
        </row>
        <row r="375"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200000</v>
          </cell>
        </row>
        <row r="376"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200000</v>
          </cell>
        </row>
        <row r="377"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400000</v>
          </cell>
        </row>
        <row r="378"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400000</v>
          </cell>
        </row>
        <row r="379"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400000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904348958335" createdVersion="7" refreshedVersion="7" minRefreshableVersion="3" recordCount="73" xr:uid="{24B2E178-0E39-4A37-B20F-DF273491039B}">
  <cacheSource type="worksheet">
    <worksheetSource ref="B4:V81" sheet="Gastos"/>
  </cacheSource>
  <cacheFields count="21">
    <cacheField name="CLASIF" numFmtId="0">
      <sharedItems containsBlank="1" count="16">
        <s v="OFRENDA"/>
        <s v="DEUDA FONDO"/>
        <s v="PAC"/>
        <s v="CEPEV"/>
        <s v="BRASIL"/>
        <s v="INVERSIONISTAS"/>
        <s v="PEDRO D"/>
        <s v="EAV"/>
        <s v="COSTA RICA"/>
        <s v="CUBA"/>
        <s v="IVPT"/>
        <s v="PANAMA"/>
        <s v="VUELOS"/>
        <s v="JULIO S"/>
        <s v="VALLEDUPAR"/>
        <m/>
      </sharedItems>
    </cacheField>
    <cacheField name="NOMBRES" numFmtId="0">
      <sharedItems containsBlank="1"/>
    </cacheField>
    <cacheField name="NO. IDENTIFICACION" numFmtId="0">
      <sharedItems containsNonDate="0" containsString="0" containsBlank="1"/>
    </cacheField>
    <cacheField name="NO. CELULAR" numFmtId="0">
      <sharedItems containsNonDate="0" containsString="0" containsBlank="1"/>
    </cacheField>
    <cacheField name="LOCALIDAD" numFmtId="0">
      <sharedItems containsNonDate="0" containsString="0" containsBlank="1"/>
    </cacheField>
    <cacheField name="No. Cuotas" numFmtId="0">
      <sharedItems containsNonDate="0" containsString="0" containsBlank="1"/>
    </cacheField>
    <cacheField name="SALDO A DIC2024" numFmtId="0">
      <sharedItems containsString="0" containsBlank="1" containsNumber="1" containsInteger="1" minValue="-66545722" maxValue="0"/>
    </cacheField>
    <cacheField name="FORMA" numFmtId="0">
      <sharedItems containsBlank="1"/>
    </cacheField>
    <cacheField name="TIPO DE MOVIMIENTO" numFmtId="0">
      <sharedItems containsBlank="1"/>
    </cacheField>
    <cacheField name="ENERO" numFmtId="0">
      <sharedItems containsString="0" containsBlank="1" containsNumber="1" containsInteger="1" minValue="-12177000" maxValue="-1477000"/>
    </cacheField>
    <cacheField name="FEBRERO" numFmtId="0">
      <sharedItems containsString="0" containsBlank="1" containsNumber="1" containsInteger="1" minValue="-17788400" maxValue="-1667500"/>
    </cacheField>
    <cacheField name="MARZO" numFmtId="0">
      <sharedItems containsString="0" containsBlank="1" containsNumber="1" containsInteger="1" minValue="-42946000" maxValue="-1100000"/>
    </cacheField>
    <cacheField name="ABRIL " numFmtId="0">
      <sharedItems containsString="0" containsBlank="1" containsNumber="1" containsInteger="1" minValue="-54376900" maxValue="-592000"/>
    </cacheField>
    <cacheField name="MAYO" numFmtId="0">
      <sharedItems containsString="0" containsBlank="1" containsNumber="1" containsInteger="1" minValue="-34360800" maxValue="-3000000"/>
    </cacheField>
    <cacheField name="JUNIO" numFmtId="0">
      <sharedItems containsString="0" containsBlank="1" containsNumber="1" containsInteger="1" minValue="-65400000" maxValue="-1000000"/>
    </cacheField>
    <cacheField name="JULIO" numFmtId="0">
      <sharedItems containsString="0" containsBlank="1" containsNumber="1" containsInteger="1" minValue="-43124340" maxValue="-1000000"/>
    </cacheField>
    <cacheField name="AGOSTO" numFmtId="0">
      <sharedItems containsString="0" containsBlank="1" containsNumber="1" containsInteger="1" minValue="-35013740" maxValue="-459000"/>
    </cacheField>
    <cacheField name="SEPTIEMBRE" numFmtId="0">
      <sharedItems containsString="0" containsBlank="1" containsNumber="1" containsInteger="1" minValue="-14334120" maxValue="-2284620"/>
    </cacheField>
    <cacheField name="OCTUBRE" numFmtId="0">
      <sharedItems containsString="0" containsBlank="1" containsNumber="1" containsInteger="1" minValue="-62520903" maxValue="-572600"/>
    </cacheField>
    <cacheField name="NOVIEMBRE" numFmtId="0">
      <sharedItems containsString="0" containsBlank="1" containsNumber="1" containsInteger="1" minValue="-13131740" maxValue="-41900"/>
    </cacheField>
    <cacheField name="DICIEMBRE" numFmtId="0">
      <sharedItems containsString="0" containsBlank="1" containsNumber="1" containsInteger="1" minValue="-67827550" maxValue="-34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6.295211458331" createdVersion="7" refreshedVersion="7" minRefreshableVersion="3" recordCount="293" xr:uid="{22267C88-BAC3-476E-9864-E7E493134DDB}">
  <cacheSource type="worksheet">
    <worksheetSource ref="A4:Z297" sheet="Base Inversionistas"/>
  </cacheSource>
  <cacheFields count="26">
    <cacheField name="NO." numFmtId="0">
      <sharedItems containsString="0" containsBlank="1" containsNumber="1" containsInteger="1" minValue="1" maxValue="273"/>
    </cacheField>
    <cacheField name="NOMBRES" numFmtId="0">
      <sharedItems containsBlank="1"/>
    </cacheField>
    <cacheField name="NO. IDENTIFICACION" numFmtId="0">
      <sharedItems containsBlank="1" containsMixedTypes="1" containsNumber="1" containsInteger="1" minValue="860606" maxValue="1143355775"/>
    </cacheField>
    <cacheField name="NO. CELULAR" numFmtId="0">
      <sharedItems containsBlank="1" containsMixedTypes="1" containsNumber="1" containsInteger="1" minValue="88284263" maxValue="31844096518"/>
    </cacheField>
    <cacheField name="LOCALIDAD" numFmtId="0">
      <sharedItems containsBlank="1" count="70">
        <s v="Medellin"/>
        <m/>
        <s v="BOGOTA"/>
        <s v="Girardota"/>
        <s v="CHOCO"/>
        <s v="CUCUTA"/>
        <s v="DOSQUEBRADAS"/>
        <s v="NEIVA"/>
        <s v="LOS PATIOS"/>
        <s v="PAMPLONA"/>
        <s v="OCAÑA"/>
        <s v="SINCELEJO"/>
        <s v="ENVIGADO"/>
        <s v="Barranquilla"/>
        <s v="Bolivar"/>
        <s v="Bucaramanga"/>
        <s v="Cartago"/>
        <s v="Cordoba"/>
        <s v="Girardot"/>
        <s v="Itagui"/>
        <s v="Itsmina"/>
        <s v="La mina"/>
        <s v="Malambo"/>
        <s v="Pereira"/>
        <s v="QUIBDO"/>
        <s v="Riohacha"/>
        <s v="Rivera"/>
        <s v="Soledad"/>
        <s v="Sta marta"/>
        <s v="Suan"/>
        <s v="Turbaco"/>
        <s v="Ubate"/>
        <s v="Valledupar"/>
        <s v="Villavicencio"/>
        <s v="Villa del Rosario"/>
        <s v="Tulua"/>
        <s v="Armenia"/>
        <s v="CARTAGENA"/>
        <s v="Monteria"/>
        <s v="SOACHA"/>
        <s v="ZIPAQUIRA"/>
        <s v="CHIQUINQUIRA"/>
        <s v="IBAGUE"/>
        <s v="PUERTO C"/>
        <s v="Bayunca"/>
        <s v="MEDELLIN "/>
        <s v="Quibdó"/>
        <s v="VIOTA"/>
        <s v="YOPAL"/>
        <s v="YARUMAL"/>
        <s v="TUNJA"/>
        <s v="CHIGORODO"/>
        <s v="RIONEGRO"/>
        <s v="CALI"/>
        <s v="ANTIOQUIA"/>
        <s v="SUTATAUSA"/>
        <s v="FUQUENE"/>
        <s v="CUCUNUBA"/>
        <s v="NEMOCON"/>
        <s v="MONTERÍA"/>
        <s v="SANTA LUCÍA"/>
        <s v="CERETÉ"/>
        <s v="PLANETA RICA"/>
        <s v="SANTA LUCIA"/>
        <s v="SOGAMOSO"/>
        <s v="BELLO"/>
        <s v="SAN JUAN"/>
        <s v="B/Manga" u="1"/>
        <s v="Bogotá" u="1"/>
        <s v="ARJONA" u="1"/>
      </sharedItems>
    </cacheField>
    <cacheField name="No. Cuotas" numFmtId="0">
      <sharedItems containsString="0" containsBlank="1" containsNumber="1" containsInteger="1" minValue="1" maxValue="3"/>
    </cacheField>
    <cacheField name="SALDO A DIC2024" numFmtId="0">
      <sharedItems containsString="0" containsBlank="1" containsNumber="1" containsInteger="1" minValue="-400000" maxValue="102168000"/>
    </cacheField>
    <cacheField name="FORMA" numFmtId="0">
      <sharedItems containsBlank="1"/>
    </cacheField>
    <cacheField name="TIPO DE MOVIMIENTO" numFmtId="0">
      <sharedItems containsBlank="1"/>
    </cacheField>
    <cacheField name="ENERO" numFmtId="0">
      <sharedItems containsString="0" containsBlank="1" containsNumber="1" containsInteger="1" minValue="100000" maxValue="23082000"/>
    </cacheField>
    <cacheField name="FEBRERO" numFmtId="0">
      <sharedItems containsString="0" containsBlank="1" containsNumber="1" containsInteger="1" minValue="0" maxValue="19771600"/>
    </cacheField>
    <cacheField name="MARZO" numFmtId="0">
      <sharedItems containsString="0" containsBlank="1" containsNumber="1" containsInteger="1" minValue="100000" maxValue="40867000"/>
    </cacheField>
    <cacheField name="ABRIL " numFmtId="0">
      <sharedItems containsString="0" containsBlank="1" containsNumber="1" containsInteger="1" minValue="100000" maxValue="42217250"/>
    </cacheField>
    <cacheField name="MAYO" numFmtId="0">
      <sharedItems containsString="0" containsBlank="1" containsNumber="1" containsInteger="1" minValue="100000" maxValue="53415000"/>
    </cacheField>
    <cacheField name="JUNIO" numFmtId="0">
      <sharedItems containsString="0" containsBlank="1" containsNumber="1" containsInteger="1" minValue="100000" maxValue="34625000"/>
    </cacheField>
    <cacheField name="JULIO" numFmtId="0">
      <sharedItems containsString="0" containsBlank="1" containsNumber="1" containsInteger="1" minValue="0" maxValue="47793000"/>
    </cacheField>
    <cacheField name="AGOSTO" numFmtId="0">
      <sharedItems containsString="0" containsBlank="1" containsNumber="1" containsInteger="1" minValue="70000" maxValue="55225000"/>
    </cacheField>
    <cacheField name="SEPTIEMBRE" numFmtId="0">
      <sharedItems containsSemiMixedTypes="0" containsString="0" containsNumber="1" containsInteger="1" minValue="0" maxValue="63734000"/>
    </cacheField>
    <cacheField name="OCTUBRE" numFmtId="0">
      <sharedItems containsSemiMixedTypes="0" containsString="0" containsNumber="1" containsInteger="1" minValue="0" maxValue="70300000"/>
    </cacheField>
    <cacheField name="NOVIEMBRE" numFmtId="0">
      <sharedItems containsSemiMixedTypes="0" containsString="0" containsNumber="1" containsInteger="1" minValue="0" maxValue="92819059"/>
    </cacheField>
    <cacheField name="DICIEMBRE" numFmtId="0">
      <sharedItems containsSemiMixedTypes="0" containsString="0" containsNumber="1" containsInteger="1" minValue="0" maxValue="93925000"/>
    </cacheField>
    <cacheField name="ENERO2" numFmtId="0">
      <sharedItems containsMixedTypes="1" containsNumber="1" containsInteger="1" minValue="0" maxValue="4800000"/>
    </cacheField>
    <cacheField name="Total_Aportes" numFmtId="0">
      <sharedItems containsBlank="1" containsMixedTypes="1" containsNumber="1" containsInteger="1" minValue="0" maxValue="58840000"/>
    </cacheField>
    <cacheField name="Cuotas_Calculadas" numFmtId="0">
      <sharedItems containsBlank="1" containsMixedTypes="1" containsNumber="1" minValue="0" maxValue="147.1"/>
    </cacheField>
    <cacheField name="Meses_Con_Aporte" numFmtId="0">
      <sharedItems containsString="0" containsBlank="1" containsNumber="1" containsInteger="1" minValue="0" maxValue="13"/>
    </cacheField>
    <cacheField name="Cuotas_Enteras" numFmtId="0">
      <sharedItems containsBlank="1" containsMixedTypes="1" containsNumber="1" containsInteger="1" minValue="0" maxValue="1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64.883883680559" createdVersion="7" refreshedVersion="7" minRefreshableVersion="3" recordCount="362" xr:uid="{30E400DB-7514-44DB-BE22-26C321175111}">
  <cacheSource type="worksheet">
    <worksheetSource ref="A4:Y400" sheet="Base Inversionistas 26"/>
  </cacheSource>
  <cacheFields count="25">
    <cacheField name="NO." numFmtId="0">
      <sharedItems containsSemiMixedTypes="0" containsString="0" containsNumber="1" containsInteger="1" minValue="1" maxValue="362"/>
    </cacheField>
    <cacheField name="NOMBRES" numFmtId="0">
      <sharedItems containsBlank="1"/>
    </cacheField>
    <cacheField name="NO. IDENTIFICACION" numFmtId="0">
      <sharedItems containsBlank="1" containsMixedTypes="1" containsNumber="1" containsInteger="1" minValue="860606" maxValue="10667593528"/>
    </cacheField>
    <cacheField name="NO. CELULAR" numFmtId="0">
      <sharedItems containsBlank="1" containsMixedTypes="1" containsNumber="1" containsInteger="1" minValue="88284263" maxValue="31844096518"/>
    </cacheField>
    <cacheField name="LOCALIDAD" numFmtId="0">
      <sharedItems containsBlank="1" count="78">
        <s v="MEDELLIN"/>
        <m/>
        <s v="BOGOTA"/>
        <s v="Girardota"/>
        <s v="QUIBDO"/>
        <s v="CUCUTA"/>
        <s v="DOSQUEBRADAS"/>
        <s v="LOS PATIOS"/>
        <s v="PAMPLONA"/>
        <s v="OCAÑA"/>
        <s v="SINCELEJO"/>
        <s v="ENVIGADO"/>
        <s v="Barranquilla"/>
        <s v="Bolivar"/>
        <s v="BUCARAMANGA"/>
        <s v="Cartago"/>
        <s v="Cordoba"/>
        <s v="Girardot"/>
        <s v="Itagui"/>
        <s v="ITSMINA"/>
        <s v="La mina"/>
        <s v="Malambo"/>
        <s v="Neiva"/>
        <s v="Pereira"/>
        <s v="Riohacha"/>
        <s v="Rivera"/>
        <s v="Soledad"/>
        <s v="Sta marta"/>
        <s v="Suan"/>
        <s v="Turbaco"/>
        <s v="Ubate"/>
        <s v="Valledupar"/>
        <s v="Villavicencio"/>
        <s v="Villa del Rosario"/>
        <s v="Tulua"/>
        <s v="Armenia"/>
        <s v="CARTAGENA"/>
        <s v="Monteria"/>
        <s v="SOACHA"/>
        <s v="CHIQUINQUIRA"/>
        <s v="IBAGUE"/>
        <s v="PTO. COLOM"/>
        <s v="Bayunca"/>
        <s v="Viota"/>
        <s v="Yopal"/>
        <s v="YARUMAL"/>
        <s v="TUNJA"/>
        <s v="CHIGORODO"/>
        <s v="CALI"/>
        <s v="ANTIOQUIA"/>
        <s v="SUTATAUSA"/>
        <s v="FUQUENE"/>
        <s v="CUCUNUBA"/>
        <s v="NEMOCON"/>
        <s v="ZIPAQUIRA"/>
        <s v="MONTERÍA"/>
        <s v="SANTA LUCÍA"/>
        <s v="CERETÉ"/>
        <s v="PLANETA RICA"/>
        <s v="SANTA LUCIA"/>
        <s v="SOGAMOSO"/>
        <s v="RIONEGRO"/>
        <s v="BELLO"/>
        <s v="SAN JUAN"/>
        <s v="VILLA"/>
        <s v="CESAR"/>
        <s v="META"/>
        <s v="PITALITO"/>
        <s v="V. ROSARIO"/>
        <s v="TUBARA"/>
        <s v="BUGA"/>
        <s v="JAMUNDI"/>
        <s v="CHOCO" u="1"/>
        <s v="BOGOT" u="1"/>
        <s v="Bogotá" u="1"/>
        <s v="Quibdó" u="1"/>
        <s v="B/Manga" u="1"/>
        <s v="MEDELLIN " u="1"/>
      </sharedItems>
    </cacheField>
    <cacheField name="No. Cuotas" numFmtId="0">
      <sharedItems containsString="0" containsBlank="1" containsNumber="1" containsInteger="1" minValue="1" maxValue="3"/>
    </cacheField>
    <cacheField name="SALDO A DIC2024" numFmtId="0">
      <sharedItems containsString="0" containsBlank="1" containsNumber="1" containsInteger="1" minValue="0" maxValue="62180000"/>
    </cacheField>
    <cacheField name="FORMA" numFmtId="0">
      <sharedItems containsBlank="1"/>
    </cacheField>
    <cacheField name="TIPO DE MOVIMIENTO" numFmtId="0">
      <sharedItems containsBlank="1"/>
    </cacheField>
    <cacheField name="ENERO" numFmtId="44">
      <sharedItems containsSemiMixedTypes="0" containsString="0" containsNumber="1" containsInteger="1" minValue="0" maxValue="11250000"/>
    </cacheField>
    <cacheField name="FEBRERO" numFmtId="44">
      <sharedItems containsSemiMixedTypes="0" containsString="0" containsNumber="1" containsInteger="1" minValue="0" maxValue="15000000"/>
    </cacheField>
    <cacheField name="MARZO" numFmtId="44">
      <sharedItems containsSemiMixedTypes="0" containsString="0" containsNumber="1" containsInteger="1" minValue="0" maxValue="10800000"/>
    </cacheField>
    <cacheField name="ABRIL " numFmtId="44">
      <sharedItems containsSemiMixedTypes="0" containsString="0" containsNumber="1" containsInteger="1" minValue="0" maxValue="12000000"/>
    </cacheField>
    <cacheField name="MAYO" numFmtId="44">
      <sharedItems containsSemiMixedTypes="0" containsString="0" containsNumber="1" containsInteger="1" minValue="0" maxValue="12400000"/>
    </cacheField>
    <cacheField name="JUNIO" numFmtId="44">
      <sharedItems containsNonDate="0" containsString="0" containsBlank="1"/>
    </cacheField>
    <cacheField name="JULIO" numFmtId="44">
      <sharedItems containsNonDate="0" containsString="0" containsBlank="1"/>
    </cacheField>
    <cacheField name="AGOSTO" numFmtId="44">
      <sharedItems containsNonDate="0" containsString="0" containsBlank="1"/>
    </cacheField>
    <cacheField name="SEPTIEMBRE" numFmtId="44">
      <sharedItems containsNonDate="0" containsString="0" containsBlank="1"/>
    </cacheField>
    <cacheField name="OCTUBRE" numFmtId="44">
      <sharedItems containsNonDate="0" containsString="0" containsBlank="1"/>
    </cacheField>
    <cacheField name="NOVIEMBRE" numFmtId="44">
      <sharedItems containsNonDate="0" containsString="0" containsBlank="1"/>
    </cacheField>
    <cacheField name="DICIEMBRE" numFmtId="44">
      <sharedItems containsNonDate="0" containsString="0" containsBlank="1"/>
    </cacheField>
    <cacheField name="Total_Aportes" numFmtId="44">
      <sharedItems containsSemiMixedTypes="0" containsString="0" containsNumber="1" containsInteger="1" minValue="0" maxValue="36000000"/>
    </cacheField>
    <cacheField name="Cuotas_Calculadas" numFmtId="0">
      <sharedItems containsSemiMixedTypes="0" containsString="0" containsNumber="1" minValue="0" maxValue="90"/>
    </cacheField>
    <cacheField name="Meses_Con_Aporte" numFmtId="0">
      <sharedItems containsSemiMixedTypes="0" containsString="0" containsNumber="1" containsInteger="1" minValue="0" maxValue="5"/>
    </cacheField>
    <cacheField name="Cuotas_Enteras" numFmtId="0">
      <sharedItems containsSemiMixedTypes="0" containsString="0" containsNumber="1" containsInteger="1" minValue="0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8.933546064814" createdVersion="7" refreshedVersion="7" minRefreshableVersion="3" recordCount="110" xr:uid="{054C8A18-37D4-4634-8A3D-31542C67B7C3}">
  <cacheSource type="worksheet">
    <worksheetSource ref="B4:V122" sheet="Gastos 26"/>
  </cacheSource>
  <cacheFields count="21">
    <cacheField name="CLASIF" numFmtId="0">
      <sharedItems containsBlank="1" count="20">
        <s v="OFRENDA"/>
        <s v="DEUDA FONDO"/>
        <s v="PAC"/>
        <s v="CEPEV"/>
        <s v="BRASIL"/>
        <s v="INVERSIONISTAS"/>
        <s v="PEDRO D"/>
        <s v="EAV"/>
        <s v="COSTA RICA"/>
        <s v="CUBA"/>
        <s v="IVPT"/>
        <s v="PANAMA"/>
        <s v="VUELOS"/>
        <s v="JULIO S"/>
        <s v="VALLEDUPAR"/>
        <s v="INTERNO"/>
        <s v="GUATEMALA"/>
        <s v="OTROS"/>
        <s v="OBRA COL"/>
        <m/>
      </sharedItems>
    </cacheField>
    <cacheField name="NOMBRES" numFmtId="0">
      <sharedItems containsBlank="1"/>
    </cacheField>
    <cacheField name="NO. IDENTIFICACION" numFmtId="0">
      <sharedItems containsNonDate="0" containsString="0" containsBlank="1"/>
    </cacheField>
    <cacheField name="NO. CELULAR" numFmtId="0">
      <sharedItems containsNonDate="0" containsString="0" containsBlank="1"/>
    </cacheField>
    <cacheField name="LOCALIDAD" numFmtId="0">
      <sharedItems containsNonDate="0" containsString="0" containsBlank="1"/>
    </cacheField>
    <cacheField name="No. Cuotas" numFmtId="0">
      <sharedItems containsNonDate="0" containsString="0" containsBlank="1"/>
    </cacheField>
    <cacheField name="SALDO A DIC2024" numFmtId="0">
      <sharedItems containsString="0" containsBlank="1" containsNumber="1" containsInteger="1" minValue="-20000000" maxValue="0"/>
    </cacheField>
    <cacheField name="FORMA" numFmtId="0">
      <sharedItems containsBlank="1"/>
    </cacheField>
    <cacheField name="TIPO DE MOVIMIENTO" numFmtId="0">
      <sharedItems/>
    </cacheField>
    <cacheField name="ENERO" numFmtId="0">
      <sharedItems containsString="0" containsBlank="1" containsNumber="1" containsInteger="1" minValue="-7624000" maxValue="0"/>
    </cacheField>
    <cacheField name="FEBRERO" numFmtId="0">
      <sharedItems containsBlank="1" containsMixedTypes="1" containsNumber="1" containsInteger="1" minValue="-60897000" maxValue="0"/>
    </cacheField>
    <cacheField name="MARZO" numFmtId="0">
      <sharedItems containsString="0" containsBlank="1" containsNumber="1" containsInteger="1" minValue="-40000000" maxValue="1000000"/>
    </cacheField>
    <cacheField name="ABRIL " numFmtId="0">
      <sharedItems containsString="0" containsBlank="1" containsNumber="1" containsInteger="1" minValue="-33600000" maxValue="-46300"/>
    </cacheField>
    <cacheField name="MAYO" numFmtId="0">
      <sharedItems containsString="0" containsBlank="1" containsNumber="1" containsInteger="1" minValue="-67327516" maxValue="-55300"/>
    </cacheField>
    <cacheField name="JUNIO" numFmtId="0">
      <sharedItems containsString="0" containsBlank="1" containsNumber="1" containsInteger="1" minValue="-37882873" maxValue="-46300"/>
    </cacheField>
    <cacheField name="JULIO" numFmtId="0">
      <sharedItems containsString="0" containsBlank="1" containsNumber="1" containsInteger="1" minValue="-41493250" maxValue="-55300"/>
    </cacheField>
    <cacheField name="AGOSTO" numFmtId="0">
      <sharedItems containsString="0" containsBlank="1" containsNumber="1" containsInteger="1" minValue="-39128787" maxValue="-46300"/>
    </cacheField>
    <cacheField name="SEPTIEMBRE" numFmtId="0">
      <sharedItems containsNonDate="0" containsString="0" containsBlank="1"/>
    </cacheField>
    <cacheField name="OCTUBRE" numFmtId="0">
      <sharedItems containsNonDate="0" containsString="0" containsBlank="1"/>
    </cacheField>
    <cacheField name="NOVIEMBRE" numFmtId="0">
      <sharedItems containsNonDate="0" containsString="0" containsBlank="1"/>
    </cacheField>
    <cacheField name="DICIEMBRE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s v="OFRENDA JORGE LUIS BARRIOS "/>
    <m/>
    <m/>
    <m/>
    <m/>
    <m/>
    <m/>
    <s v="CREDITO"/>
    <m/>
    <m/>
    <m/>
    <m/>
    <m/>
    <m/>
    <n v="-2600000"/>
    <m/>
    <m/>
    <m/>
    <m/>
    <m/>
  </r>
  <r>
    <x v="1"/>
    <s v="DEUDA COLPORTAJE "/>
    <m/>
    <m/>
    <m/>
    <m/>
    <m/>
    <m/>
    <s v="CREDITO"/>
    <n v="-3000000"/>
    <n v="-3000000"/>
    <n v="-3000000"/>
    <n v="-3000000"/>
    <n v="-3000000"/>
    <n v="-3000000"/>
    <n v="-3000000"/>
    <n v="-3000000"/>
    <n v="-3000000"/>
    <n v="-3000000"/>
    <n v="-3000000"/>
    <n v="-3000000"/>
  </r>
  <r>
    <x v="2"/>
    <s v="APOYO CASA PAC "/>
    <m/>
    <m/>
    <m/>
    <m/>
    <n v="-12000000"/>
    <m/>
    <s v="DEBITO"/>
    <n v="-2700000"/>
    <n v="-3500000"/>
    <m/>
    <m/>
    <m/>
    <m/>
    <m/>
    <m/>
    <m/>
    <m/>
    <m/>
    <m/>
  </r>
  <r>
    <x v="2"/>
    <s v="APOYO CASA PAC "/>
    <m/>
    <m/>
    <m/>
    <m/>
    <n v="-5231807"/>
    <s v="BCOL AHO"/>
    <s v="DEBITO"/>
    <m/>
    <m/>
    <m/>
    <m/>
    <m/>
    <m/>
    <m/>
    <m/>
    <m/>
    <m/>
    <m/>
    <m/>
  </r>
  <r>
    <x v="2"/>
    <s v="APOYO CASA PAC "/>
    <m/>
    <m/>
    <m/>
    <m/>
    <n v="-3500000"/>
    <s v="BCOL ALHO"/>
    <s v="DEBITO"/>
    <m/>
    <m/>
    <m/>
    <m/>
    <m/>
    <m/>
    <m/>
    <m/>
    <m/>
    <m/>
    <m/>
    <m/>
  </r>
  <r>
    <x v="3"/>
    <s v="APOYO CEPPEV "/>
    <m/>
    <m/>
    <m/>
    <m/>
    <n v="0"/>
    <s v="BCOL AHO"/>
    <s v="DEBITO"/>
    <n v="-5000000"/>
    <n v="-5000000"/>
    <n v="-5000000"/>
    <n v="-5000000"/>
    <n v="-5000000"/>
    <n v="-5000000"/>
    <n v="-5000000"/>
    <m/>
    <m/>
    <m/>
    <m/>
    <m/>
  </r>
  <r>
    <x v="4"/>
    <s v="APOYO HNOS. EN BRASIL"/>
    <m/>
    <m/>
    <m/>
    <m/>
    <n v="-20000000"/>
    <s v="BCOL AHO"/>
    <s v="DEBITO"/>
    <m/>
    <m/>
    <m/>
    <n v="-592000"/>
    <m/>
    <m/>
    <m/>
    <m/>
    <m/>
    <m/>
    <m/>
    <m/>
  </r>
  <r>
    <x v="2"/>
    <s v="APOYO PERU PAC "/>
    <m/>
    <m/>
    <m/>
    <m/>
    <m/>
    <m/>
    <s v="DEBITO"/>
    <m/>
    <n v="-1667500"/>
    <m/>
    <m/>
    <m/>
    <m/>
    <m/>
    <m/>
    <m/>
    <m/>
    <m/>
    <m/>
  </r>
  <r>
    <x v="2"/>
    <s v="ARRIENDO CASA PAC "/>
    <m/>
    <m/>
    <m/>
    <m/>
    <n v="0"/>
    <s v="BCOL CTE"/>
    <s v="DEBITO"/>
    <m/>
    <m/>
    <m/>
    <m/>
    <m/>
    <m/>
    <m/>
    <m/>
    <m/>
    <m/>
    <m/>
    <m/>
  </r>
  <r>
    <x v="2"/>
    <s v="ARRIENDO CASA PAC "/>
    <m/>
    <m/>
    <m/>
    <m/>
    <n v="0"/>
    <m/>
    <s v="DEBITO"/>
    <m/>
    <m/>
    <m/>
    <m/>
    <m/>
    <m/>
    <m/>
    <m/>
    <m/>
    <m/>
    <m/>
    <m/>
  </r>
  <r>
    <x v="5"/>
    <s v="COMPRA CELULAR"/>
    <m/>
    <m/>
    <m/>
    <m/>
    <n v="-6700000"/>
    <s v="BCOL AHO"/>
    <s v="DEBITO"/>
    <m/>
    <m/>
    <m/>
    <n v="-769900"/>
    <m/>
    <m/>
    <m/>
    <m/>
    <m/>
    <m/>
    <m/>
    <m/>
  </r>
  <r>
    <x v="6"/>
    <s v="ENTREGA RESERVA PEDRO DONG "/>
    <m/>
    <m/>
    <m/>
    <m/>
    <m/>
    <m/>
    <s v="DEBITO"/>
    <m/>
    <m/>
    <n v="-31000000"/>
    <n v="-31000000"/>
    <m/>
    <m/>
    <m/>
    <m/>
    <m/>
    <m/>
    <m/>
    <m/>
  </r>
  <r>
    <x v="7"/>
    <s v="ENVIO EAV"/>
    <m/>
    <m/>
    <m/>
    <m/>
    <n v="-12300000"/>
    <m/>
    <s v="DEBITO"/>
    <m/>
    <m/>
    <m/>
    <n v="-12015000"/>
    <m/>
    <m/>
    <m/>
    <m/>
    <m/>
    <m/>
    <m/>
    <m/>
  </r>
  <r>
    <x v="8"/>
    <s v="OBRA COSTA RICA "/>
    <m/>
    <m/>
    <m/>
    <m/>
    <m/>
    <m/>
    <s v="DEBITO"/>
    <m/>
    <n v="-4620900"/>
    <m/>
    <m/>
    <m/>
    <m/>
    <m/>
    <m/>
    <m/>
    <m/>
    <m/>
    <m/>
  </r>
  <r>
    <x v="0"/>
    <s v="OFRENDA A JONES COSTA"/>
    <m/>
    <m/>
    <m/>
    <m/>
    <n v="-400000"/>
    <s v="BCOL AHO"/>
    <s v="DEBITO"/>
    <m/>
    <m/>
    <n v="-1100000"/>
    <m/>
    <m/>
    <m/>
    <m/>
    <m/>
    <m/>
    <m/>
    <m/>
    <m/>
  </r>
  <r>
    <x v="2"/>
    <s v="PAGO DEUDA ARRIENDO PAC "/>
    <m/>
    <m/>
    <m/>
    <m/>
    <n v="0"/>
    <s v="BCOL AHO"/>
    <s v="DEBITO"/>
    <m/>
    <m/>
    <m/>
    <m/>
    <m/>
    <m/>
    <m/>
    <m/>
    <m/>
    <m/>
    <m/>
    <m/>
  </r>
  <r>
    <x v="9"/>
    <s v="VIATICOS CUBA "/>
    <m/>
    <m/>
    <m/>
    <m/>
    <m/>
    <s v="BCOL AHO"/>
    <s v="DEBITO"/>
    <n v="-1477000"/>
    <m/>
    <m/>
    <m/>
    <m/>
    <m/>
    <m/>
    <m/>
    <m/>
    <m/>
    <m/>
    <m/>
  </r>
  <r>
    <x v="0"/>
    <s v="VIATICOS EUROPA DAVID MAESTRE"/>
    <m/>
    <m/>
    <m/>
    <m/>
    <n v="-6413915"/>
    <m/>
    <s v="DEBITO"/>
    <m/>
    <m/>
    <m/>
    <n v="-2000000"/>
    <m/>
    <m/>
    <m/>
    <m/>
    <m/>
    <m/>
    <m/>
    <m/>
  </r>
  <r>
    <x v="0"/>
    <s v="VIATICOS JONES "/>
    <m/>
    <m/>
    <m/>
    <m/>
    <n v="0"/>
    <s v="EFECTIVO"/>
    <s v="DEBITO"/>
    <m/>
    <m/>
    <n v="-2846000"/>
    <m/>
    <m/>
    <m/>
    <m/>
    <m/>
    <m/>
    <m/>
    <m/>
    <m/>
  </r>
  <r>
    <x v="7"/>
    <s v="VIATICOS EAV DE RESERVA PEDRO D"/>
    <m/>
    <m/>
    <m/>
    <m/>
    <m/>
    <s v="BCOL AHO"/>
    <s v="DEBITO"/>
    <m/>
    <m/>
    <m/>
    <m/>
    <n v="-4229600"/>
    <m/>
    <m/>
    <m/>
    <m/>
    <m/>
    <m/>
    <m/>
  </r>
  <r>
    <x v="10"/>
    <s v="GASTOS IVPT"/>
    <m/>
    <m/>
    <m/>
    <m/>
    <n v="0"/>
    <s v="BCOL AHO"/>
    <s v="DEBITO"/>
    <m/>
    <m/>
    <m/>
    <m/>
    <n v="-22131200"/>
    <m/>
    <m/>
    <m/>
    <m/>
    <m/>
    <m/>
    <m/>
  </r>
  <r>
    <x v="11"/>
    <s v="ENTREGA A DAVID MAESTRE PANAMA"/>
    <m/>
    <m/>
    <m/>
    <m/>
    <m/>
    <m/>
    <s v="DEBITO"/>
    <m/>
    <m/>
    <m/>
    <m/>
    <m/>
    <n v="-7000000"/>
    <m/>
    <m/>
    <m/>
    <m/>
    <m/>
    <m/>
  </r>
  <r>
    <x v="12"/>
    <s v="ENTREGA A DAVID M RESERVA PEDRO"/>
    <m/>
    <m/>
    <m/>
    <m/>
    <m/>
    <m/>
    <s v="DEBITO"/>
    <m/>
    <m/>
    <m/>
    <m/>
    <m/>
    <n v="-5000000"/>
    <m/>
    <m/>
    <m/>
    <m/>
    <m/>
    <m/>
  </r>
  <r>
    <x v="3"/>
    <s v="APOYO CENA CEPPEV"/>
    <m/>
    <m/>
    <m/>
    <m/>
    <m/>
    <m/>
    <s v="DEBITO"/>
    <m/>
    <m/>
    <m/>
    <m/>
    <m/>
    <n v="-3000000"/>
    <m/>
    <m/>
    <m/>
    <m/>
    <m/>
    <m/>
  </r>
  <r>
    <x v="6"/>
    <s v="ENTREGA RESERVA PEDRO DONG "/>
    <m/>
    <m/>
    <m/>
    <m/>
    <m/>
    <m/>
    <s v="DEBITO"/>
    <m/>
    <m/>
    <m/>
    <m/>
    <m/>
    <n v="-41400000"/>
    <m/>
    <m/>
    <m/>
    <m/>
    <m/>
    <m/>
  </r>
  <r>
    <x v="11"/>
    <s v="APOYO PAC PANAMA"/>
    <m/>
    <m/>
    <m/>
    <m/>
    <m/>
    <m/>
    <s v="DEBITO"/>
    <m/>
    <m/>
    <m/>
    <m/>
    <m/>
    <n v="-1000000"/>
    <m/>
    <m/>
    <m/>
    <m/>
    <m/>
    <m/>
  </r>
  <r>
    <x v="12"/>
    <s v="ENTREGA DAVID MIRANDA RESERVA PD"/>
    <m/>
    <m/>
    <m/>
    <m/>
    <m/>
    <m/>
    <s v="DEBITO"/>
    <m/>
    <m/>
    <m/>
    <m/>
    <m/>
    <m/>
    <n v="-7598700"/>
    <m/>
    <m/>
    <m/>
    <m/>
    <m/>
  </r>
  <r>
    <x v="12"/>
    <s v="ENTREGA DAVID MIRANDA RESERVA PD"/>
    <m/>
    <m/>
    <m/>
    <m/>
    <m/>
    <m/>
    <s v="DEBITO"/>
    <m/>
    <m/>
    <m/>
    <m/>
    <m/>
    <m/>
    <n v="-3575640"/>
    <m/>
    <m/>
    <m/>
    <m/>
    <m/>
  </r>
  <r>
    <x v="11"/>
    <s v="APOYO PAC PANAMA"/>
    <m/>
    <m/>
    <m/>
    <m/>
    <m/>
    <m/>
    <s v="DEBITO"/>
    <m/>
    <m/>
    <m/>
    <m/>
    <m/>
    <m/>
    <n v="-1000000"/>
    <m/>
    <m/>
    <m/>
    <m/>
    <m/>
  </r>
  <r>
    <x v="6"/>
    <s v="ENTREGA RESERVA PEDRO DONG "/>
    <m/>
    <m/>
    <m/>
    <m/>
    <m/>
    <m/>
    <s v="DEBITO"/>
    <m/>
    <m/>
    <m/>
    <m/>
    <m/>
    <m/>
    <n v="-20350000"/>
    <m/>
    <m/>
    <m/>
    <m/>
    <m/>
  </r>
  <r>
    <x v="11"/>
    <s v="LUIS MIGUEL NARANJO APOYO PANAMA"/>
    <m/>
    <m/>
    <m/>
    <m/>
    <m/>
    <m/>
    <s v="DEBITO"/>
    <m/>
    <m/>
    <m/>
    <m/>
    <m/>
    <m/>
    <m/>
    <n v="-1000000"/>
    <m/>
    <m/>
    <m/>
    <m/>
  </r>
  <r>
    <x v="12"/>
    <s v="VIATICOS COLPORTORES"/>
    <m/>
    <m/>
    <m/>
    <m/>
    <m/>
    <m/>
    <s v="DEBITO"/>
    <m/>
    <m/>
    <m/>
    <m/>
    <m/>
    <m/>
    <m/>
    <n v="-459000"/>
    <m/>
    <m/>
    <m/>
    <m/>
  </r>
  <r>
    <x v="0"/>
    <s v="APOYO LUIS GABRIEL BRASIL"/>
    <m/>
    <m/>
    <m/>
    <m/>
    <m/>
    <m/>
    <s v="DEBITO"/>
    <m/>
    <m/>
    <m/>
    <m/>
    <m/>
    <m/>
    <m/>
    <n v="-2375000"/>
    <m/>
    <m/>
    <m/>
    <m/>
  </r>
  <r>
    <x v="13"/>
    <s v="VIATICOS ECUADOR JULIO SANCHEA"/>
    <m/>
    <m/>
    <m/>
    <m/>
    <m/>
    <m/>
    <s v="DEBITO"/>
    <m/>
    <m/>
    <m/>
    <m/>
    <m/>
    <m/>
    <m/>
    <n v="-3844290"/>
    <m/>
    <m/>
    <m/>
    <m/>
  </r>
  <r>
    <x v="6"/>
    <s v="ENTREGA PEDRO DONG"/>
    <m/>
    <m/>
    <m/>
    <m/>
    <m/>
    <m/>
    <s v="DEBITO"/>
    <m/>
    <m/>
    <m/>
    <m/>
    <m/>
    <m/>
    <m/>
    <n v="-12045000"/>
    <m/>
    <m/>
    <m/>
    <m/>
  </r>
  <r>
    <x v="7"/>
    <s v="ENTREGA A ESTANCIA"/>
    <m/>
    <m/>
    <m/>
    <m/>
    <m/>
    <m/>
    <s v="DEBITO"/>
    <m/>
    <m/>
    <m/>
    <m/>
    <m/>
    <m/>
    <m/>
    <n v="-11190450"/>
    <m/>
    <m/>
    <m/>
    <m/>
  </r>
  <r>
    <x v="11"/>
    <s v="APOYO PAC PANAMA"/>
    <m/>
    <m/>
    <m/>
    <m/>
    <m/>
    <m/>
    <s v="DEBITO"/>
    <m/>
    <m/>
    <m/>
    <m/>
    <m/>
    <m/>
    <m/>
    <n v="-1100000"/>
    <m/>
    <m/>
    <m/>
    <m/>
  </r>
  <r>
    <x v="13"/>
    <s v="JULIO SANCHEZ VIATICOS LILMA"/>
    <m/>
    <m/>
    <m/>
    <m/>
    <m/>
    <m/>
    <s v="DEBITO"/>
    <m/>
    <m/>
    <m/>
    <m/>
    <m/>
    <m/>
    <m/>
    <m/>
    <n v="-2284620"/>
    <m/>
    <m/>
    <m/>
  </r>
  <r>
    <x v="3"/>
    <s v="APOYO CEPPEV"/>
    <m/>
    <m/>
    <m/>
    <m/>
    <m/>
    <m/>
    <s v="DEBITO"/>
    <m/>
    <m/>
    <m/>
    <m/>
    <m/>
    <m/>
    <m/>
    <m/>
    <n v="-3200000"/>
    <m/>
    <m/>
    <m/>
  </r>
  <r>
    <x v="12"/>
    <s v="VUELOS COLPORTORES PERU"/>
    <m/>
    <m/>
    <m/>
    <m/>
    <m/>
    <m/>
    <s v="DEBITO"/>
    <m/>
    <m/>
    <m/>
    <m/>
    <m/>
    <m/>
    <m/>
    <m/>
    <n v="-3433200"/>
    <m/>
    <m/>
    <m/>
  </r>
  <r>
    <x v="12"/>
    <s v="VUELOS COLPORTORES PANAMA"/>
    <m/>
    <m/>
    <m/>
    <m/>
    <m/>
    <m/>
    <s v="DEBITO"/>
    <m/>
    <m/>
    <m/>
    <m/>
    <m/>
    <m/>
    <m/>
    <m/>
    <n v="-2416300"/>
    <m/>
    <m/>
    <m/>
  </r>
  <r>
    <x v="11"/>
    <s v="LUIS MIGUEL NARANJO APOYO PANAMA"/>
    <m/>
    <m/>
    <m/>
    <m/>
    <m/>
    <m/>
    <s v="DEBITO"/>
    <m/>
    <m/>
    <m/>
    <m/>
    <m/>
    <m/>
    <m/>
    <m/>
    <m/>
    <n v="-900000"/>
    <m/>
    <m/>
  </r>
  <r>
    <x v="3"/>
    <s v="APOYO CEPPEV BUCARAMANGA"/>
    <m/>
    <m/>
    <m/>
    <m/>
    <m/>
    <m/>
    <s v="DEBITO"/>
    <m/>
    <m/>
    <m/>
    <m/>
    <m/>
    <m/>
    <m/>
    <m/>
    <m/>
    <n v="-6000000"/>
    <m/>
    <m/>
  </r>
  <r>
    <x v="0"/>
    <s v="DAVID MAESTRE VIATICOS ECUADOR"/>
    <m/>
    <m/>
    <m/>
    <m/>
    <m/>
    <m/>
    <s v="DEBITO"/>
    <m/>
    <m/>
    <m/>
    <m/>
    <m/>
    <m/>
    <m/>
    <m/>
    <m/>
    <n v="-1561973"/>
    <m/>
    <m/>
  </r>
  <r>
    <x v="6"/>
    <s v="ENTREGA RESERVA PEDRO DONG "/>
    <m/>
    <m/>
    <m/>
    <m/>
    <m/>
    <m/>
    <s v="DEBITO"/>
    <m/>
    <m/>
    <m/>
    <m/>
    <m/>
    <m/>
    <m/>
    <m/>
    <m/>
    <n v="-29998000"/>
    <m/>
    <m/>
  </r>
  <r>
    <x v="12"/>
    <s v="DAVID MIRANDA VUELOS COLPORTORES"/>
    <m/>
    <m/>
    <m/>
    <m/>
    <m/>
    <m/>
    <s v="DEBITO"/>
    <m/>
    <m/>
    <m/>
    <m/>
    <m/>
    <m/>
    <m/>
    <m/>
    <m/>
    <n v="-3488330"/>
    <m/>
    <m/>
  </r>
  <r>
    <x v="12"/>
    <s v="LUIS MIGUEL NARANJO VUELO COLPORTOR"/>
    <m/>
    <m/>
    <m/>
    <m/>
    <m/>
    <m/>
    <s v="DEBITO"/>
    <m/>
    <m/>
    <m/>
    <m/>
    <m/>
    <m/>
    <m/>
    <m/>
    <m/>
    <n v="-572600"/>
    <m/>
    <m/>
  </r>
  <r>
    <x v="3"/>
    <s v="IGLESIA EN B/MANGA APOYO VANS"/>
    <m/>
    <m/>
    <m/>
    <m/>
    <m/>
    <m/>
    <s v="DEBITO"/>
    <m/>
    <m/>
    <m/>
    <m/>
    <m/>
    <m/>
    <m/>
    <m/>
    <m/>
    <n v="-10000000"/>
    <m/>
    <m/>
  </r>
  <r>
    <x v="11"/>
    <s v="LUIS MIGUEL NARANJO APOYO PANAMA"/>
    <m/>
    <m/>
    <m/>
    <m/>
    <m/>
    <m/>
    <s v="DEBITO"/>
    <m/>
    <m/>
    <m/>
    <m/>
    <m/>
    <m/>
    <m/>
    <m/>
    <m/>
    <n v="-6000000"/>
    <m/>
    <m/>
  </r>
  <r>
    <x v="11"/>
    <s v="LUIS MIGUEL NARANJO APOYO PANAMA"/>
    <m/>
    <m/>
    <m/>
    <m/>
    <m/>
    <m/>
    <s v="DEBITO"/>
    <m/>
    <m/>
    <m/>
    <m/>
    <m/>
    <m/>
    <m/>
    <m/>
    <m/>
    <n v="-1000000"/>
    <m/>
    <m/>
  </r>
  <r>
    <x v="9"/>
    <s v="APOYO CUBA"/>
    <m/>
    <m/>
    <m/>
    <m/>
    <m/>
    <m/>
    <s v="DEBITO"/>
    <m/>
    <m/>
    <m/>
    <m/>
    <m/>
    <m/>
    <m/>
    <m/>
    <m/>
    <m/>
    <n v="-1400000"/>
    <m/>
  </r>
  <r>
    <x v="5"/>
    <s v="MOVIL INVERSIONISTAS"/>
    <m/>
    <m/>
    <m/>
    <m/>
    <m/>
    <m/>
    <s v="DEBITO"/>
    <m/>
    <m/>
    <m/>
    <m/>
    <m/>
    <m/>
    <m/>
    <m/>
    <m/>
    <m/>
    <n v="-41900"/>
    <m/>
  </r>
  <r>
    <x v="12"/>
    <s v="DAVID MIRANDA VUELOS COLPORTORES"/>
    <m/>
    <m/>
    <m/>
    <m/>
    <m/>
    <m/>
    <s v="DEBITO"/>
    <m/>
    <m/>
    <m/>
    <m/>
    <m/>
    <m/>
    <m/>
    <m/>
    <m/>
    <m/>
    <n v="-8689840"/>
    <m/>
  </r>
  <r>
    <x v="5"/>
    <s v="MOVIL INVERSIONISTAS"/>
    <m/>
    <m/>
    <m/>
    <m/>
    <m/>
    <m/>
    <s v="DEBITO"/>
    <m/>
    <m/>
    <m/>
    <m/>
    <m/>
    <m/>
    <m/>
    <m/>
    <m/>
    <m/>
    <m/>
    <n v="-34200"/>
  </r>
  <r>
    <x v="11"/>
    <s v="LUIS MIGUEL NARANJO APOYO PANAMA"/>
    <m/>
    <m/>
    <m/>
    <m/>
    <m/>
    <m/>
    <s v="DEBITO"/>
    <m/>
    <m/>
    <m/>
    <m/>
    <m/>
    <m/>
    <m/>
    <m/>
    <m/>
    <m/>
    <m/>
    <n v="-1000000"/>
  </r>
  <r>
    <x v="14"/>
    <s v="IG. EN VALLEDUPAR APOYO COLPORTOR"/>
    <m/>
    <m/>
    <m/>
    <m/>
    <m/>
    <m/>
    <s v="DEBITO"/>
    <m/>
    <m/>
    <m/>
    <m/>
    <m/>
    <m/>
    <m/>
    <m/>
    <m/>
    <m/>
    <m/>
    <n v="-2000000"/>
  </r>
  <r>
    <x v="3"/>
    <s v="IG. EN BUCARAM/APOYO"/>
    <m/>
    <m/>
    <m/>
    <m/>
    <m/>
    <m/>
    <s v="DEBITO"/>
    <m/>
    <m/>
    <m/>
    <m/>
    <m/>
    <m/>
    <m/>
    <m/>
    <m/>
    <m/>
    <m/>
    <n v="-1000000"/>
  </r>
  <r>
    <x v="6"/>
    <s v="ENTREGA PEDRO DONG"/>
    <m/>
    <m/>
    <m/>
    <m/>
    <m/>
    <m/>
    <s v="DEBITO"/>
    <m/>
    <m/>
    <m/>
    <m/>
    <m/>
    <m/>
    <m/>
    <m/>
    <m/>
    <m/>
    <m/>
    <n v="-60793350"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  <r>
    <x v="15"/>
    <s v="TOTAL GASTOS A OCT 17/2025"/>
    <m/>
    <m/>
    <m/>
    <m/>
    <n v="-66545722"/>
    <m/>
    <m/>
    <n v="-12177000"/>
    <n v="-17788400"/>
    <n v="-42946000"/>
    <n v="-54376900"/>
    <n v="-34360800"/>
    <n v="-65400000"/>
    <n v="-43124340"/>
    <n v="-35013740"/>
    <n v="-14334120"/>
    <n v="-62520903"/>
    <n v="-13131740"/>
    <n v="-67827550"/>
  </r>
  <r>
    <x v="15"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1"/>
    <s v="ABNER GONZALEZ"/>
    <n v="9289920"/>
    <m/>
    <x v="0"/>
    <n v="1"/>
    <n v="859000"/>
    <s v="BCOL AHO"/>
    <s v="CREDITO"/>
    <m/>
    <m/>
    <m/>
    <m/>
    <n v="800000"/>
    <m/>
    <m/>
    <m/>
    <n v="400000"/>
    <n v="0"/>
    <n v="0"/>
    <n v="0"/>
    <n v="0"/>
    <n v="1200000"/>
    <n v="3"/>
    <n v="2"/>
    <n v="3"/>
  </r>
  <r>
    <n v="2"/>
    <s v="ALBA MARINA ROMERO"/>
    <m/>
    <m/>
    <x v="1"/>
    <m/>
    <m/>
    <m/>
    <s v="CREDITO"/>
    <m/>
    <m/>
    <m/>
    <m/>
    <n v="100000"/>
    <m/>
    <m/>
    <m/>
    <n v="0"/>
    <n v="0"/>
    <n v="0"/>
    <n v="0"/>
    <n v="0"/>
    <n v="100000"/>
    <n v="0.25"/>
    <n v="1"/>
    <n v="1"/>
  </r>
  <r>
    <n v="3"/>
    <s v="ANA  MISAD"/>
    <m/>
    <m/>
    <x v="2"/>
    <m/>
    <n v="20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4"/>
    <s v="ANA CORTES"/>
    <m/>
    <m/>
    <x v="2"/>
    <m/>
    <n v="0"/>
    <s v="EFECTIVO"/>
    <s v="CREDITO"/>
    <m/>
    <n v="100000"/>
    <m/>
    <m/>
    <m/>
    <m/>
    <m/>
    <m/>
    <n v="0"/>
    <n v="0"/>
    <n v="0"/>
    <n v="0"/>
    <n v="0"/>
    <n v="100000"/>
    <n v="0.25"/>
    <n v="1"/>
    <n v="1"/>
  </r>
  <r>
    <n v="5"/>
    <s v="ANA MARIA PORTILLA CLAROS"/>
    <n v="1114621012"/>
    <n v="3207945735"/>
    <x v="2"/>
    <m/>
    <n v="1000000"/>
    <s v="BCOL AHO"/>
    <s v="CREDITO"/>
    <n v="400000"/>
    <m/>
    <m/>
    <m/>
    <m/>
    <m/>
    <m/>
    <m/>
    <n v="0"/>
    <n v="0"/>
    <n v="200000"/>
    <n v="400000"/>
    <n v="0"/>
    <n v="1000000"/>
    <n v="2.5"/>
    <n v="3"/>
    <n v="3"/>
  </r>
  <r>
    <n v="6"/>
    <s v="ANDRES CASTRILLON &quot;GIRARDOTA&quot;"/>
    <n v="1035855590"/>
    <m/>
    <x v="3"/>
    <m/>
    <n v="200000"/>
    <s v="BCOL AHO"/>
    <s v="CREDITO"/>
    <m/>
    <m/>
    <m/>
    <m/>
    <m/>
    <m/>
    <n v="100000"/>
    <m/>
    <n v="0"/>
    <n v="0"/>
    <n v="400000"/>
    <n v="400000"/>
    <n v="0"/>
    <n v="900000"/>
    <n v="2.25"/>
    <n v="3"/>
    <n v="3"/>
  </r>
  <r>
    <n v="7"/>
    <s v="ANDRES MORENO"/>
    <n v="1077465696"/>
    <n v="3207593131"/>
    <x v="4"/>
    <m/>
    <m/>
    <m/>
    <s v="CREDITO"/>
    <m/>
    <m/>
    <m/>
    <m/>
    <n v="400000"/>
    <m/>
    <m/>
    <n v="400000"/>
    <n v="0"/>
    <n v="0"/>
    <n v="0"/>
    <n v="800000"/>
    <n v="0"/>
    <n v="1600000"/>
    <n v="4"/>
    <n v="3"/>
    <n v="4"/>
  </r>
  <r>
    <n v="8"/>
    <s v="ANGIE FINO"/>
    <m/>
    <m/>
    <x v="1"/>
    <m/>
    <m/>
    <m/>
    <s v="CREDITO"/>
    <m/>
    <m/>
    <m/>
    <m/>
    <m/>
    <n v="1000000"/>
    <m/>
    <m/>
    <n v="0"/>
    <n v="0"/>
    <n v="0"/>
    <n v="0"/>
    <n v="0"/>
    <n v="1000000"/>
    <n v="2.5"/>
    <n v="1"/>
    <n v="3"/>
  </r>
  <r>
    <n v="9"/>
    <s v="ANONIMO"/>
    <m/>
    <m/>
    <x v="2"/>
    <m/>
    <m/>
    <m/>
    <s v="CREDITO"/>
    <m/>
    <m/>
    <m/>
    <m/>
    <n v="380000"/>
    <n v="200000"/>
    <m/>
    <m/>
    <n v="0"/>
    <n v="0"/>
    <n v="0"/>
    <n v="0"/>
    <n v="0"/>
    <n v="580000"/>
    <n v="1.45"/>
    <n v="2"/>
    <n v="2"/>
  </r>
  <r>
    <n v="10"/>
    <s v="BENITO HERRRA"/>
    <m/>
    <m/>
    <x v="1"/>
    <n v="3"/>
    <n v="1200000"/>
    <s v="BCOL AHO"/>
    <s v="CREDITO"/>
    <m/>
    <m/>
    <m/>
    <m/>
    <m/>
    <m/>
    <m/>
    <m/>
    <n v="0"/>
    <n v="0"/>
    <n v="400000"/>
    <n v="0"/>
    <n v="0"/>
    <n v="400000"/>
    <n v="1"/>
    <n v="1"/>
    <n v="1"/>
  </r>
  <r>
    <n v="11"/>
    <s v="BIBIANA MONTOYA RODAS"/>
    <m/>
    <m/>
    <x v="1"/>
    <m/>
    <n v="1500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12"/>
    <s v="BRAYER ALEXIS QUINTERO FERNANDEZ"/>
    <m/>
    <m/>
    <x v="5"/>
    <m/>
    <n v="820000"/>
    <s v="BCOL AHO"/>
    <s v="CREDITO"/>
    <m/>
    <m/>
    <n v="400000"/>
    <m/>
    <m/>
    <m/>
    <m/>
    <n v="400000"/>
    <n v="400000"/>
    <n v="400000"/>
    <n v="0"/>
    <n v="400000"/>
    <n v="400000"/>
    <n v="2400000"/>
    <n v="6"/>
    <n v="6"/>
    <n v="6"/>
  </r>
  <r>
    <n v="13"/>
    <s v="CARLIS MICHELE PEREZ  CANO"/>
    <n v="1095846194"/>
    <n v="3022962452"/>
    <x v="2"/>
    <m/>
    <m/>
    <s v="BCOL AHO"/>
    <s v="CREDITO"/>
    <m/>
    <m/>
    <n v="400000"/>
    <m/>
    <n v="200000"/>
    <m/>
    <m/>
    <m/>
    <n v="0"/>
    <n v="0"/>
    <n v="400000"/>
    <n v="0"/>
    <n v="0"/>
    <n v="1000000"/>
    <n v="2.5"/>
    <n v="3"/>
    <n v="3"/>
  </r>
  <r>
    <n v="14"/>
    <s v="CARLOS  CARRASCO"/>
    <m/>
    <m/>
    <x v="2"/>
    <n v="1"/>
    <n v="1320000"/>
    <s v="EFECTIVO"/>
    <s v="CREDITO"/>
    <n v="400000"/>
    <n v="424000"/>
    <n v="425000"/>
    <n v="450000"/>
    <n v="400000"/>
    <n v="400000"/>
    <n v="400000"/>
    <n v="400000"/>
    <n v="400000"/>
    <n v="400000"/>
    <n v="400000"/>
    <n v="400000"/>
    <n v="400000"/>
    <n v="5299000"/>
    <n v="13.2475"/>
    <n v="13"/>
    <n v="14"/>
  </r>
  <r>
    <n v="15"/>
    <s v="CARLOS  PALMA"/>
    <m/>
    <m/>
    <x v="2"/>
    <n v="1"/>
    <n v="1200000"/>
    <s v="EFECTIVO"/>
    <s v="CREDITO"/>
    <m/>
    <n v="400000"/>
    <n v="400000"/>
    <n v="400000"/>
    <n v="400000"/>
    <m/>
    <n v="400000"/>
    <n v="400000"/>
    <n v="0"/>
    <n v="400000"/>
    <n v="400000"/>
    <n v="400000"/>
    <n v="0"/>
    <n v="3600000"/>
    <n v="9"/>
    <n v="9"/>
    <n v="9"/>
  </r>
  <r>
    <n v="16"/>
    <s v="CARLOS ANDRES COCUY"/>
    <n v="14797460"/>
    <n v="3160438302"/>
    <x v="6"/>
    <m/>
    <n v="0"/>
    <s v="BCOL AHO"/>
    <s v="CREDITO"/>
    <n v="400000"/>
    <n v="400000"/>
    <n v="400000"/>
    <n v="400000"/>
    <n v="400000"/>
    <n v="400000"/>
    <n v="400000"/>
    <n v="400000"/>
    <n v="450000"/>
    <n v="650000"/>
    <n v="0"/>
    <n v="900000"/>
    <n v="0"/>
    <n v="5200000"/>
    <n v="13"/>
    <n v="11"/>
    <n v="13"/>
  </r>
  <r>
    <n v="17"/>
    <s v="CAROLINA QUIROGA"/>
    <m/>
    <m/>
    <x v="1"/>
    <m/>
    <n v="0"/>
    <s v="BCOL AHO"/>
    <s v="CREDITO"/>
    <m/>
    <m/>
    <n v="100000"/>
    <m/>
    <m/>
    <m/>
    <m/>
    <m/>
    <n v="0"/>
    <n v="0"/>
    <n v="0"/>
    <n v="0"/>
    <n v="0"/>
    <n v="100000"/>
    <n v="0.25"/>
    <n v="1"/>
    <n v="1"/>
  </r>
  <r>
    <n v="18"/>
    <s v="CESAR  VERA"/>
    <n v="79333423"/>
    <n v="3166268412"/>
    <x v="2"/>
    <n v="3"/>
    <n v="4000000"/>
    <s v="EFECTIVO"/>
    <s v="CREDITO"/>
    <n v="800000"/>
    <n v="2000000"/>
    <n v="1200000"/>
    <n v="1600000"/>
    <n v="1200000"/>
    <n v="1600000"/>
    <n v="1700000"/>
    <n v="1200000"/>
    <n v="1600000"/>
    <n v="2000000"/>
    <n v="2400000"/>
    <n v="1600000"/>
    <n v="1200000"/>
    <n v="20100000"/>
    <n v="50.25"/>
    <n v="13"/>
    <n v="51"/>
  </r>
  <r>
    <n v="19"/>
    <s v="CLAUDIA ARCINIEGAS"/>
    <m/>
    <m/>
    <x v="1"/>
    <m/>
    <n v="0"/>
    <s v="BCOL AHO"/>
    <s v="CREDITO"/>
    <m/>
    <m/>
    <n v="400000"/>
    <m/>
    <n v="400000"/>
    <m/>
    <m/>
    <m/>
    <n v="0"/>
    <n v="0"/>
    <n v="0"/>
    <n v="0"/>
    <n v="0"/>
    <n v="800000"/>
    <n v="2"/>
    <n v="2"/>
    <n v="2"/>
  </r>
  <r>
    <n v="20"/>
    <s v="DANIEL  VARGAS"/>
    <m/>
    <m/>
    <x v="7"/>
    <n v="1"/>
    <n v="1200000"/>
    <s v="BCOL AHO"/>
    <s v="CREDITO"/>
    <m/>
    <m/>
    <m/>
    <m/>
    <m/>
    <m/>
    <m/>
    <m/>
    <n v="0"/>
    <n v="0"/>
    <n v="0"/>
    <n v="0"/>
    <n v="400000"/>
    <n v="400000"/>
    <n v="1"/>
    <n v="1"/>
    <n v="1"/>
  </r>
  <r>
    <n v="21"/>
    <s v="DANIELA CASTO"/>
    <m/>
    <m/>
    <x v="1"/>
    <m/>
    <n v="0"/>
    <s v="BCOL AHO"/>
    <s v="CREDITO"/>
    <m/>
    <n v="200000"/>
    <m/>
    <m/>
    <m/>
    <m/>
    <m/>
    <m/>
    <n v="0"/>
    <n v="0"/>
    <n v="0"/>
    <n v="0"/>
    <n v="0"/>
    <n v="200000"/>
    <n v="0.5"/>
    <n v="1"/>
    <n v="1"/>
  </r>
  <r>
    <n v="22"/>
    <s v="DAVID MAESTRE"/>
    <m/>
    <m/>
    <x v="1"/>
    <m/>
    <n v="1200000"/>
    <s v="BCOL AHO"/>
    <s v="CREDITO"/>
    <m/>
    <n v="200000"/>
    <m/>
    <n v="400000"/>
    <n v="200000"/>
    <m/>
    <n v="400000"/>
    <m/>
    <n v="0"/>
    <n v="0"/>
    <n v="0"/>
    <n v="0"/>
    <n v="0"/>
    <n v="1200000"/>
    <n v="3"/>
    <n v="4"/>
    <n v="3"/>
  </r>
  <r>
    <n v="23"/>
    <s v="DAVID MIRANDA"/>
    <m/>
    <m/>
    <x v="2"/>
    <n v="1"/>
    <n v="400000"/>
    <s v="BCOL AHO"/>
    <s v="CREDITO"/>
    <n v="400000"/>
    <n v="0"/>
    <n v="400000"/>
    <m/>
    <n v="400000"/>
    <m/>
    <n v="800000"/>
    <n v="400000"/>
    <n v="400000"/>
    <n v="400000"/>
    <n v="400000"/>
    <n v="400000"/>
    <n v="0"/>
    <n v="4000000"/>
    <n v="10"/>
    <n v="9"/>
    <n v="10"/>
  </r>
  <r>
    <n v="24"/>
    <s v="EDDWARD  GARCIA"/>
    <m/>
    <m/>
    <x v="2"/>
    <n v="1"/>
    <n v="24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25"/>
    <s v="ERICA PLATA"/>
    <n v="60362206"/>
    <n v="3165652640"/>
    <x v="8"/>
    <n v="1"/>
    <n v="200000"/>
    <s v="BCOL AHO 2"/>
    <s v="CREDITO"/>
    <m/>
    <m/>
    <m/>
    <m/>
    <m/>
    <m/>
    <m/>
    <m/>
    <n v="0"/>
    <n v="0"/>
    <n v="400000"/>
    <n v="400000"/>
    <n v="0"/>
    <n v="800000"/>
    <n v="2"/>
    <n v="2"/>
    <n v="2"/>
  </r>
  <r>
    <n v="26"/>
    <s v="ERMILGEN  RIAÑO"/>
    <m/>
    <m/>
    <x v="2"/>
    <m/>
    <n v="10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27"/>
    <s v="ESTEBAN ISAZA MUÑOZ"/>
    <n v="88230239"/>
    <n v="3123933769"/>
    <x v="9"/>
    <n v="1"/>
    <n v="2860000"/>
    <s v="BCOL AHO 2"/>
    <s v="CREDITO"/>
    <n v="830000"/>
    <n v="830000"/>
    <m/>
    <n v="830000"/>
    <n v="830000"/>
    <m/>
    <n v="830000"/>
    <m/>
    <n v="830000"/>
    <n v="0"/>
    <n v="605000"/>
    <n v="1600000"/>
    <n v="1600000"/>
    <n v="8785000"/>
    <n v="21.962499999999999"/>
    <n v="9"/>
    <n v="22"/>
  </r>
  <r>
    <n v="28"/>
    <s v="ESTHER TORRES"/>
    <m/>
    <m/>
    <x v="2"/>
    <m/>
    <n v="45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29"/>
    <s v="EUSEBIO MONTES"/>
    <m/>
    <m/>
    <x v="1"/>
    <n v="1"/>
    <n v="0"/>
    <s v="No Registra"/>
    <s v="CREDITO"/>
    <m/>
    <m/>
    <m/>
    <m/>
    <m/>
    <m/>
    <m/>
    <m/>
    <n v="0"/>
    <n v="0"/>
    <n v="0"/>
    <n v="0"/>
    <n v="0"/>
    <n v="0"/>
    <n v="0"/>
    <n v="0"/>
    <n v="0"/>
  </r>
  <r>
    <n v="30"/>
    <s v="FLOR  ACUÑA"/>
    <m/>
    <m/>
    <x v="2"/>
    <m/>
    <n v="400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31"/>
    <s v="FLOR  SALAMANCA"/>
    <n v="23963745"/>
    <n v="3142385522"/>
    <x v="2"/>
    <n v="2"/>
    <n v="4400000"/>
    <s v="BCOL AHO-EF"/>
    <s v="CREDITO"/>
    <n v="1200000"/>
    <n v="0"/>
    <n v="1200000"/>
    <n v="1200000"/>
    <m/>
    <n v="1200000"/>
    <n v="1600000"/>
    <n v="2000000"/>
    <n v="0"/>
    <n v="2000000"/>
    <n v="3200000"/>
    <n v="3600000"/>
    <n v="3600000"/>
    <n v="20800000"/>
    <n v="52"/>
    <n v="10"/>
    <n v="52"/>
  </r>
  <r>
    <n v="32"/>
    <s v="FRANCISCO VILLAMIL"/>
    <m/>
    <m/>
    <x v="2"/>
    <m/>
    <n v="0"/>
    <s v="EFECTIVO"/>
    <s v="CREDITO"/>
    <m/>
    <n v="200000"/>
    <m/>
    <m/>
    <m/>
    <m/>
    <m/>
    <n v="400000"/>
    <n v="400000"/>
    <n v="400000"/>
    <n v="400000"/>
    <n v="400000"/>
    <n v="400000"/>
    <n v="2600000"/>
    <n v="6.5"/>
    <n v="7"/>
    <n v="7"/>
  </r>
  <r>
    <n v="33"/>
    <s v="FREIMAN JAIMES"/>
    <n v="13177594"/>
    <n v="3107951023"/>
    <x v="10"/>
    <n v="1"/>
    <n v="0"/>
    <s v="No Registra"/>
    <s v="CREDITO"/>
    <m/>
    <m/>
    <m/>
    <m/>
    <m/>
    <m/>
    <m/>
    <m/>
    <n v="400000"/>
    <n v="400000"/>
    <n v="0"/>
    <n v="0"/>
    <n v="0"/>
    <n v="800000"/>
    <n v="2"/>
    <n v="2"/>
    <n v="2"/>
  </r>
  <r>
    <n v="34"/>
    <s v="GISEL DANIELA GUTIERREZ MURILLO"/>
    <m/>
    <m/>
    <x v="1"/>
    <m/>
    <n v="400000"/>
    <s v="BCOL AHO"/>
    <s v="CREDITO"/>
    <m/>
    <n v="400000"/>
    <m/>
    <n v="400000"/>
    <m/>
    <m/>
    <m/>
    <m/>
    <n v="0"/>
    <n v="0"/>
    <n v="0"/>
    <n v="0"/>
    <n v="0"/>
    <n v="800000"/>
    <n v="2"/>
    <n v="2"/>
    <n v="2"/>
  </r>
  <r>
    <n v="35"/>
    <s v="GUILLERMO MONSALVE"/>
    <n v="4803428"/>
    <n v="3009838761"/>
    <x v="11"/>
    <m/>
    <n v="800000"/>
    <s v="BCOL AHO"/>
    <s v="CREDITO"/>
    <m/>
    <n v="400000"/>
    <m/>
    <n v="400000"/>
    <n v="400000"/>
    <m/>
    <m/>
    <m/>
    <n v="800000"/>
    <n v="0"/>
    <n v="1600000"/>
    <n v="0"/>
    <n v="0"/>
    <n v="3600000"/>
    <n v="9"/>
    <n v="5"/>
    <n v="9"/>
  </r>
  <r>
    <n v="36"/>
    <s v="HERMES PATIÑO"/>
    <n v="93206783"/>
    <n v="3125188563"/>
    <x v="11"/>
    <m/>
    <n v="800000"/>
    <s v="BCOL AHO"/>
    <s v="CREDITO"/>
    <n v="400000"/>
    <n v="400000"/>
    <m/>
    <n v="400000"/>
    <n v="400000"/>
    <n v="400000"/>
    <n v="400000"/>
    <n v="400000"/>
    <n v="800000"/>
    <n v="800000"/>
    <n v="800000"/>
    <n v="0"/>
    <n v="0"/>
    <n v="5200000"/>
    <n v="13"/>
    <n v="10"/>
    <n v="13"/>
  </r>
  <r>
    <n v="37"/>
    <s v="HUMBERTO  OSPINO"/>
    <n v="72147202"/>
    <n v="3126317467"/>
    <x v="12"/>
    <m/>
    <n v="1200000"/>
    <s v="BCOL AHO 2"/>
    <s v="CREDITO"/>
    <m/>
    <m/>
    <n v="800000"/>
    <n v="400000"/>
    <m/>
    <n v="400000"/>
    <m/>
    <m/>
    <n v="0"/>
    <n v="800000"/>
    <n v="400000"/>
    <n v="400000"/>
    <n v="0"/>
    <n v="3200000"/>
    <n v="8"/>
    <n v="6"/>
    <n v="8"/>
  </r>
  <r>
    <n v="38"/>
    <s v="IG. EN  PTO. COLOMBIA "/>
    <m/>
    <m/>
    <x v="13"/>
    <m/>
    <n v="2812000"/>
    <s v="BCOL AHO"/>
    <s v="CREDITO"/>
    <n v="1030000"/>
    <n v="1020000"/>
    <m/>
    <m/>
    <n v="1020000"/>
    <m/>
    <m/>
    <n v="640000"/>
    <n v="0"/>
    <n v="0"/>
    <n v="0"/>
    <n v="0"/>
    <n v="0"/>
    <n v="3710000"/>
    <n v="9.2750000000000004"/>
    <n v="4"/>
    <n v="10"/>
  </r>
  <r>
    <n v="39"/>
    <s v="IG. EN BARRANQUILLA "/>
    <n v="8742974"/>
    <n v="317889812"/>
    <x v="13"/>
    <m/>
    <n v="5200000"/>
    <s v="BCOL AHO"/>
    <s v="CREDITO"/>
    <n v="4000000"/>
    <m/>
    <n v="2000000"/>
    <n v="2000000"/>
    <m/>
    <n v="1600000"/>
    <n v="903000"/>
    <m/>
    <n v="3310000"/>
    <n v="0"/>
    <n v="800000"/>
    <n v="395000"/>
    <n v="2085000"/>
    <n v="17093000"/>
    <n v="42.732500000000002"/>
    <n v="9"/>
    <n v="43"/>
  </r>
  <r>
    <n v="40"/>
    <s v="IG. EN BAYUNCA JAVIER MIRANDA"/>
    <m/>
    <m/>
    <x v="14"/>
    <m/>
    <n v="0"/>
    <s v="BCOL AHO"/>
    <s v="CREDITO"/>
    <n v="400000"/>
    <m/>
    <m/>
    <m/>
    <m/>
    <m/>
    <m/>
    <m/>
    <n v="200000"/>
    <n v="0"/>
    <n v="0"/>
    <n v="0"/>
    <n v="0"/>
    <n v="600000"/>
    <n v="1.5"/>
    <n v="2"/>
    <n v="2"/>
  </r>
  <r>
    <n v="41"/>
    <s v="IG. EN BUCARAMANGA"/>
    <n v="900379577"/>
    <n v="31844096518"/>
    <x v="15"/>
    <m/>
    <m/>
    <m/>
    <s v="CREDITO"/>
    <m/>
    <m/>
    <m/>
    <n v="400000"/>
    <n v="400000"/>
    <m/>
    <n v="800000"/>
    <n v="525000"/>
    <n v="4000000"/>
    <n v="6400000"/>
    <n v="7200000"/>
    <n v="0"/>
    <n v="0"/>
    <n v="19725000"/>
    <n v="49.3125"/>
    <n v="7"/>
    <n v="50"/>
  </r>
  <r>
    <n v="42"/>
    <s v="IG. EN CARTAGO "/>
    <m/>
    <m/>
    <x v="16"/>
    <n v="1"/>
    <n v="400000"/>
    <s v="BCOL AHO"/>
    <s v="CREDITO"/>
    <n v="120000"/>
    <n v="165000"/>
    <n v="860000"/>
    <m/>
    <n v="200000"/>
    <m/>
    <m/>
    <n v="100000"/>
    <n v="1100000"/>
    <n v="1150000"/>
    <n v="0"/>
    <n v="0"/>
    <n v="0"/>
    <n v="3695000"/>
    <n v="9.2375000000000007"/>
    <n v="7"/>
    <n v="10"/>
  </r>
  <r>
    <n v="43"/>
    <s v="IG. EN CORDOBA "/>
    <m/>
    <m/>
    <x v="17"/>
    <n v="1"/>
    <n v="2137600"/>
    <s v="BCOL AHO 2"/>
    <s v="CREDITO"/>
    <m/>
    <m/>
    <m/>
    <m/>
    <n v="800000"/>
    <m/>
    <n v="3600000"/>
    <m/>
    <n v="0"/>
    <n v="6400000"/>
    <n v="0"/>
    <n v="0"/>
    <n v="0"/>
    <n v="10800000"/>
    <n v="27"/>
    <n v="3"/>
    <n v="27"/>
  </r>
  <r>
    <n v="44"/>
    <s v="IG. EN CUCUTA GUSTAVO LEON"/>
    <n v="16354014"/>
    <n v="3133884161"/>
    <x v="5"/>
    <n v="1"/>
    <n v="2840000"/>
    <s v="BCOL AHO 2"/>
    <s v="CREDITO"/>
    <n v="400000"/>
    <n v="400000"/>
    <n v="800000"/>
    <n v="400000"/>
    <n v="800000"/>
    <n v="1600000"/>
    <n v="1600000"/>
    <n v="2000000"/>
    <n v="2400000"/>
    <n v="1200000"/>
    <n v="1600000"/>
    <n v="900000"/>
    <n v="800000"/>
    <n v="14900000"/>
    <n v="37.25"/>
    <n v="13"/>
    <n v="38"/>
  </r>
  <r>
    <n v="45"/>
    <s v="IG. EN DOSQUEBRADAS "/>
    <m/>
    <m/>
    <x v="6"/>
    <m/>
    <n v="800000"/>
    <s v="BCOL AHO"/>
    <s v="CREDITO"/>
    <m/>
    <m/>
    <m/>
    <n v="400000"/>
    <m/>
    <m/>
    <n v="350000"/>
    <n v="400000"/>
    <n v="400000"/>
    <n v="0"/>
    <n v="0"/>
    <n v="350000"/>
    <n v="0"/>
    <n v="1900000"/>
    <n v="4.75"/>
    <n v="5"/>
    <n v="5"/>
  </r>
  <r>
    <n v="46"/>
    <s v="IG. EN EL D.C. "/>
    <n v="900299699"/>
    <n v="3214118979"/>
    <x v="2"/>
    <m/>
    <n v="3200000"/>
    <s v="TRASLADO"/>
    <s v="CREDITO"/>
    <n v="800000"/>
    <n v="800000"/>
    <n v="800000"/>
    <n v="800000"/>
    <n v="2000000"/>
    <n v="800000"/>
    <n v="800000"/>
    <n v="800000"/>
    <n v="3600000"/>
    <n v="800000"/>
    <n v="800000"/>
    <n v="800000"/>
    <n v="800000"/>
    <n v="14400000"/>
    <n v="36"/>
    <n v="13"/>
    <n v="36"/>
  </r>
  <r>
    <n v="47"/>
    <s v="IG. EN GIRARDOT "/>
    <m/>
    <m/>
    <x v="18"/>
    <m/>
    <n v="220000"/>
    <s v="BCOL AHO 2"/>
    <s v="CREDITO"/>
    <m/>
    <m/>
    <m/>
    <m/>
    <m/>
    <m/>
    <m/>
    <m/>
    <n v="0"/>
    <n v="0"/>
    <n v="0"/>
    <n v="0"/>
    <n v="0"/>
    <n v="0"/>
    <n v="0"/>
    <n v="0"/>
    <n v="0"/>
  </r>
  <r>
    <n v="48"/>
    <s v="IG. EN GIRARDOTA "/>
    <m/>
    <m/>
    <x v="3"/>
    <m/>
    <n v="400000"/>
    <s v="BCOL AHO"/>
    <s v="CREDITO"/>
    <m/>
    <n v="400000"/>
    <n v="400000"/>
    <n v="400000"/>
    <n v="1200000"/>
    <n v="1200000"/>
    <n v="2000000"/>
    <n v="1600000"/>
    <n v="2800000"/>
    <n v="0"/>
    <n v="1600000"/>
    <n v="1600000"/>
    <n v="0"/>
    <n v="13200000"/>
    <n v="33"/>
    <n v="10"/>
    <n v="33"/>
  </r>
  <r>
    <n v="49"/>
    <s v="IG. EN ITAGUI "/>
    <m/>
    <m/>
    <x v="19"/>
    <m/>
    <n v="1450000"/>
    <s v="BCOL AHO"/>
    <s v="CREDITO"/>
    <m/>
    <m/>
    <m/>
    <m/>
    <n v="1600000"/>
    <m/>
    <m/>
    <m/>
    <n v="0"/>
    <n v="0"/>
    <n v="0"/>
    <n v="0"/>
    <n v="0"/>
    <n v="1600000"/>
    <n v="4"/>
    <n v="1"/>
    <n v="4"/>
  </r>
  <r>
    <n v="50"/>
    <s v="IG. EN ITSMINA "/>
    <n v="11809146"/>
    <n v="3136811706"/>
    <x v="20"/>
    <m/>
    <n v="845000"/>
    <s v="BCOL AHO"/>
    <s v="CREDITO"/>
    <n v="500000"/>
    <m/>
    <n v="400000"/>
    <n v="800000"/>
    <n v="1200000"/>
    <m/>
    <m/>
    <n v="2400000"/>
    <n v="0"/>
    <n v="0"/>
    <n v="1200000"/>
    <n v="2400000"/>
    <n v="800000"/>
    <n v="9700000"/>
    <n v="24.25"/>
    <n v="8"/>
    <n v="25"/>
  </r>
  <r>
    <n v="51"/>
    <s v="IG. EN LA MINA "/>
    <m/>
    <m/>
    <x v="21"/>
    <m/>
    <n v="800000"/>
    <s v="BCOL AHO"/>
    <s v="CREDITO"/>
    <m/>
    <m/>
    <m/>
    <m/>
    <n v="400000"/>
    <m/>
    <m/>
    <n v="400000"/>
    <n v="0"/>
    <n v="0"/>
    <n v="0"/>
    <n v="0"/>
    <n v="400000"/>
    <n v="1200000"/>
    <n v="3"/>
    <n v="3"/>
    <n v="3"/>
  </r>
  <r>
    <n v="52"/>
    <s v="IG. EN MALAMBO "/>
    <m/>
    <m/>
    <x v="22"/>
    <n v="1"/>
    <n v="850000"/>
    <s v="BCOL AHO 2"/>
    <s v="CREDITO"/>
    <m/>
    <n v="80000"/>
    <m/>
    <n v="120000"/>
    <n v="105000"/>
    <n v="110000"/>
    <n v="550000"/>
    <n v="150000"/>
    <n v="110000"/>
    <n v="0"/>
    <n v="210000"/>
    <n v="0"/>
    <n v="400000"/>
    <n v="1835000"/>
    <n v="4.5875000000000004"/>
    <n v="9"/>
    <n v="5"/>
  </r>
  <r>
    <n v="53"/>
    <s v="IG. EN MEDELLIN"/>
    <m/>
    <m/>
    <x v="0"/>
    <m/>
    <m/>
    <m/>
    <s v="CREDITO"/>
    <m/>
    <m/>
    <m/>
    <m/>
    <m/>
    <m/>
    <n v="800000"/>
    <n v="1200000"/>
    <n v="0"/>
    <n v="0"/>
    <n v="800000"/>
    <n v="0"/>
    <n v="0"/>
    <n v="2800000"/>
    <n v="7"/>
    <n v="3"/>
    <n v="7"/>
  </r>
  <r>
    <n v="54"/>
    <s v="IG. EN NEIVA "/>
    <m/>
    <m/>
    <x v="7"/>
    <m/>
    <n v="400000"/>
    <s v="BCOL AHO"/>
    <s v="CREDITO"/>
    <n v="400000"/>
    <m/>
    <m/>
    <n v="1200000"/>
    <m/>
    <n v="2400000"/>
    <n v="1200000"/>
    <n v="1200000"/>
    <n v="2400000"/>
    <n v="0"/>
    <n v="0"/>
    <n v="0"/>
    <n v="600000"/>
    <n v="9400000"/>
    <n v="23.5"/>
    <n v="7"/>
    <n v="24"/>
  </r>
  <r>
    <n v="55"/>
    <s v="IG. EN OCAÑA "/>
    <s v="900420427-8"/>
    <m/>
    <x v="10"/>
    <m/>
    <n v="2800000"/>
    <s v="BCOL AHO"/>
    <s v="CREDITO"/>
    <n v="800000"/>
    <n v="800000"/>
    <n v="800000"/>
    <n v="800000"/>
    <m/>
    <m/>
    <n v="1600000"/>
    <n v="1200000"/>
    <n v="0"/>
    <n v="1200000"/>
    <n v="800000"/>
    <n v="400000"/>
    <n v="0"/>
    <n v="8400000"/>
    <n v="21"/>
    <n v="9"/>
    <n v="21"/>
  </r>
  <r>
    <n v="56"/>
    <s v="IG. EN PEREIRA "/>
    <m/>
    <m/>
    <x v="23"/>
    <n v="2"/>
    <n v="2800000"/>
    <s v="BCOL AHO 2"/>
    <s v="CREDITO"/>
    <n v="400000"/>
    <n v="400000"/>
    <n v="800000"/>
    <n v="1200000"/>
    <n v="1200000"/>
    <n v="1200000"/>
    <n v="800000"/>
    <n v="800000"/>
    <n v="1200000"/>
    <n v="1200000"/>
    <n v="2000000"/>
    <n v="800000"/>
    <n v="0"/>
    <n v="12000000"/>
    <n v="30"/>
    <n v="12"/>
    <n v="30"/>
  </r>
  <r>
    <n v="57"/>
    <s v="IG. EN QUIBDO "/>
    <n v="900371129"/>
    <n v="3216464514"/>
    <x v="24"/>
    <m/>
    <n v="400000"/>
    <s v="BCOL AHO"/>
    <s v="CREDITO"/>
    <m/>
    <m/>
    <n v="800000"/>
    <m/>
    <m/>
    <m/>
    <m/>
    <m/>
    <n v="0"/>
    <n v="800000"/>
    <n v="0"/>
    <n v="0"/>
    <n v="0"/>
    <n v="1600000"/>
    <n v="4"/>
    <n v="2"/>
    <n v="4"/>
  </r>
  <r>
    <n v="58"/>
    <s v="IG. EN RIOHACHA"/>
    <m/>
    <m/>
    <x v="25"/>
    <m/>
    <m/>
    <s v="BCOL AHO"/>
    <s v="CREDITO"/>
    <m/>
    <m/>
    <m/>
    <n v="440000"/>
    <m/>
    <m/>
    <m/>
    <m/>
    <n v="0"/>
    <n v="0"/>
    <n v="0"/>
    <n v="0"/>
    <n v="0"/>
    <n v="440000"/>
    <n v="1.1000000000000001"/>
    <n v="1"/>
    <n v="2"/>
  </r>
  <r>
    <n v="59"/>
    <s v="IG. EN RIVERA "/>
    <m/>
    <m/>
    <x v="26"/>
    <m/>
    <n v="0"/>
    <s v="BCOL AHO"/>
    <s v="CREDITO"/>
    <n v="100000"/>
    <n v="100000"/>
    <n v="100000"/>
    <m/>
    <n v="100000"/>
    <n v="170000"/>
    <n v="170000"/>
    <m/>
    <n v="170000"/>
    <n v="170000"/>
    <n v="170000"/>
    <n v="0"/>
    <n v="0"/>
    <n v="1250000"/>
    <n v="3.125"/>
    <n v="9"/>
    <n v="4"/>
  </r>
  <r>
    <n v="60"/>
    <s v="IG. EN SINCELEJO "/>
    <m/>
    <m/>
    <x v="11"/>
    <m/>
    <n v="400000"/>
    <s v="BCOL AHO"/>
    <s v="CREDITO"/>
    <n v="500000"/>
    <m/>
    <m/>
    <n v="500000"/>
    <m/>
    <m/>
    <m/>
    <m/>
    <n v="0"/>
    <n v="0"/>
    <n v="0"/>
    <n v="0"/>
    <n v="400000"/>
    <n v="1400000"/>
    <n v="3.5"/>
    <n v="3"/>
    <n v="4"/>
  </r>
  <r>
    <n v="61"/>
    <s v="IG. EN SOLEDAD "/>
    <m/>
    <m/>
    <x v="27"/>
    <m/>
    <n v="2000000"/>
    <s v="BCOL AHO"/>
    <s v="CREDITO"/>
    <m/>
    <m/>
    <n v="800000"/>
    <n v="800000"/>
    <m/>
    <m/>
    <n v="800000"/>
    <n v="800000"/>
    <n v="2074000"/>
    <n v="1050000"/>
    <n v="0"/>
    <n v="1200000"/>
    <n v="0"/>
    <n v="7524000"/>
    <n v="18.809999999999999"/>
    <n v="7"/>
    <n v="19"/>
  </r>
  <r>
    <n v="62"/>
    <s v="IG. EN STA MARTA JOSE LUIS TERAN"/>
    <m/>
    <n v="3233712038"/>
    <x v="28"/>
    <m/>
    <n v="200000"/>
    <s v="BCOL AHO"/>
    <s v="CREDITO"/>
    <n v="602000"/>
    <m/>
    <n v="322000"/>
    <n v="197250"/>
    <n v="600000"/>
    <m/>
    <m/>
    <n v="315000"/>
    <n v="570000"/>
    <n v="200000"/>
    <n v="2000000"/>
    <n v="2260000"/>
    <n v="2130000"/>
    <n v="9196250"/>
    <n v="22.990625000000001"/>
    <n v="10"/>
    <n v="23"/>
  </r>
  <r>
    <n v="63"/>
    <s v="IG. EN SUAN "/>
    <m/>
    <m/>
    <x v="29"/>
    <m/>
    <n v="800000"/>
    <s v="BCOL AHO"/>
    <s v="CREDITO"/>
    <n v="400000"/>
    <m/>
    <m/>
    <n v="400000"/>
    <n v="400000"/>
    <n v="275000"/>
    <n v="400000"/>
    <n v="400000"/>
    <n v="0"/>
    <n v="400000"/>
    <n v="0"/>
    <n v="170000"/>
    <n v="570000"/>
    <n v="3415000"/>
    <n v="8.5374999999999996"/>
    <n v="9"/>
    <n v="9"/>
  </r>
  <r>
    <n v="64"/>
    <s v="IG. EN TURBACO "/>
    <m/>
    <m/>
    <x v="30"/>
    <m/>
    <n v="400000"/>
    <s v="BCOL AHO"/>
    <s v="CREDITO"/>
    <m/>
    <m/>
    <m/>
    <m/>
    <n v="3100000"/>
    <m/>
    <m/>
    <m/>
    <n v="0"/>
    <n v="0"/>
    <n v="2204059"/>
    <n v="0"/>
    <n v="0"/>
    <n v="5304059"/>
    <n v="13.2601475"/>
    <n v="2"/>
    <n v="14"/>
  </r>
  <r>
    <n v="65"/>
    <s v="IG. EN UBATE "/>
    <n v="900384157"/>
    <n v="3103160465"/>
    <x v="31"/>
    <m/>
    <n v="3200000"/>
    <s v="BCOL AHO"/>
    <s v="CREDITO"/>
    <n v="1600000"/>
    <m/>
    <n v="1600000"/>
    <n v="1600000"/>
    <n v="1600000"/>
    <m/>
    <n v="1600000"/>
    <n v="1600000"/>
    <n v="1600000"/>
    <n v="1600000"/>
    <n v="1500000"/>
    <n v="1200000"/>
    <n v="4800000"/>
    <n v="20300000"/>
    <n v="50.75"/>
    <n v="11"/>
    <n v="51"/>
  </r>
  <r>
    <n v="66"/>
    <s v="IG. EN VALLEDUPAR "/>
    <n v="900406774"/>
    <m/>
    <x v="32"/>
    <m/>
    <n v="3340000"/>
    <s v="BCOL AHO"/>
    <s v="CREDITO"/>
    <n v="800000"/>
    <n v="1495000"/>
    <n v="3000000"/>
    <n v="6400000"/>
    <m/>
    <m/>
    <n v="6000000"/>
    <n v="6545000"/>
    <n v="6400000"/>
    <n v="7100000"/>
    <n v="9500000"/>
    <n v="11600000"/>
    <n v="0"/>
    <n v="58840000"/>
    <n v="147.1"/>
    <n v="10"/>
    <n v="148"/>
  </r>
  <r>
    <n v="67"/>
    <s v="IG. EN VILLAVICENCIO"/>
    <m/>
    <m/>
    <x v="33"/>
    <m/>
    <m/>
    <s v="BCOL AHO"/>
    <s v="CREDITO"/>
    <m/>
    <m/>
    <m/>
    <n v="200000"/>
    <n v="400000"/>
    <m/>
    <n v="560000"/>
    <m/>
    <n v="950000"/>
    <n v="0"/>
    <n v="0"/>
    <n v="0"/>
    <n v="0"/>
    <n v="2110000"/>
    <n v="5.2750000000000004"/>
    <n v="4"/>
    <n v="6"/>
  </r>
  <r>
    <n v="68"/>
    <s v="IG. EN VILLA DEL ROSARIO"/>
    <m/>
    <m/>
    <x v="34"/>
    <m/>
    <m/>
    <m/>
    <s v="CREDITO"/>
    <m/>
    <m/>
    <m/>
    <m/>
    <m/>
    <n v="1580000"/>
    <m/>
    <n v="2000000"/>
    <n v="2000000"/>
    <n v="0"/>
    <n v="2000000"/>
    <n v="0"/>
    <n v="1200000"/>
    <n v="8780000"/>
    <n v="21.95"/>
    <n v="5"/>
    <n v="22"/>
  </r>
  <r>
    <n v="69"/>
    <s v="IG. EN TULUA GUILLERMO HERRERA MURCIA"/>
    <m/>
    <m/>
    <x v="35"/>
    <m/>
    <n v="400000"/>
    <s v="BCOL AHO"/>
    <s v="CREDITO"/>
    <m/>
    <m/>
    <m/>
    <n v="400000"/>
    <m/>
    <n v="400000"/>
    <n v="400000"/>
    <n v="400000"/>
    <n v="400000"/>
    <n v="0"/>
    <n v="0"/>
    <n v="400000"/>
    <n v="0"/>
    <n v="2400000"/>
    <n v="6"/>
    <n v="6"/>
    <n v="6"/>
  </r>
  <r>
    <n v="70"/>
    <s v="IG. EN ARMENIA"/>
    <m/>
    <m/>
    <x v="36"/>
    <m/>
    <m/>
    <m/>
    <s v="CREDITO"/>
    <m/>
    <m/>
    <m/>
    <m/>
    <n v="400000"/>
    <n v="400000"/>
    <n v="400000"/>
    <m/>
    <n v="400000"/>
    <n v="400000"/>
    <n v="0"/>
    <n v="1600000"/>
    <n v="0"/>
    <n v="3600000"/>
    <n v="9"/>
    <n v="6"/>
    <n v="9"/>
  </r>
  <r>
    <n v="71"/>
    <s v="IG. EN CARTAGENA"/>
    <m/>
    <m/>
    <x v="37"/>
    <m/>
    <m/>
    <m/>
    <s v="CREDITO"/>
    <m/>
    <m/>
    <m/>
    <m/>
    <n v="2400000"/>
    <n v="2890000"/>
    <m/>
    <n v="2000000"/>
    <n v="0"/>
    <n v="3600000"/>
    <n v="800000"/>
    <n v="400000"/>
    <n v="0"/>
    <n v="12090000"/>
    <n v="30.225000000000001"/>
    <n v="6"/>
    <n v="31"/>
  </r>
  <r>
    <n v="72"/>
    <s v="IG. EN LOS PATIOS "/>
    <s v="900474240-1"/>
    <n v="3222616473"/>
    <x v="8"/>
    <m/>
    <m/>
    <m/>
    <s v="CREDITO"/>
    <m/>
    <m/>
    <m/>
    <m/>
    <n v="1600000"/>
    <n v="2000000"/>
    <n v="400000"/>
    <n v="1600000"/>
    <n v="0"/>
    <n v="1400000"/>
    <n v="400000"/>
    <n v="800000"/>
    <n v="800000"/>
    <n v="9000000"/>
    <n v="22.5"/>
    <n v="8"/>
    <n v="23"/>
  </r>
  <r>
    <n v="73"/>
    <s v="IG. EN MONTERIA y STA LUCIA"/>
    <m/>
    <m/>
    <x v="38"/>
    <n v="1"/>
    <n v="1862400"/>
    <s v="BCOL AHO 2"/>
    <s v="CREDITO"/>
    <m/>
    <n v="1737600"/>
    <n v="800000"/>
    <n v="1200000"/>
    <n v="2400000"/>
    <n v="2400000"/>
    <m/>
    <n v="3600000"/>
    <n v="0"/>
    <n v="0"/>
    <n v="0"/>
    <n v="0"/>
    <n v="2500000"/>
    <n v="14637600"/>
    <n v="36.594000000000001"/>
    <n v="7"/>
    <n v="37"/>
  </r>
  <r>
    <n v="74"/>
    <s v="INDIRA  ESTRADA"/>
    <m/>
    <m/>
    <x v="2"/>
    <m/>
    <n v="20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75"/>
    <s v="ISABEL TORRIJAS"/>
    <m/>
    <m/>
    <x v="0"/>
    <n v="1"/>
    <n v="50000"/>
    <s v="BCOL AHO 2"/>
    <s v="CREDITO"/>
    <m/>
    <m/>
    <m/>
    <m/>
    <m/>
    <m/>
    <m/>
    <m/>
    <n v="0"/>
    <n v="0"/>
    <n v="0"/>
    <n v="0"/>
    <n v="0"/>
    <n v="0"/>
    <n v="0"/>
    <n v="0"/>
    <n v="0"/>
  </r>
  <r>
    <n v="76"/>
    <s v="JAMES GAMBOA"/>
    <m/>
    <m/>
    <x v="2"/>
    <m/>
    <n v="1762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77"/>
    <s v="JAVIER BLOOM"/>
    <m/>
    <m/>
    <x v="0"/>
    <m/>
    <n v="800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78"/>
    <s v="JEAN CARLOS BLANCO"/>
    <n v="1093783625"/>
    <n v="3223202421"/>
    <x v="8"/>
    <m/>
    <n v="1200000"/>
    <s v="BCOL AHO"/>
    <s v="CREDITO"/>
    <m/>
    <n v="800000"/>
    <m/>
    <n v="400000"/>
    <n v="400000"/>
    <m/>
    <n v="400000"/>
    <n v="400000"/>
    <n v="400000"/>
    <n v="800000"/>
    <n v="800000"/>
    <n v="400000"/>
    <n v="400000"/>
    <n v="5200000"/>
    <n v="13"/>
    <n v="10"/>
    <n v="13"/>
  </r>
  <r>
    <n v="79"/>
    <s v="JHOJAS QUINTERO "/>
    <n v="79477468"/>
    <n v="3185861284"/>
    <x v="39"/>
    <m/>
    <n v="500000"/>
    <s v="BCOL AHO"/>
    <s v="CREDITO"/>
    <m/>
    <m/>
    <m/>
    <m/>
    <n v="400000"/>
    <n v="400000"/>
    <n v="500000"/>
    <m/>
    <n v="600000"/>
    <n v="500000"/>
    <n v="940000"/>
    <n v="400000"/>
    <n v="400000"/>
    <n v="4140000"/>
    <n v="10.35"/>
    <n v="8"/>
    <n v="11"/>
  </r>
  <r>
    <n v="80"/>
    <s v="JHON  ROJAS"/>
    <n v="12135690"/>
    <m/>
    <x v="7"/>
    <m/>
    <n v="100000"/>
    <s v="BCOL AHO 2"/>
    <s v="CREDITO"/>
    <m/>
    <m/>
    <m/>
    <m/>
    <m/>
    <n v="400000"/>
    <m/>
    <m/>
    <n v="0"/>
    <n v="400000"/>
    <n v="0"/>
    <n v="400000"/>
    <n v="0"/>
    <n v="1200000"/>
    <n v="3"/>
    <n v="3"/>
    <n v="3"/>
  </r>
  <r>
    <n v="81"/>
    <s v="JOEL  ARIAS "/>
    <m/>
    <m/>
    <x v="0"/>
    <m/>
    <n v="0"/>
    <s v="BCOL AHO"/>
    <s v="CREDITO"/>
    <m/>
    <n v="420000"/>
    <m/>
    <m/>
    <m/>
    <m/>
    <m/>
    <m/>
    <n v="0"/>
    <n v="0"/>
    <n v="0"/>
    <n v="0"/>
    <n v="0"/>
    <n v="420000"/>
    <n v="1.05"/>
    <n v="1"/>
    <n v="2"/>
  </r>
  <r>
    <n v="82"/>
    <s v="JOHAN GOMEZ ZAPATA"/>
    <n v="1128400756"/>
    <n v="3043640493"/>
    <x v="0"/>
    <m/>
    <m/>
    <s v="BCOL AHO"/>
    <s v="CREDITO"/>
    <m/>
    <m/>
    <n v="400000"/>
    <m/>
    <n v="400000"/>
    <m/>
    <m/>
    <m/>
    <n v="0"/>
    <n v="800000"/>
    <n v="0"/>
    <n v="400000"/>
    <n v="0"/>
    <n v="2000000"/>
    <n v="5"/>
    <n v="4"/>
    <n v="5"/>
  </r>
  <r>
    <n v="83"/>
    <s v="JOHANA SANTIESTEBAN"/>
    <m/>
    <m/>
    <x v="1"/>
    <m/>
    <m/>
    <m/>
    <s v="CREDITO"/>
    <m/>
    <m/>
    <m/>
    <m/>
    <n v="2000000"/>
    <n v="2000000"/>
    <m/>
    <m/>
    <n v="0"/>
    <n v="0"/>
    <n v="0"/>
    <n v="0"/>
    <n v="0"/>
    <n v="4000000"/>
    <n v="10"/>
    <n v="2"/>
    <n v="10"/>
  </r>
  <r>
    <n v="84"/>
    <s v="JORGE GOMEZ"/>
    <n v="13838106"/>
    <n v="3158359949"/>
    <x v="15"/>
    <n v="2"/>
    <n v="0"/>
    <s v="No Registra"/>
    <s v="CREDITO"/>
    <m/>
    <m/>
    <n v="1200000"/>
    <n v="700000"/>
    <n v="400000"/>
    <n v="400000"/>
    <n v="400000"/>
    <n v="400000"/>
    <n v="400000"/>
    <n v="400000"/>
    <n v="0"/>
    <n v="0"/>
    <n v="0"/>
    <n v="4300000"/>
    <n v="10.75"/>
    <n v="8"/>
    <n v="11"/>
  </r>
  <r>
    <n v="85"/>
    <s v="JORGE LUIS BARRIOS"/>
    <n v="91249777"/>
    <m/>
    <x v="1"/>
    <m/>
    <n v="800000"/>
    <s v="BCOL AHO"/>
    <s v="CREDITO"/>
    <m/>
    <n v="800000"/>
    <n v="400000"/>
    <m/>
    <n v="1200000"/>
    <m/>
    <n v="400000"/>
    <m/>
    <n v="0"/>
    <n v="0"/>
    <n v="0"/>
    <n v="0"/>
    <n v="0"/>
    <n v="2800000"/>
    <n v="7"/>
    <n v="4"/>
    <n v="7"/>
  </r>
  <r>
    <n v="86"/>
    <s v="JORGE RODRIGUEZ"/>
    <m/>
    <m/>
    <x v="1"/>
    <m/>
    <n v="200000"/>
    <s v="BCOL AHO"/>
    <s v="CREDITO"/>
    <n v="200000"/>
    <m/>
    <m/>
    <m/>
    <m/>
    <m/>
    <m/>
    <m/>
    <n v="0"/>
    <n v="0"/>
    <n v="0"/>
    <n v="0"/>
    <n v="0"/>
    <n v="200000"/>
    <n v="0.5"/>
    <n v="1"/>
    <n v="1"/>
  </r>
  <r>
    <n v="87"/>
    <s v="JOSE ELBERT GARZON"/>
    <m/>
    <m/>
    <x v="1"/>
    <m/>
    <n v="860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88"/>
    <s v="JOSE ENRIQUE ARIAS PEREZ"/>
    <n v="15374739"/>
    <m/>
    <x v="0"/>
    <m/>
    <n v="840000"/>
    <s v="BCOL AHO 2"/>
    <s v="CREDITO"/>
    <m/>
    <m/>
    <m/>
    <n v="420000"/>
    <n v="420000"/>
    <n v="420000"/>
    <n v="420000"/>
    <n v="420000"/>
    <n v="400000"/>
    <n v="400000"/>
    <n v="400000"/>
    <n v="0"/>
    <n v="0"/>
    <n v="3300000"/>
    <n v="8.25"/>
    <n v="8"/>
    <n v="9"/>
  </r>
  <r>
    <n v="89"/>
    <s v="JOSE GONZALEZ"/>
    <m/>
    <m/>
    <x v="1"/>
    <n v="1"/>
    <n v="400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90"/>
    <s v="JUAN  VALENCIA"/>
    <m/>
    <m/>
    <x v="1"/>
    <m/>
    <n v="1600000"/>
    <s v="BCOL AHO 2"/>
    <s v="CREDITO"/>
    <m/>
    <m/>
    <m/>
    <m/>
    <m/>
    <m/>
    <m/>
    <m/>
    <n v="0"/>
    <n v="0"/>
    <n v="0"/>
    <n v="0"/>
    <n v="0"/>
    <n v="0"/>
    <n v="0"/>
    <n v="0"/>
    <n v="0"/>
  </r>
  <r>
    <n v="91"/>
    <s v="JUAN C. MORENO"/>
    <m/>
    <m/>
    <x v="1"/>
    <n v="1"/>
    <n v="400000"/>
    <s v="BCOL AHO"/>
    <s v="CREDITO"/>
    <m/>
    <m/>
    <m/>
    <n v="400000"/>
    <n v="400000"/>
    <m/>
    <m/>
    <n v="400000"/>
    <n v="0"/>
    <n v="0"/>
    <n v="0"/>
    <n v="0"/>
    <n v="0"/>
    <n v="1200000"/>
    <n v="3"/>
    <n v="3"/>
    <n v="3"/>
  </r>
  <r>
    <n v="92"/>
    <s v="JUAN GUILLERMO  MUÑOZ GIRARDOTA"/>
    <m/>
    <m/>
    <x v="3"/>
    <m/>
    <n v="400000"/>
    <s v="BCOL AHO"/>
    <s v="CREDITO"/>
    <m/>
    <m/>
    <m/>
    <m/>
    <m/>
    <m/>
    <m/>
    <m/>
    <n v="0"/>
    <n v="0"/>
    <n v="400000"/>
    <n v="400000"/>
    <n v="0"/>
    <n v="800000"/>
    <n v="2"/>
    <n v="2"/>
    <n v="2"/>
  </r>
  <r>
    <n v="93"/>
    <s v="JUAN MINA"/>
    <m/>
    <m/>
    <x v="1"/>
    <m/>
    <n v="0"/>
    <m/>
    <s v="CREDITO"/>
    <m/>
    <n v="400000"/>
    <m/>
    <m/>
    <m/>
    <m/>
    <m/>
    <m/>
    <n v="0"/>
    <n v="0"/>
    <n v="0"/>
    <n v="0"/>
    <n v="0"/>
    <n v="400000"/>
    <n v="1"/>
    <n v="1"/>
    <n v="1"/>
  </r>
  <r>
    <n v="94"/>
    <s v="JUAN PABLO OLIVELLA"/>
    <n v="77037962"/>
    <n v="3108469718"/>
    <x v="32"/>
    <m/>
    <n v="1600000"/>
    <s v="BCOL AHO"/>
    <s v="CREDITO"/>
    <m/>
    <m/>
    <n v="1600000"/>
    <n v="400000"/>
    <n v="800000"/>
    <m/>
    <n v="400000"/>
    <m/>
    <n v="400000"/>
    <n v="400000"/>
    <n v="0"/>
    <n v="2400000"/>
    <n v="2400000"/>
    <n v="8800000"/>
    <n v="22"/>
    <n v="8"/>
    <n v="22"/>
  </r>
  <r>
    <n v="95"/>
    <s v="JUAN PABLO OLIVELLA (HNO. DONG)"/>
    <m/>
    <m/>
    <x v="1"/>
    <m/>
    <n v="0"/>
    <s v="BCOL AHO"/>
    <s v="CREDITO"/>
    <m/>
    <m/>
    <n v="10000000"/>
    <m/>
    <m/>
    <m/>
    <m/>
    <m/>
    <n v="0"/>
    <n v="0"/>
    <n v="0"/>
    <n v="0"/>
    <n v="0"/>
    <n v="10000000"/>
    <n v="25"/>
    <n v="1"/>
    <n v="25"/>
  </r>
  <r>
    <n v="96"/>
    <s v="JUAN SEBASTIAN  MONTES PINZON"/>
    <m/>
    <m/>
    <x v="40"/>
    <m/>
    <n v="400000"/>
    <s v="BCOL AHO"/>
    <s v="CREDITO"/>
    <m/>
    <m/>
    <m/>
    <m/>
    <m/>
    <m/>
    <m/>
    <m/>
    <n v="0"/>
    <n v="0"/>
    <n v="0"/>
    <n v="400000"/>
    <n v="0"/>
    <n v="400000"/>
    <n v="1"/>
    <n v="1"/>
    <n v="1"/>
  </r>
  <r>
    <n v="97"/>
    <s v="JULIAN  CADAVID"/>
    <m/>
    <m/>
    <x v="1"/>
    <n v="3"/>
    <n v="0"/>
    <s v="No Registra"/>
    <s v="CREDITO"/>
    <m/>
    <m/>
    <m/>
    <m/>
    <m/>
    <m/>
    <m/>
    <m/>
    <n v="0"/>
    <n v="0"/>
    <n v="0"/>
    <n v="0"/>
    <n v="0"/>
    <n v="0"/>
    <n v="0"/>
    <n v="0"/>
    <n v="0"/>
  </r>
  <r>
    <n v="98"/>
    <s v="JULIAN FRANCO IG. B/MANGA"/>
    <m/>
    <m/>
    <x v="15"/>
    <m/>
    <m/>
    <s v="BCOL AHO"/>
    <s v="CREDITO"/>
    <m/>
    <m/>
    <n v="400000"/>
    <m/>
    <m/>
    <m/>
    <m/>
    <m/>
    <n v="400000"/>
    <n v="0"/>
    <n v="0"/>
    <n v="0"/>
    <n v="0"/>
    <n v="800000"/>
    <n v="2"/>
    <n v="2"/>
    <n v="2"/>
  </r>
  <r>
    <n v="99"/>
    <s v="JULIO CESAR ROJAS NAVARRETE"/>
    <m/>
    <m/>
    <x v="1"/>
    <m/>
    <n v="-400000"/>
    <s v="BCOL AHO"/>
    <s v="DEBITO"/>
    <m/>
    <m/>
    <m/>
    <m/>
    <m/>
    <m/>
    <m/>
    <m/>
    <n v="0"/>
    <n v="0"/>
    <n v="0"/>
    <n v="0"/>
    <n v="0"/>
    <n v="0"/>
    <n v="0"/>
    <n v="0"/>
    <n v="0"/>
  </r>
  <r>
    <n v="100"/>
    <s v="JULIO LONDOÑO"/>
    <n v="1077424658"/>
    <n v="3216464514"/>
    <x v="24"/>
    <m/>
    <n v="1600000"/>
    <s v="BCOL AHO 2"/>
    <s v="CREDITO"/>
    <m/>
    <m/>
    <n v="400000"/>
    <m/>
    <n v="400000"/>
    <m/>
    <n v="400000"/>
    <m/>
    <n v="0"/>
    <n v="400000"/>
    <n v="800000"/>
    <n v="0"/>
    <n v="0"/>
    <n v="2400000"/>
    <n v="6"/>
    <n v="5"/>
    <n v="6"/>
  </r>
  <r>
    <n v="101"/>
    <s v="JULIO SANCHEZ"/>
    <m/>
    <m/>
    <x v="2"/>
    <n v="2"/>
    <n v="3200000"/>
    <s v="TRANSF."/>
    <s v="CREDITO"/>
    <n v="800000"/>
    <n v="800000"/>
    <n v="800000"/>
    <n v="800000"/>
    <n v="800000"/>
    <n v="800000"/>
    <n v="800000"/>
    <n v="800000"/>
    <n v="800000"/>
    <n v="800000"/>
    <n v="800000"/>
    <n v="800000"/>
    <n v="800000"/>
    <n v="10400000"/>
    <n v="26"/>
    <n v="13"/>
    <n v="26"/>
  </r>
  <r>
    <n v="102"/>
    <s v="LAURA LIZARASO"/>
    <m/>
    <m/>
    <x v="2"/>
    <m/>
    <m/>
    <m/>
    <s v="CREDITO"/>
    <m/>
    <m/>
    <m/>
    <n v="100000"/>
    <m/>
    <m/>
    <n v="100000"/>
    <m/>
    <n v="0"/>
    <n v="0"/>
    <n v="0"/>
    <n v="0"/>
    <n v="0"/>
    <n v="200000"/>
    <n v="0.5"/>
    <n v="2"/>
    <n v="1"/>
  </r>
  <r>
    <n v="103"/>
    <s v="LAUREANO HERNANDEZ"/>
    <m/>
    <m/>
    <x v="2"/>
    <m/>
    <n v="20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104"/>
    <s v="LILIANA RIVAS"/>
    <m/>
    <m/>
    <x v="2"/>
    <n v="2"/>
    <n v="1600000"/>
    <s v="BCOL AHO"/>
    <s v="CREDITO"/>
    <n v="1200000"/>
    <m/>
    <m/>
    <m/>
    <m/>
    <m/>
    <m/>
    <m/>
    <n v="0"/>
    <n v="0"/>
    <n v="0"/>
    <n v="0"/>
    <n v="0"/>
    <n v="1200000"/>
    <n v="3"/>
    <n v="1"/>
    <n v="3"/>
  </r>
  <r>
    <n v="105"/>
    <s v="LIZETH RODRIGUEZ"/>
    <m/>
    <m/>
    <x v="0"/>
    <m/>
    <n v="400000"/>
    <s v="BCOL AHO"/>
    <s v="CREDITO"/>
    <m/>
    <m/>
    <n v="100000"/>
    <m/>
    <m/>
    <m/>
    <m/>
    <m/>
    <n v="0"/>
    <n v="0"/>
    <n v="0"/>
    <n v="0"/>
    <n v="0"/>
    <n v="100000"/>
    <n v="0.25"/>
    <n v="1"/>
    <n v="1"/>
  </r>
  <r>
    <n v="106"/>
    <s v="LORLEIVIS ARRIAGA"/>
    <n v="35601610"/>
    <n v="3207593131"/>
    <x v="1"/>
    <m/>
    <m/>
    <m/>
    <s v="CREDITO"/>
    <m/>
    <m/>
    <m/>
    <m/>
    <n v="400000"/>
    <m/>
    <m/>
    <n v="400000"/>
    <n v="0"/>
    <n v="0"/>
    <n v="0"/>
    <n v="0"/>
    <n v="0"/>
    <n v="800000"/>
    <n v="2"/>
    <n v="2"/>
    <n v="2"/>
  </r>
  <r>
    <n v="107"/>
    <s v="LUDY ROJAS SANTIESTEBAN"/>
    <n v="1032464597"/>
    <s v="Juliocr457@gmail.com"/>
    <x v="41"/>
    <m/>
    <m/>
    <s v="BCOL AHO"/>
    <s v="CREDITO"/>
    <m/>
    <m/>
    <m/>
    <n v="2000000"/>
    <m/>
    <m/>
    <m/>
    <n v="2000000"/>
    <n v="2000000"/>
    <n v="2000000"/>
    <n v="2000000"/>
    <n v="2000000"/>
    <n v="2000000"/>
    <n v="14000000"/>
    <n v="35"/>
    <n v="7"/>
    <n v="35"/>
  </r>
  <r>
    <n v="108"/>
    <s v="LUIS A.  ACOSTA"/>
    <m/>
    <m/>
    <x v="1"/>
    <m/>
    <n v="3200000"/>
    <s v="BCOL AHO 2"/>
    <s v="CREDITO"/>
    <n v="800000"/>
    <m/>
    <n v="800000"/>
    <m/>
    <m/>
    <m/>
    <m/>
    <m/>
    <n v="0"/>
    <n v="0"/>
    <n v="0"/>
    <n v="0"/>
    <n v="0"/>
    <n v="1600000"/>
    <n v="4"/>
    <n v="2"/>
    <n v="4"/>
  </r>
  <r>
    <n v="109"/>
    <s v="LUIS BERNARDO LLANO"/>
    <n v="70067417"/>
    <s v="314 892 7775"/>
    <x v="0"/>
    <m/>
    <m/>
    <s v="BCOL AHO"/>
    <s v="CREDITO"/>
    <m/>
    <m/>
    <m/>
    <n v="400000"/>
    <n v="400000"/>
    <m/>
    <n v="400000"/>
    <n v="400000"/>
    <n v="400000"/>
    <n v="0"/>
    <n v="400000"/>
    <n v="0"/>
    <n v="400000"/>
    <n v="2800000"/>
    <n v="7"/>
    <n v="7"/>
    <n v="7"/>
  </r>
  <r>
    <n v="110"/>
    <s v="LUIS HERNANDO BAUTISTA"/>
    <n v="13837081"/>
    <n v="3208026783"/>
    <x v="9"/>
    <m/>
    <n v="0"/>
    <s v="BCOL AHO"/>
    <s v="CREDITO"/>
    <m/>
    <n v="100000"/>
    <n v="100000"/>
    <m/>
    <m/>
    <n v="100000"/>
    <n v="100000"/>
    <n v="100000"/>
    <n v="0"/>
    <n v="400000"/>
    <n v="400000"/>
    <n v="1090000"/>
    <n v="1192000"/>
    <n v="3582000"/>
    <n v="8.9550000000000001"/>
    <n v="9"/>
    <n v="9"/>
  </r>
  <r>
    <n v="111"/>
    <s v="MARIA FERNANDA NIETO"/>
    <m/>
    <m/>
    <x v="2"/>
    <m/>
    <n v="500000"/>
    <s v="EFECTIVO-BCOL AHO"/>
    <s v="CREDITO"/>
    <m/>
    <m/>
    <m/>
    <m/>
    <n v="400000"/>
    <n v="400000"/>
    <n v="400000"/>
    <n v="400000"/>
    <n v="400000"/>
    <n v="400000"/>
    <n v="0"/>
    <n v="800000"/>
    <n v="400000"/>
    <n v="3600000"/>
    <n v="9"/>
    <n v="8"/>
    <n v="9"/>
  </r>
  <r>
    <n v="112"/>
    <s v="MARIA FERNANDA VARGAS MUEGUES"/>
    <m/>
    <m/>
    <x v="1"/>
    <m/>
    <m/>
    <m/>
    <s v="CREDITO"/>
    <m/>
    <m/>
    <m/>
    <m/>
    <n v="400000"/>
    <n v="400000"/>
    <m/>
    <n v="400000"/>
    <n v="0"/>
    <n v="0"/>
    <n v="0"/>
    <n v="0"/>
    <n v="0"/>
    <n v="1200000"/>
    <n v="3"/>
    <n v="3"/>
    <n v="3"/>
  </r>
  <r>
    <n v="113"/>
    <s v="MARIANA ESTER BALLESTAS"/>
    <n v="1065587738"/>
    <n v="3127912471"/>
    <x v="2"/>
    <m/>
    <n v="0"/>
    <s v="BCOL AHO"/>
    <s v="CREDITO"/>
    <m/>
    <n v="200000"/>
    <m/>
    <m/>
    <n v="400000"/>
    <m/>
    <n v="800000"/>
    <m/>
    <n v="0"/>
    <n v="0"/>
    <n v="400000"/>
    <n v="0"/>
    <n v="0"/>
    <n v="1800000"/>
    <n v="4.5"/>
    <n v="4"/>
    <n v="5"/>
  </r>
  <r>
    <n v="114"/>
    <s v="MARIO RENE SANCHEZ"/>
    <m/>
    <m/>
    <x v="2"/>
    <m/>
    <n v="100000"/>
    <s v="EFECTIVO"/>
    <s v="CREDITO"/>
    <m/>
    <m/>
    <m/>
    <m/>
    <m/>
    <m/>
    <m/>
    <m/>
    <n v="0"/>
    <n v="0"/>
    <n v="0"/>
    <n v="0"/>
    <n v="0"/>
    <n v="0"/>
    <n v="0"/>
    <n v="0"/>
    <n v="0"/>
  </r>
  <r>
    <n v="115"/>
    <s v="MARQUEZA PAJARO"/>
    <m/>
    <m/>
    <x v="2"/>
    <m/>
    <n v="0"/>
    <s v="EFECTIVO"/>
    <s v="CREDITO"/>
    <m/>
    <n v="200000"/>
    <m/>
    <n v="200000"/>
    <m/>
    <m/>
    <m/>
    <m/>
    <n v="0"/>
    <n v="0"/>
    <n v="0"/>
    <n v="0"/>
    <n v="0"/>
    <n v="400000"/>
    <n v="1"/>
    <n v="2"/>
    <n v="1"/>
  </r>
  <r>
    <n v="116"/>
    <s v="MARTHA  MARULANDA"/>
    <n v="38230483"/>
    <n v="3104869126"/>
    <x v="42"/>
    <m/>
    <n v="800000"/>
    <s v="BCOL AHO 2"/>
    <s v="CREDITO"/>
    <m/>
    <m/>
    <m/>
    <n v="400000"/>
    <n v="400000"/>
    <m/>
    <n v="400000"/>
    <n v="400000"/>
    <n v="400000"/>
    <n v="400000"/>
    <n v="400000"/>
    <n v="400000"/>
    <n v="400000"/>
    <n v="3600000"/>
    <n v="9"/>
    <n v="9"/>
    <n v="9"/>
  </r>
  <r>
    <n v="117"/>
    <s v="MAXIMILIANO PINZON"/>
    <m/>
    <m/>
    <x v="2"/>
    <n v="1"/>
    <n v="1550000"/>
    <s v="EFECTIVO"/>
    <s v="CREDITO"/>
    <n v="700000"/>
    <n v="500000"/>
    <n v="560000"/>
    <n v="600000"/>
    <n v="660000"/>
    <n v="650000"/>
    <n v="720000"/>
    <n v="760000"/>
    <n v="1050000"/>
    <n v="920000"/>
    <n v="800000"/>
    <n v="1200000"/>
    <n v="800000"/>
    <n v="9920000"/>
    <n v="24.8"/>
    <n v="13"/>
    <n v="25"/>
  </r>
  <r>
    <n v="118"/>
    <s v="MERY CAMPO CABALLERO"/>
    <n v="22579381"/>
    <m/>
    <x v="43"/>
    <m/>
    <n v="400000"/>
    <s v="BCOL AHO"/>
    <s v="CREDITO"/>
    <m/>
    <m/>
    <m/>
    <m/>
    <m/>
    <m/>
    <m/>
    <m/>
    <n v="0"/>
    <n v="0"/>
    <n v="400000"/>
    <n v="400000"/>
    <n v="0"/>
    <n v="800000"/>
    <n v="2"/>
    <n v="2"/>
    <n v="2"/>
  </r>
  <r>
    <n v="119"/>
    <s v="MILDRED DOMINGUEZ MUÑOZ"/>
    <n v="32936225"/>
    <n v="3215254487"/>
    <x v="37"/>
    <m/>
    <m/>
    <m/>
    <s v="CREDITO"/>
    <m/>
    <m/>
    <m/>
    <m/>
    <n v="400000"/>
    <n v="400000"/>
    <m/>
    <m/>
    <n v="0"/>
    <n v="0"/>
    <n v="0"/>
    <n v="400000"/>
    <n v="0"/>
    <n v="1200000"/>
    <n v="3"/>
    <n v="3"/>
    <n v="3"/>
  </r>
  <r>
    <n v="120"/>
    <s v="MIRIAM CORTES"/>
    <m/>
    <m/>
    <x v="1"/>
    <m/>
    <m/>
    <m/>
    <s v="CREDITO"/>
    <m/>
    <m/>
    <m/>
    <n v="200000"/>
    <m/>
    <m/>
    <m/>
    <m/>
    <n v="0"/>
    <n v="0"/>
    <n v="0"/>
    <n v="0"/>
    <n v="0"/>
    <n v="200000"/>
    <n v="0.5"/>
    <n v="1"/>
    <n v="1"/>
  </r>
  <r>
    <n v="121"/>
    <s v="NIDIA CORTES"/>
    <m/>
    <m/>
    <x v="1"/>
    <m/>
    <m/>
    <s v="BCOL AHO"/>
    <s v="CREDITO"/>
    <m/>
    <m/>
    <m/>
    <n v="400000"/>
    <n v="200000"/>
    <m/>
    <m/>
    <n v="250000"/>
    <n v="0"/>
    <n v="0"/>
    <n v="0"/>
    <n v="0"/>
    <n v="0"/>
    <n v="850000"/>
    <n v="2.125"/>
    <n v="3"/>
    <n v="3"/>
  </r>
  <r>
    <n v="122"/>
    <s v="ORLANDO  TOVAR"/>
    <n v="11809146"/>
    <n v="3136811706"/>
    <x v="20"/>
    <m/>
    <n v="400000"/>
    <s v="BCOL AHO 2"/>
    <s v="CREDITO"/>
    <m/>
    <m/>
    <m/>
    <m/>
    <n v="400000"/>
    <m/>
    <m/>
    <m/>
    <n v="800000"/>
    <n v="0"/>
    <n v="0"/>
    <n v="0"/>
    <n v="0"/>
    <n v="1200000"/>
    <n v="3"/>
    <n v="2"/>
    <n v="3"/>
  </r>
  <r>
    <n v="123"/>
    <s v="PAC LUIS MIGUEL NARANJO"/>
    <m/>
    <m/>
    <x v="1"/>
    <m/>
    <n v="1900000"/>
    <s v="BCOL AHO"/>
    <s v="CREDITO"/>
    <m/>
    <m/>
    <n v="2000000"/>
    <m/>
    <m/>
    <m/>
    <m/>
    <m/>
    <n v="0"/>
    <n v="0"/>
    <n v="0"/>
    <n v="0"/>
    <n v="0"/>
    <n v="2000000"/>
    <n v="5"/>
    <n v="1"/>
    <n v="5"/>
  </r>
  <r>
    <n v="124"/>
    <s v="PAOLA GUTIERREZ"/>
    <m/>
    <m/>
    <x v="1"/>
    <m/>
    <m/>
    <m/>
    <s v="CREDITO"/>
    <m/>
    <m/>
    <m/>
    <n v="400000"/>
    <m/>
    <m/>
    <m/>
    <m/>
    <n v="400000"/>
    <n v="0"/>
    <n v="0"/>
    <n v="0"/>
    <n v="0"/>
    <n v="800000"/>
    <n v="2"/>
    <n v="2"/>
    <n v="2"/>
  </r>
  <r>
    <n v="125"/>
    <s v="PAULO  DUCHESNE"/>
    <n v="8694441"/>
    <m/>
    <x v="13"/>
    <n v="1"/>
    <n v="0"/>
    <s v="No Registra"/>
    <s v="CREDITO"/>
    <m/>
    <m/>
    <m/>
    <m/>
    <m/>
    <m/>
    <m/>
    <m/>
    <n v="0"/>
    <n v="0"/>
    <n v="0"/>
    <n v="400000"/>
    <n v="400000"/>
    <n v="800000"/>
    <n v="2"/>
    <n v="2"/>
    <n v="2"/>
  </r>
  <r>
    <n v="126"/>
    <s v="RAQUEL LIZANDRA NAVAS"/>
    <n v="60380993"/>
    <n v="3213307371"/>
    <x v="8"/>
    <m/>
    <n v="1200000"/>
    <s v="BCOL AHO"/>
    <s v="CREDITO"/>
    <n v="400000"/>
    <n v="400000"/>
    <n v="400000"/>
    <m/>
    <m/>
    <m/>
    <m/>
    <m/>
    <n v="0"/>
    <n v="0"/>
    <n v="400000"/>
    <n v="400000"/>
    <n v="400000"/>
    <n v="2400000"/>
    <n v="6"/>
    <n v="6"/>
    <n v="6"/>
  </r>
  <r>
    <n v="127"/>
    <s v="RAUL "/>
    <m/>
    <m/>
    <x v="1"/>
    <n v="1"/>
    <n v="0"/>
    <s v="No Registra"/>
    <s v="CREDITO"/>
    <m/>
    <m/>
    <m/>
    <m/>
    <m/>
    <m/>
    <m/>
    <m/>
    <n v="0"/>
    <n v="0"/>
    <n v="0"/>
    <n v="0"/>
    <n v="0"/>
    <n v="0"/>
    <n v="0"/>
    <n v="0"/>
    <n v="0"/>
  </r>
  <r>
    <n v="128"/>
    <s v="ROBERTO QUERALES"/>
    <n v="860606"/>
    <m/>
    <x v="2"/>
    <m/>
    <m/>
    <m/>
    <s v="CREDITO"/>
    <m/>
    <m/>
    <m/>
    <n v="400000"/>
    <n v="400000"/>
    <n v="400000"/>
    <n v="400000"/>
    <m/>
    <n v="400000"/>
    <n v="0"/>
    <n v="400000"/>
    <n v="400000"/>
    <n v="0"/>
    <n v="2800000"/>
    <n v="7"/>
    <n v="7"/>
    <n v="7"/>
  </r>
  <r>
    <n v="129"/>
    <s v="RODOLFO PEÑA"/>
    <m/>
    <m/>
    <x v="2"/>
    <m/>
    <m/>
    <m/>
    <s v="CREDITO"/>
    <m/>
    <m/>
    <m/>
    <n v="200000"/>
    <n v="200000"/>
    <m/>
    <m/>
    <m/>
    <n v="0"/>
    <n v="0"/>
    <n v="0"/>
    <n v="0"/>
    <n v="0"/>
    <n v="400000"/>
    <n v="1"/>
    <n v="2"/>
    <n v="1"/>
  </r>
  <r>
    <n v="130"/>
    <s v="SEBASTIAN NIETO"/>
    <m/>
    <m/>
    <x v="1"/>
    <m/>
    <n v="0"/>
    <s v="BCOL AHO"/>
    <s v="CREDITO"/>
    <m/>
    <n v="100000"/>
    <m/>
    <m/>
    <m/>
    <m/>
    <m/>
    <m/>
    <n v="0"/>
    <n v="0"/>
    <n v="0"/>
    <n v="0"/>
    <n v="0"/>
    <n v="100000"/>
    <n v="0.25"/>
    <n v="1"/>
    <n v="1"/>
  </r>
  <r>
    <n v="131"/>
    <s v="SNEIDER TIRADO"/>
    <m/>
    <m/>
    <x v="2"/>
    <m/>
    <m/>
    <m/>
    <s v="CREDITO"/>
    <m/>
    <m/>
    <m/>
    <n v="2000000"/>
    <m/>
    <m/>
    <m/>
    <m/>
    <n v="0"/>
    <n v="0"/>
    <n v="2000000"/>
    <n v="1600000"/>
    <n v="0"/>
    <n v="5600000"/>
    <n v="14"/>
    <n v="3"/>
    <n v="14"/>
  </r>
  <r>
    <n v="132"/>
    <s v="STHEPANIE DIDUEÑAS"/>
    <m/>
    <m/>
    <x v="2"/>
    <m/>
    <n v="0"/>
    <s v="BCOL AHO"/>
    <s v="CREDITO"/>
    <m/>
    <n v="0"/>
    <n v="100000"/>
    <m/>
    <m/>
    <m/>
    <m/>
    <m/>
    <n v="0"/>
    <n v="0"/>
    <n v="0"/>
    <n v="0"/>
    <n v="0"/>
    <n v="100000"/>
    <n v="0.25"/>
    <n v="1"/>
    <n v="1"/>
  </r>
  <r>
    <n v="133"/>
    <s v="UBALDO OCHOA"/>
    <n v="77187578"/>
    <n v="3123048536"/>
    <x v="2"/>
    <n v="2"/>
    <n v="3200000"/>
    <s v="BCOL AHO"/>
    <s v="CREDITO"/>
    <n v="800000"/>
    <n v="800000"/>
    <n v="800000"/>
    <n v="800000"/>
    <n v="800000"/>
    <n v="400000"/>
    <n v="400000"/>
    <n v="900000"/>
    <n v="400000"/>
    <n v="800000"/>
    <n v="800000"/>
    <n v="400000"/>
    <n v="0"/>
    <n v="8100000"/>
    <n v="20.25"/>
    <n v="12"/>
    <n v="21"/>
  </r>
  <r>
    <n v="134"/>
    <s v="VICTOR PEÑA"/>
    <m/>
    <m/>
    <x v="1"/>
    <n v="1"/>
    <n v="0"/>
    <s v="No Registra"/>
    <s v="CREDITO"/>
    <m/>
    <m/>
    <m/>
    <m/>
    <m/>
    <m/>
    <m/>
    <m/>
    <n v="0"/>
    <n v="0"/>
    <n v="0"/>
    <n v="0"/>
    <n v="0"/>
    <n v="0"/>
    <n v="0"/>
    <n v="0"/>
    <n v="0"/>
  </r>
  <r>
    <n v="135"/>
    <s v="VICTORIA EUGENIA BRAVO"/>
    <n v="41679611"/>
    <s v="316 4748 056"/>
    <x v="18"/>
    <m/>
    <m/>
    <s v="BCOL AHO"/>
    <s v="CREDITO"/>
    <m/>
    <m/>
    <m/>
    <n v="400000"/>
    <n v="400000"/>
    <n v="400000"/>
    <n v="400000"/>
    <m/>
    <n v="400000"/>
    <n v="400000"/>
    <n v="400000"/>
    <n v="1200000"/>
    <n v="800000"/>
    <n v="4800000"/>
    <n v="12"/>
    <n v="9"/>
    <n v="12"/>
  </r>
  <r>
    <n v="136"/>
    <s v="VIVIANA ORTIZ GONZALEZ"/>
    <m/>
    <m/>
    <x v="1"/>
    <m/>
    <n v="1500000"/>
    <s v="BCOL AHO"/>
    <s v="CREDITO"/>
    <n v="500000"/>
    <n v="500000"/>
    <m/>
    <n v="500000"/>
    <m/>
    <m/>
    <m/>
    <m/>
    <n v="0"/>
    <n v="0"/>
    <n v="0"/>
    <n v="0"/>
    <n v="0"/>
    <n v="1500000"/>
    <n v="3.75"/>
    <n v="3"/>
    <n v="4"/>
  </r>
  <r>
    <n v="137"/>
    <s v="WENDYS TEHERAN RIVERA"/>
    <m/>
    <m/>
    <x v="1"/>
    <m/>
    <m/>
    <m/>
    <s v="CREDITO"/>
    <m/>
    <m/>
    <m/>
    <n v="260000"/>
    <m/>
    <m/>
    <m/>
    <m/>
    <n v="0"/>
    <n v="0"/>
    <n v="0"/>
    <n v="0"/>
    <n v="0"/>
    <n v="260000"/>
    <n v="0.65"/>
    <n v="1"/>
    <n v="1"/>
  </r>
  <r>
    <n v="138"/>
    <s v="WILLIAM ROJAS GIRALDO"/>
    <m/>
    <m/>
    <x v="2"/>
    <m/>
    <m/>
    <s v="BCOL AHO"/>
    <s v="CREDITO"/>
    <m/>
    <n v="400000"/>
    <n v="400000"/>
    <n v="400000"/>
    <m/>
    <n v="400000"/>
    <n v="0"/>
    <n v="400000"/>
    <n v="400000"/>
    <n v="400000"/>
    <n v="400000"/>
    <n v="400000"/>
    <n v="400000"/>
    <n v="4000000"/>
    <n v="10"/>
    <n v="10"/>
    <n v="10"/>
  </r>
  <r>
    <n v="139"/>
    <s v="YAMID CASTAÑO"/>
    <n v="4517739"/>
    <m/>
    <x v="23"/>
    <m/>
    <m/>
    <m/>
    <s v="CREDITO"/>
    <m/>
    <m/>
    <m/>
    <n v="400000"/>
    <n v="400000"/>
    <m/>
    <m/>
    <m/>
    <n v="0"/>
    <n v="400000"/>
    <n v="200000"/>
    <n v="0"/>
    <n v="0"/>
    <n v="1400000"/>
    <n v="3.5"/>
    <n v="4"/>
    <n v="4"/>
  </r>
  <r>
    <n v="140"/>
    <s v="YENNI ANDREA ISAZA ARIAS "/>
    <m/>
    <m/>
    <x v="1"/>
    <m/>
    <n v="400000"/>
    <s v="BCOL AHO"/>
    <s v="CREDITO"/>
    <m/>
    <m/>
    <m/>
    <m/>
    <m/>
    <m/>
    <m/>
    <m/>
    <n v="0"/>
    <n v="0"/>
    <n v="0"/>
    <n v="0"/>
    <n v="0"/>
    <n v="0"/>
    <n v="0"/>
    <n v="0"/>
    <n v="0"/>
  </r>
  <r>
    <n v="141"/>
    <s v="YENNI LONDOÑO CHAVERRA"/>
    <m/>
    <m/>
    <x v="1"/>
    <m/>
    <m/>
    <m/>
    <s v="CREDITO"/>
    <m/>
    <m/>
    <m/>
    <n v="1200000"/>
    <m/>
    <m/>
    <m/>
    <m/>
    <n v="0"/>
    <n v="0"/>
    <n v="0"/>
    <n v="0"/>
    <n v="0"/>
    <n v="1200000"/>
    <n v="3"/>
    <n v="1"/>
    <n v="3"/>
  </r>
  <r>
    <n v="142"/>
    <s v="YESENIA RODRIGUEZ BAYUNCA"/>
    <m/>
    <m/>
    <x v="44"/>
    <m/>
    <m/>
    <m/>
    <s v="CREDITO"/>
    <m/>
    <m/>
    <m/>
    <n v="300000"/>
    <m/>
    <m/>
    <m/>
    <n v="200000"/>
    <n v="0"/>
    <n v="0"/>
    <n v="0"/>
    <n v="0"/>
    <n v="0"/>
    <n v="500000"/>
    <n v="1.25"/>
    <n v="2"/>
    <n v="2"/>
  </r>
  <r>
    <n v="143"/>
    <s v="ZEIDI PANNESO"/>
    <m/>
    <m/>
    <x v="1"/>
    <n v="1"/>
    <n v="400000"/>
    <s v="BCOL AHO 2"/>
    <s v="CREDITO"/>
    <m/>
    <m/>
    <m/>
    <m/>
    <m/>
    <m/>
    <m/>
    <m/>
    <n v="0"/>
    <n v="0"/>
    <n v="0"/>
    <n v="0"/>
    <n v="0"/>
    <n v="0"/>
    <n v="0"/>
    <n v="0"/>
    <n v="0"/>
  </r>
  <r>
    <n v="144"/>
    <s v="HERIBERTO ALBORNOZ"/>
    <m/>
    <m/>
    <x v="2"/>
    <m/>
    <m/>
    <m/>
    <s v="CREDITO"/>
    <m/>
    <m/>
    <m/>
    <m/>
    <n v="400000"/>
    <m/>
    <m/>
    <m/>
    <n v="0"/>
    <n v="0"/>
    <n v="0"/>
    <n v="0"/>
    <n v="0"/>
    <n v="400000"/>
    <n v="1"/>
    <n v="1"/>
    <n v="1"/>
  </r>
  <r>
    <n v="145"/>
    <s v="ROGELIO ANDRES ZULUAGA"/>
    <n v="1067849185"/>
    <n v="3043721442"/>
    <x v="45"/>
    <m/>
    <m/>
    <m/>
    <s v="CREDITO"/>
    <m/>
    <m/>
    <m/>
    <m/>
    <n v="400000"/>
    <m/>
    <n v="400000"/>
    <m/>
    <n v="0"/>
    <n v="0"/>
    <n v="400000"/>
    <n v="400000"/>
    <n v="400000"/>
    <n v="2000000"/>
    <n v="5"/>
    <n v="5"/>
    <n v="5"/>
  </r>
  <r>
    <n v="146"/>
    <s v="ALEJANDRA LEAL"/>
    <m/>
    <m/>
    <x v="1"/>
    <m/>
    <m/>
    <m/>
    <s v="CREDITO"/>
    <m/>
    <m/>
    <m/>
    <m/>
    <n v="3200000"/>
    <m/>
    <m/>
    <m/>
    <n v="0"/>
    <n v="0"/>
    <n v="0"/>
    <n v="0"/>
    <n v="0"/>
    <n v="3200000"/>
    <n v="8"/>
    <n v="1"/>
    <n v="8"/>
  </r>
  <r>
    <n v="147"/>
    <s v="URIEL CRUZ"/>
    <m/>
    <m/>
    <x v="1"/>
    <m/>
    <m/>
    <m/>
    <s v="CREDITO"/>
    <m/>
    <m/>
    <m/>
    <m/>
    <n v="3200000"/>
    <m/>
    <m/>
    <m/>
    <n v="0"/>
    <n v="0"/>
    <n v="0"/>
    <n v="0"/>
    <n v="0"/>
    <n v="3200000"/>
    <n v="8"/>
    <n v="1"/>
    <n v="8"/>
  </r>
  <r>
    <n v="148"/>
    <s v="BLANCA SARMIENTO"/>
    <m/>
    <m/>
    <x v="1"/>
    <m/>
    <m/>
    <m/>
    <s v="CREDITO"/>
    <m/>
    <m/>
    <m/>
    <m/>
    <n v="200000"/>
    <m/>
    <m/>
    <m/>
    <n v="0"/>
    <n v="0"/>
    <n v="0"/>
    <n v="0"/>
    <n v="0"/>
    <n v="200000"/>
    <n v="0.5"/>
    <n v="1"/>
    <n v="1"/>
  </r>
  <r>
    <n v="149"/>
    <s v="MARIA ESPERANZA RODRIGUEZ"/>
    <m/>
    <m/>
    <x v="1"/>
    <m/>
    <m/>
    <m/>
    <s v="CREDITO"/>
    <m/>
    <m/>
    <m/>
    <m/>
    <n v="800000"/>
    <m/>
    <m/>
    <m/>
    <n v="0"/>
    <n v="0"/>
    <n v="0"/>
    <n v="0"/>
    <n v="0"/>
    <n v="800000"/>
    <n v="2"/>
    <n v="1"/>
    <n v="2"/>
  </r>
  <r>
    <n v="150"/>
    <s v="CONIE CIRO CAMPO"/>
    <n v="1044429200"/>
    <n v="3008202508"/>
    <x v="43"/>
    <m/>
    <m/>
    <m/>
    <s v="CREDITO"/>
    <m/>
    <m/>
    <m/>
    <m/>
    <n v="100000"/>
    <n v="400000"/>
    <n v="100000"/>
    <m/>
    <n v="100000"/>
    <n v="100000"/>
    <n v="100000"/>
    <n v="1590000"/>
    <n v="100000"/>
    <n v="2590000"/>
    <n v="6.4749999999999996"/>
    <n v="8"/>
    <n v="7"/>
  </r>
  <r>
    <n v="151"/>
    <s v="KEINI LORENA CAMPO"/>
    <n v="1067594389"/>
    <m/>
    <x v="1"/>
    <m/>
    <m/>
    <m/>
    <s v="CREDITO"/>
    <m/>
    <m/>
    <m/>
    <m/>
    <m/>
    <n v="400000"/>
    <m/>
    <m/>
    <n v="0"/>
    <n v="0"/>
    <n v="0"/>
    <n v="0"/>
    <n v="0"/>
    <n v="400000"/>
    <n v="1"/>
    <n v="1"/>
    <n v="1"/>
  </r>
  <r>
    <n v="152"/>
    <s v="JAMES SANCHEZ HURTADO"/>
    <n v="11705775"/>
    <n v="3127559027"/>
    <x v="20"/>
    <m/>
    <m/>
    <m/>
    <s v="CREDITO"/>
    <m/>
    <m/>
    <m/>
    <m/>
    <n v="400000"/>
    <m/>
    <m/>
    <m/>
    <n v="0"/>
    <n v="0"/>
    <n v="0"/>
    <n v="0"/>
    <n v="0"/>
    <n v="400000"/>
    <n v="1"/>
    <n v="1"/>
    <n v="1"/>
  </r>
  <r>
    <n v="153"/>
    <s v="YEISON ROJAS CORDOBA"/>
    <n v="1077437902"/>
    <n v="3127867720"/>
    <x v="46"/>
    <m/>
    <m/>
    <m/>
    <s v="CREDITO"/>
    <m/>
    <m/>
    <m/>
    <m/>
    <m/>
    <n v="400000"/>
    <n v="400000"/>
    <n v="400000"/>
    <n v="0"/>
    <n v="0"/>
    <n v="400000"/>
    <n v="0"/>
    <n v="0"/>
    <n v="1600000"/>
    <n v="4"/>
    <n v="4"/>
    <n v="4"/>
  </r>
  <r>
    <n v="154"/>
    <s v="ANGEL DAVID MURILLO CUESTA"/>
    <n v="1003932453"/>
    <n v="3226546627"/>
    <x v="46"/>
    <m/>
    <m/>
    <m/>
    <s v="CREDITO"/>
    <m/>
    <m/>
    <m/>
    <m/>
    <m/>
    <n v="400000"/>
    <m/>
    <m/>
    <n v="1200000"/>
    <n v="0"/>
    <n v="0"/>
    <n v="0"/>
    <n v="0"/>
    <n v="1600000"/>
    <n v="4"/>
    <n v="2"/>
    <n v="4"/>
  </r>
  <r>
    <n v="155"/>
    <s v="CLAUDIA PERDOMO"/>
    <m/>
    <n v="3214118979"/>
    <x v="2"/>
    <m/>
    <m/>
    <m/>
    <s v="CREDITO"/>
    <m/>
    <m/>
    <m/>
    <m/>
    <m/>
    <n v="120000"/>
    <n v="240000"/>
    <m/>
    <n v="120000"/>
    <n v="120000"/>
    <n v="120000"/>
    <n v="120000"/>
    <n v="140000"/>
    <n v="980000"/>
    <n v="2.4500000000000002"/>
    <n v="7"/>
    <n v="3"/>
  </r>
  <r>
    <n v="156"/>
    <s v="ENRIQUE GARZON"/>
    <m/>
    <m/>
    <x v="1"/>
    <m/>
    <m/>
    <m/>
    <s v="CREDITO"/>
    <m/>
    <m/>
    <m/>
    <m/>
    <m/>
    <n v="210000"/>
    <m/>
    <n v="250000"/>
    <n v="0"/>
    <n v="0"/>
    <n v="0"/>
    <n v="0"/>
    <n v="0"/>
    <n v="460000"/>
    <n v="1.1499999999999999"/>
    <n v="2"/>
    <n v="2"/>
  </r>
  <r>
    <n v="157"/>
    <s v="DERLY MONTAÑEZ"/>
    <n v="60267661"/>
    <m/>
    <x v="9"/>
    <m/>
    <m/>
    <m/>
    <s v="CREDITO"/>
    <m/>
    <m/>
    <m/>
    <m/>
    <m/>
    <n v="100000"/>
    <m/>
    <n v="100000"/>
    <n v="0"/>
    <n v="50000"/>
    <n v="0"/>
    <n v="0"/>
    <n v="0"/>
    <n v="250000"/>
    <n v="0.625"/>
    <n v="3"/>
    <n v="1"/>
  </r>
  <r>
    <n v="158"/>
    <s v="ESMERALDA BELISA RAMIREZ"/>
    <n v="39105075"/>
    <m/>
    <x v="1"/>
    <m/>
    <m/>
    <m/>
    <s v="CREDITO"/>
    <m/>
    <m/>
    <m/>
    <m/>
    <m/>
    <m/>
    <n v="400000"/>
    <m/>
    <n v="0"/>
    <n v="0"/>
    <n v="0"/>
    <n v="0"/>
    <n v="0"/>
    <n v="400000"/>
    <n v="1"/>
    <n v="1"/>
    <n v="1"/>
  </r>
  <r>
    <n v="159"/>
    <s v="ONNY SORET COSIO"/>
    <n v="11785866"/>
    <n v="3106178104"/>
    <x v="24"/>
    <m/>
    <m/>
    <m/>
    <s v="CREDITO"/>
    <m/>
    <m/>
    <m/>
    <m/>
    <m/>
    <m/>
    <n v="400000"/>
    <n v="400000"/>
    <n v="800000"/>
    <n v="0"/>
    <n v="400000"/>
    <n v="400000"/>
    <n v="400000"/>
    <n v="2800000"/>
    <n v="7"/>
    <n v="6"/>
    <n v="7"/>
  </r>
  <r>
    <n v="160"/>
    <s v="LIDIA GONZALEZ"/>
    <m/>
    <m/>
    <x v="11"/>
    <m/>
    <m/>
    <m/>
    <s v="CREDITO"/>
    <m/>
    <m/>
    <m/>
    <m/>
    <m/>
    <m/>
    <n v="400000"/>
    <m/>
    <n v="0"/>
    <n v="0"/>
    <n v="0"/>
    <n v="0"/>
    <n v="0"/>
    <n v="400000"/>
    <n v="1"/>
    <n v="1"/>
    <n v="1"/>
  </r>
  <r>
    <n v="161"/>
    <s v="SANTIAGO BOTERO"/>
    <m/>
    <m/>
    <x v="1"/>
    <m/>
    <m/>
    <m/>
    <s v="CREDITO"/>
    <m/>
    <m/>
    <m/>
    <m/>
    <m/>
    <m/>
    <n v="400000"/>
    <m/>
    <n v="0"/>
    <n v="0"/>
    <n v="0"/>
    <n v="0"/>
    <n v="0"/>
    <n v="400000"/>
    <n v="1"/>
    <n v="1"/>
    <n v="1"/>
  </r>
  <r>
    <n v="162"/>
    <s v="JHON JAIRO PEREZ"/>
    <n v="88311237"/>
    <n v="3157844390"/>
    <x v="8"/>
    <m/>
    <m/>
    <m/>
    <s v="CREDITO"/>
    <m/>
    <m/>
    <m/>
    <m/>
    <m/>
    <m/>
    <n v="100000"/>
    <m/>
    <n v="0"/>
    <n v="0"/>
    <n v="400000"/>
    <n v="400000"/>
    <n v="400000"/>
    <n v="1300000"/>
    <n v="3.25"/>
    <n v="4"/>
    <n v="4"/>
  </r>
  <r>
    <n v="163"/>
    <s v="JOHANA RODRIGUEZ MENDEZ"/>
    <n v="109042290"/>
    <m/>
    <x v="1"/>
    <m/>
    <m/>
    <m/>
    <s v="CREDITO"/>
    <m/>
    <m/>
    <m/>
    <m/>
    <m/>
    <m/>
    <n v="100000"/>
    <m/>
    <n v="0"/>
    <n v="0"/>
    <n v="0"/>
    <n v="0"/>
    <n v="0"/>
    <n v="100000"/>
    <n v="0.25"/>
    <n v="1"/>
    <n v="1"/>
  </r>
  <r>
    <n v="164"/>
    <s v="NEYLA RODRIGUEZ MENDEZ "/>
    <n v="10937503"/>
    <m/>
    <x v="1"/>
    <m/>
    <m/>
    <m/>
    <s v="CREDITO"/>
    <m/>
    <m/>
    <m/>
    <m/>
    <m/>
    <m/>
    <n v="100000"/>
    <m/>
    <n v="0"/>
    <n v="0"/>
    <n v="0"/>
    <n v="0"/>
    <n v="0"/>
    <n v="100000"/>
    <n v="0.25"/>
    <n v="1"/>
    <n v="1"/>
  </r>
  <r>
    <n v="165"/>
    <s v="ALEXANDRA RODRIGUEZ MENDEZ"/>
    <n v="60442867"/>
    <m/>
    <x v="1"/>
    <m/>
    <m/>
    <m/>
    <s v="CREDITO"/>
    <m/>
    <m/>
    <m/>
    <m/>
    <m/>
    <m/>
    <n v="500000"/>
    <m/>
    <n v="400000"/>
    <n v="0"/>
    <n v="0"/>
    <n v="0"/>
    <n v="0"/>
    <n v="900000"/>
    <n v="2.25"/>
    <n v="2"/>
    <n v="3"/>
  </r>
  <r>
    <n v="166"/>
    <s v="LUIS CARLOS AVELLANEDA ROA"/>
    <n v="1090397309"/>
    <m/>
    <x v="8"/>
    <m/>
    <m/>
    <m/>
    <s v="CREDITO"/>
    <m/>
    <m/>
    <m/>
    <m/>
    <m/>
    <m/>
    <n v="400000"/>
    <m/>
    <n v="0"/>
    <n v="400000"/>
    <n v="0"/>
    <n v="0"/>
    <n v="0"/>
    <n v="800000"/>
    <n v="2"/>
    <n v="2"/>
    <n v="2"/>
  </r>
  <r>
    <n v="167"/>
    <s v="IG. EN VIOTA"/>
    <m/>
    <m/>
    <x v="47"/>
    <m/>
    <m/>
    <m/>
    <s v="CREDITO"/>
    <m/>
    <m/>
    <m/>
    <m/>
    <m/>
    <m/>
    <n v="450000"/>
    <m/>
    <n v="0"/>
    <n v="0"/>
    <n v="0"/>
    <n v="500000"/>
    <n v="0"/>
    <n v="950000"/>
    <n v="2.375"/>
    <n v="2"/>
    <n v="3"/>
  </r>
  <r>
    <n v="168"/>
    <s v="JOHAN DAVID DELGADO PINZON"/>
    <n v="1093786204"/>
    <n v="3212596253"/>
    <x v="8"/>
    <m/>
    <m/>
    <m/>
    <s v="CREDITO"/>
    <m/>
    <m/>
    <m/>
    <m/>
    <m/>
    <m/>
    <n v="400000"/>
    <m/>
    <n v="400000"/>
    <n v="400000"/>
    <n v="600000"/>
    <n v="600000"/>
    <n v="0"/>
    <n v="2400000"/>
    <n v="6"/>
    <n v="5"/>
    <n v="6"/>
  </r>
  <r>
    <n v="169"/>
    <s v="CONSUELO CABRERA"/>
    <m/>
    <m/>
    <x v="15"/>
    <m/>
    <m/>
    <m/>
    <s v="CREDITO"/>
    <m/>
    <m/>
    <m/>
    <m/>
    <m/>
    <m/>
    <n v="400000"/>
    <m/>
    <n v="0"/>
    <n v="0"/>
    <n v="0"/>
    <n v="0"/>
    <n v="0"/>
    <n v="400000"/>
    <n v="1"/>
    <n v="1"/>
    <n v="1"/>
  </r>
  <r>
    <n v="170"/>
    <s v="IG. EN YOPAL MIGUEL VERGEL"/>
    <m/>
    <m/>
    <x v="48"/>
    <m/>
    <m/>
    <m/>
    <s v="CREDITO"/>
    <m/>
    <m/>
    <m/>
    <m/>
    <m/>
    <m/>
    <n v="400000"/>
    <n v="400000"/>
    <n v="800000"/>
    <n v="800000"/>
    <n v="400000"/>
    <n v="800000"/>
    <n v="0"/>
    <n v="3600000"/>
    <n v="9"/>
    <n v="6"/>
    <n v="9"/>
  </r>
  <r>
    <n v="171"/>
    <s v="CARLOS PINEDA"/>
    <n v="79772077"/>
    <m/>
    <x v="15"/>
    <m/>
    <m/>
    <m/>
    <s v="CREDITO"/>
    <m/>
    <m/>
    <m/>
    <m/>
    <m/>
    <m/>
    <n v="400000"/>
    <m/>
    <n v="400000"/>
    <n v="400000"/>
    <n v="0"/>
    <n v="0"/>
    <n v="0"/>
    <n v="1200000"/>
    <n v="3"/>
    <n v="3"/>
    <n v="3"/>
  </r>
  <r>
    <n v="172"/>
    <s v="DAIRON MURILLO"/>
    <n v="1093775115"/>
    <m/>
    <x v="1"/>
    <m/>
    <m/>
    <m/>
    <s v="CREDITO"/>
    <m/>
    <m/>
    <m/>
    <m/>
    <m/>
    <m/>
    <n v="400000"/>
    <m/>
    <n v="0"/>
    <n v="800000"/>
    <n v="0"/>
    <n v="0"/>
    <n v="0"/>
    <n v="1200000"/>
    <n v="3"/>
    <n v="2"/>
    <n v="3"/>
  </r>
  <r>
    <n v="173"/>
    <s v="SANTIAGO OSPINO"/>
    <m/>
    <m/>
    <x v="12"/>
    <m/>
    <m/>
    <m/>
    <s v="CREDITO"/>
    <m/>
    <m/>
    <m/>
    <m/>
    <m/>
    <m/>
    <n v="400000"/>
    <m/>
    <n v="0"/>
    <n v="0"/>
    <n v="400000"/>
    <n v="400000"/>
    <n v="0"/>
    <n v="1200000"/>
    <n v="3"/>
    <n v="3"/>
    <n v="3"/>
  </r>
  <r>
    <n v="174"/>
    <s v="ALVARO JAVIER ZAPATA"/>
    <n v="1042767190"/>
    <n v="3146496028"/>
    <x v="49"/>
    <m/>
    <m/>
    <m/>
    <s v="CREDITO"/>
    <m/>
    <m/>
    <m/>
    <m/>
    <m/>
    <m/>
    <n v="400000"/>
    <m/>
    <n v="400000"/>
    <n v="600000"/>
    <n v="0"/>
    <n v="600000"/>
    <n v="600000"/>
    <n v="2600000"/>
    <n v="6.5"/>
    <n v="5"/>
    <n v="7"/>
  </r>
  <r>
    <n v="175"/>
    <s v="MARIA EURICA CORDOBA"/>
    <n v="54252099"/>
    <s v="314 711 38 30"/>
    <x v="24"/>
    <m/>
    <m/>
    <m/>
    <s v="CREDITO"/>
    <m/>
    <m/>
    <m/>
    <m/>
    <m/>
    <m/>
    <m/>
    <n v="400000"/>
    <n v="0"/>
    <n v="0"/>
    <n v="400000"/>
    <n v="800000"/>
    <n v="0"/>
    <n v="1600000"/>
    <n v="4"/>
    <n v="3"/>
    <n v="4"/>
  </r>
  <r>
    <n v="176"/>
    <s v="PATRICIA TINOCO GONZALEZ"/>
    <n v="64543061"/>
    <n v="3007191532"/>
    <x v="11"/>
    <m/>
    <m/>
    <m/>
    <s v="CREDITO"/>
    <m/>
    <m/>
    <m/>
    <m/>
    <m/>
    <m/>
    <m/>
    <n v="400000"/>
    <n v="400000"/>
    <n v="400000"/>
    <n v="400000"/>
    <n v="400000"/>
    <n v="400000"/>
    <n v="2400000"/>
    <n v="6"/>
    <n v="6"/>
    <n v="6"/>
  </r>
  <r>
    <n v="177"/>
    <s v="DAIRON FOLIACO"/>
    <n v="1128051565"/>
    <m/>
    <x v="1"/>
    <m/>
    <m/>
    <m/>
    <s v="CREDITO"/>
    <m/>
    <m/>
    <m/>
    <m/>
    <m/>
    <m/>
    <m/>
    <n v="400000"/>
    <n v="0"/>
    <n v="0"/>
    <n v="0"/>
    <n v="0"/>
    <n v="0"/>
    <n v="400000"/>
    <n v="1"/>
    <n v="1"/>
    <n v="1"/>
  </r>
  <r>
    <n v="178"/>
    <s v="CRUZ ALONSO RESTREPO"/>
    <n v="98533404"/>
    <n v="3016089190"/>
    <x v="0"/>
    <m/>
    <m/>
    <m/>
    <s v="CREDITO"/>
    <m/>
    <m/>
    <m/>
    <m/>
    <m/>
    <m/>
    <m/>
    <n v="400000"/>
    <n v="400000"/>
    <n v="400000"/>
    <n v="400000"/>
    <n v="400000"/>
    <n v="400000"/>
    <n v="2400000"/>
    <n v="6"/>
    <n v="6"/>
    <n v="6"/>
  </r>
  <r>
    <n v="179"/>
    <s v="IG. EN TUNJA"/>
    <m/>
    <m/>
    <x v="50"/>
    <m/>
    <m/>
    <m/>
    <s v="CREDITO"/>
    <m/>
    <m/>
    <m/>
    <m/>
    <m/>
    <m/>
    <m/>
    <n v="800000"/>
    <n v="0"/>
    <n v="800000"/>
    <n v="0"/>
    <n v="400000"/>
    <n v="0"/>
    <n v="2000000"/>
    <n v="5"/>
    <n v="3"/>
    <n v="5"/>
  </r>
  <r>
    <n v="180"/>
    <s v="MARILUZ QUINTERO"/>
    <m/>
    <m/>
    <x v="1"/>
    <m/>
    <m/>
    <m/>
    <s v="CREDITO"/>
    <m/>
    <m/>
    <m/>
    <m/>
    <m/>
    <m/>
    <m/>
    <n v="400000"/>
    <n v="0"/>
    <n v="0"/>
    <n v="0"/>
    <n v="0"/>
    <n v="0"/>
    <n v="400000"/>
    <n v="1"/>
    <n v="1"/>
    <n v="1"/>
  </r>
  <r>
    <n v="181"/>
    <s v="ESPERANZA TORRES"/>
    <m/>
    <m/>
    <x v="2"/>
    <m/>
    <m/>
    <m/>
    <s v="CREDITO"/>
    <m/>
    <m/>
    <m/>
    <m/>
    <m/>
    <m/>
    <m/>
    <n v="500000"/>
    <n v="900000"/>
    <n v="0"/>
    <n v="0"/>
    <n v="0"/>
    <n v="0"/>
    <n v="1400000"/>
    <n v="3.5"/>
    <n v="2"/>
    <n v="4"/>
  </r>
  <r>
    <n v="182"/>
    <s v="IG. EN EL META"/>
    <m/>
    <m/>
    <x v="1"/>
    <m/>
    <m/>
    <m/>
    <s v="CREDITO"/>
    <m/>
    <m/>
    <m/>
    <m/>
    <m/>
    <m/>
    <m/>
    <n v="600000"/>
    <n v="0"/>
    <n v="0"/>
    <n v="0"/>
    <n v="0"/>
    <n v="0"/>
    <n v="600000"/>
    <n v="1.5"/>
    <n v="1"/>
    <n v="2"/>
  </r>
  <r>
    <n v="183"/>
    <s v="CELESTINA MORENO VELASQUEZ"/>
    <n v="39302237"/>
    <n v="3187333883"/>
    <x v="14"/>
    <m/>
    <m/>
    <m/>
    <s v="CREDITO"/>
    <m/>
    <m/>
    <m/>
    <m/>
    <m/>
    <m/>
    <m/>
    <n v="400000"/>
    <n v="400000"/>
    <n v="400000"/>
    <n v="400000"/>
    <n v="400000"/>
    <n v="400000"/>
    <n v="2400000"/>
    <n v="6"/>
    <n v="6"/>
    <n v="6"/>
  </r>
  <r>
    <n v="184"/>
    <s v="IG. EN ABREGO"/>
    <m/>
    <m/>
    <x v="1"/>
    <m/>
    <m/>
    <m/>
    <s v="CREDITO"/>
    <m/>
    <m/>
    <m/>
    <m/>
    <m/>
    <m/>
    <m/>
    <n v="70000"/>
    <n v="0"/>
    <n v="0"/>
    <n v="0"/>
    <n v="0"/>
    <n v="0"/>
    <n v="70000"/>
    <n v="0.17499999999999999"/>
    <n v="1"/>
    <n v="1"/>
  </r>
  <r>
    <n v="185"/>
    <s v="LIBEDIS ESTHER ARIAS"/>
    <n v="49741498"/>
    <m/>
    <x v="1"/>
    <m/>
    <m/>
    <m/>
    <s v="CREDITO"/>
    <m/>
    <m/>
    <m/>
    <m/>
    <m/>
    <m/>
    <m/>
    <n v="400000"/>
    <n v="0"/>
    <n v="0"/>
    <n v="0"/>
    <n v="0"/>
    <n v="0"/>
    <n v="400000"/>
    <n v="1"/>
    <n v="1"/>
    <n v="1"/>
  </r>
  <r>
    <n v="186"/>
    <s v="FRANKLIN FLORLEZ"/>
    <n v="92257868"/>
    <n v="3014216556"/>
    <x v="51"/>
    <m/>
    <m/>
    <m/>
    <s v="CREDITO"/>
    <m/>
    <m/>
    <m/>
    <m/>
    <m/>
    <m/>
    <m/>
    <n v="800000"/>
    <n v="0"/>
    <n v="0"/>
    <n v="400000"/>
    <n v="400000"/>
    <n v="0"/>
    <n v="1600000"/>
    <n v="4"/>
    <n v="3"/>
    <n v="4"/>
  </r>
  <r>
    <n v="187"/>
    <s v="ALFREDO CASTRO"/>
    <n v="12610911"/>
    <n v="3102029563"/>
    <x v="0"/>
    <m/>
    <m/>
    <m/>
    <s v="CREDITO"/>
    <m/>
    <m/>
    <m/>
    <m/>
    <m/>
    <m/>
    <m/>
    <m/>
    <n v="400000"/>
    <n v="400000"/>
    <n v="0"/>
    <n v="0"/>
    <n v="0"/>
    <n v="800000"/>
    <n v="2"/>
    <n v="2"/>
    <n v="2"/>
  </r>
  <r>
    <n v="188"/>
    <s v="ANGELO JOSE PALMAR"/>
    <m/>
    <m/>
    <x v="1"/>
    <m/>
    <m/>
    <m/>
    <s v="CREDITO"/>
    <m/>
    <m/>
    <m/>
    <m/>
    <m/>
    <m/>
    <m/>
    <m/>
    <n v="400000"/>
    <n v="0"/>
    <n v="0"/>
    <n v="0"/>
    <n v="0"/>
    <n v="400000"/>
    <n v="1"/>
    <n v="1"/>
    <n v="1"/>
  </r>
  <r>
    <n v="189"/>
    <s v="JHON BRAYAN"/>
    <n v="1093795671"/>
    <n v="3202805549"/>
    <x v="8"/>
    <m/>
    <m/>
    <m/>
    <s v="CREDITO"/>
    <m/>
    <m/>
    <m/>
    <m/>
    <m/>
    <m/>
    <m/>
    <m/>
    <n v="400000"/>
    <n v="0"/>
    <n v="0"/>
    <n v="800000"/>
    <n v="0"/>
    <n v="1200000"/>
    <n v="3"/>
    <n v="2"/>
    <n v="3"/>
  </r>
  <r>
    <n v="190"/>
    <s v="JESUS VIDAL CORDOBA"/>
    <n v="11794402"/>
    <n v="3107027375"/>
    <x v="24"/>
    <m/>
    <m/>
    <m/>
    <s v="CREDITO"/>
    <m/>
    <m/>
    <m/>
    <m/>
    <m/>
    <m/>
    <m/>
    <m/>
    <n v="800000"/>
    <n v="800000"/>
    <n v="800000"/>
    <n v="800000"/>
    <n v="800000"/>
    <n v="4000000"/>
    <n v="10"/>
    <n v="5"/>
    <n v="10"/>
  </r>
  <r>
    <n v="191"/>
    <s v="FAMILIA FLORES TREJOS"/>
    <m/>
    <m/>
    <x v="1"/>
    <m/>
    <m/>
    <m/>
    <s v="CREDITO"/>
    <m/>
    <m/>
    <m/>
    <m/>
    <m/>
    <m/>
    <m/>
    <m/>
    <n v="400000"/>
    <n v="0"/>
    <n v="0"/>
    <n v="0"/>
    <n v="0"/>
    <n v="400000"/>
    <n v="1"/>
    <n v="1"/>
    <n v="1"/>
  </r>
  <r>
    <n v="192"/>
    <s v="JUDY CAMARGO"/>
    <n v="22528383"/>
    <m/>
    <x v="22"/>
    <m/>
    <m/>
    <m/>
    <s v="CREDITO"/>
    <m/>
    <m/>
    <m/>
    <m/>
    <m/>
    <m/>
    <m/>
    <m/>
    <n v="400000"/>
    <n v="400000"/>
    <n v="400000"/>
    <n v="400000"/>
    <n v="400000"/>
    <n v="2000000"/>
    <n v="5"/>
    <n v="5"/>
    <n v="5"/>
  </r>
  <r>
    <n v="193"/>
    <s v="AURORA CONTRERAS"/>
    <m/>
    <m/>
    <x v="2"/>
    <m/>
    <m/>
    <m/>
    <s v="CREDITO"/>
    <m/>
    <m/>
    <m/>
    <m/>
    <m/>
    <m/>
    <m/>
    <m/>
    <n v="400000"/>
    <n v="400000"/>
    <n v="400000"/>
    <n v="400000"/>
    <n v="400000"/>
    <n v="2000000"/>
    <n v="5"/>
    <n v="5"/>
    <n v="5"/>
  </r>
  <r>
    <n v="194"/>
    <s v="NINA ILLERA NAVARRO"/>
    <n v="37315263"/>
    <n v="3187750056"/>
    <x v="10"/>
    <m/>
    <m/>
    <m/>
    <s v="CREDITO"/>
    <m/>
    <m/>
    <m/>
    <m/>
    <m/>
    <m/>
    <m/>
    <m/>
    <n v="400000"/>
    <n v="400000"/>
    <n v="0"/>
    <n v="800000"/>
    <n v="0"/>
    <n v="1600000"/>
    <n v="4"/>
    <n v="3"/>
    <n v="4"/>
  </r>
  <r>
    <n v="195"/>
    <s v="CRISTIAN DAVID NUÑEZ"/>
    <n v="1067960477"/>
    <n v="3196090283"/>
    <x v="11"/>
    <m/>
    <m/>
    <m/>
    <s v="CREDITO"/>
    <m/>
    <m/>
    <m/>
    <m/>
    <m/>
    <m/>
    <m/>
    <m/>
    <n v="0"/>
    <n v="400000"/>
    <n v="400000"/>
    <n v="0"/>
    <n v="0"/>
    <n v="800000"/>
    <n v="2"/>
    <n v="2"/>
    <n v="2"/>
  </r>
  <r>
    <n v="196"/>
    <s v="CARLOS JOSE CASTRO"/>
    <n v="1091669219"/>
    <n v="3182787563"/>
    <x v="10"/>
    <m/>
    <m/>
    <m/>
    <s v="CREDITO"/>
    <m/>
    <m/>
    <m/>
    <m/>
    <m/>
    <m/>
    <m/>
    <m/>
    <n v="0"/>
    <n v="400000"/>
    <n v="400000"/>
    <n v="400000"/>
    <n v="0"/>
    <n v="1200000"/>
    <n v="3"/>
    <n v="3"/>
    <n v="3"/>
  </r>
  <r>
    <n v="197"/>
    <s v="JUAN ALVAREZ"/>
    <m/>
    <m/>
    <x v="1"/>
    <m/>
    <m/>
    <m/>
    <s v="CREDITO"/>
    <m/>
    <m/>
    <m/>
    <m/>
    <m/>
    <m/>
    <m/>
    <m/>
    <n v="0"/>
    <n v="100000"/>
    <n v="0"/>
    <n v="0"/>
    <n v="0"/>
    <n v="100000"/>
    <n v="0.25"/>
    <n v="1"/>
    <n v="1"/>
  </r>
  <r>
    <n v="198"/>
    <s v="EURICA CORDOBA "/>
    <m/>
    <m/>
    <x v="1"/>
    <m/>
    <m/>
    <m/>
    <s v="CREDITO"/>
    <m/>
    <m/>
    <m/>
    <m/>
    <m/>
    <m/>
    <m/>
    <m/>
    <n v="0"/>
    <n v="400000"/>
    <n v="0"/>
    <n v="0"/>
    <n v="0"/>
    <n v="400000"/>
    <n v="1"/>
    <n v="1"/>
    <n v="1"/>
  </r>
  <r>
    <n v="199"/>
    <s v="MILENA GOMEZ LOPEZ"/>
    <n v="52809513"/>
    <n v="3053034243"/>
    <x v="23"/>
    <m/>
    <m/>
    <m/>
    <s v="CREDITO"/>
    <m/>
    <m/>
    <m/>
    <m/>
    <m/>
    <m/>
    <m/>
    <m/>
    <n v="0"/>
    <n v="400000"/>
    <n v="800000"/>
    <n v="0"/>
    <n v="400000"/>
    <n v="1600000"/>
    <n v="4"/>
    <n v="3"/>
    <n v="4"/>
  </r>
  <r>
    <n v="200"/>
    <s v="FABIO NELSON"/>
    <n v="71273662"/>
    <m/>
    <x v="52"/>
    <m/>
    <m/>
    <m/>
    <s v="CREDITO"/>
    <m/>
    <m/>
    <m/>
    <m/>
    <m/>
    <m/>
    <m/>
    <m/>
    <n v="0"/>
    <n v="400000"/>
    <n v="0"/>
    <n v="0"/>
    <e v="#N/A"/>
    <e v="#N/A"/>
    <e v="#N/A"/>
    <n v="1"/>
    <e v="#N/A"/>
  </r>
  <r>
    <n v="201"/>
    <s v="FABIAN ANDRES CASTRO"/>
    <n v="1091681333"/>
    <n v="3158769403"/>
    <x v="1"/>
    <m/>
    <m/>
    <m/>
    <s v="CREDITO"/>
    <m/>
    <m/>
    <m/>
    <m/>
    <m/>
    <m/>
    <m/>
    <m/>
    <n v="0"/>
    <n v="400000"/>
    <n v="400000"/>
    <n v="0"/>
    <n v="1200000"/>
    <n v="2000000"/>
    <n v="5"/>
    <n v="3"/>
    <n v="5"/>
  </r>
  <r>
    <n v="202"/>
    <s v="IG. EN ARJONA"/>
    <m/>
    <m/>
    <x v="1"/>
    <m/>
    <m/>
    <m/>
    <s v="CREDITO"/>
    <m/>
    <m/>
    <m/>
    <m/>
    <m/>
    <m/>
    <m/>
    <m/>
    <n v="0"/>
    <n v="1130000"/>
    <n v="0"/>
    <n v="0"/>
    <n v="0"/>
    <n v="1130000"/>
    <n v="2.8250000000000002"/>
    <n v="1"/>
    <n v="3"/>
  </r>
  <r>
    <n v="203"/>
    <s v="KATHERINE SIERRA FONTALVO"/>
    <m/>
    <m/>
    <x v="22"/>
    <m/>
    <m/>
    <m/>
    <s v="CREDITO"/>
    <m/>
    <m/>
    <m/>
    <m/>
    <m/>
    <m/>
    <m/>
    <m/>
    <n v="0"/>
    <n v="460000"/>
    <n v="0"/>
    <n v="0"/>
    <n v="0"/>
    <n v="460000"/>
    <n v="1.1499999999999999"/>
    <n v="1"/>
    <n v="2"/>
  </r>
  <r>
    <n v="204"/>
    <s v="DAVID ORLANDO GALVIS"/>
    <s v="88 257 848"/>
    <n v="3170295457"/>
    <x v="5"/>
    <m/>
    <m/>
    <m/>
    <s v="CREDITO"/>
    <m/>
    <m/>
    <m/>
    <m/>
    <m/>
    <m/>
    <m/>
    <m/>
    <n v="0"/>
    <n v="400000"/>
    <n v="0"/>
    <n v="400000"/>
    <n v="1200000"/>
    <n v="2000000"/>
    <n v="5"/>
    <n v="3"/>
    <n v="5"/>
  </r>
  <r>
    <n v="205"/>
    <s v="IG. EN CHIGORODO"/>
    <m/>
    <m/>
    <x v="1"/>
    <m/>
    <m/>
    <m/>
    <s v="CREDITO"/>
    <m/>
    <m/>
    <m/>
    <m/>
    <m/>
    <m/>
    <m/>
    <m/>
    <n v="0"/>
    <n v="400000"/>
    <n v="0"/>
    <n v="0"/>
    <n v="0"/>
    <n v="400000"/>
    <n v="1"/>
    <n v="1"/>
    <n v="1"/>
  </r>
  <r>
    <n v="206"/>
    <s v="MARTIN ALFONSO RUEDA"/>
    <n v="91175909"/>
    <n v="3188566515"/>
    <x v="0"/>
    <m/>
    <m/>
    <m/>
    <s v="CREDITO"/>
    <m/>
    <m/>
    <m/>
    <m/>
    <m/>
    <m/>
    <m/>
    <m/>
    <n v="0"/>
    <n v="800000"/>
    <n v="400000"/>
    <n v="400000"/>
    <n v="0"/>
    <n v="1600000"/>
    <n v="4"/>
    <n v="3"/>
    <n v="4"/>
  </r>
  <r>
    <n v="207"/>
    <s v="CESAR AUGUSTO GUIRAL  "/>
    <n v="15517784"/>
    <m/>
    <x v="3"/>
    <m/>
    <m/>
    <m/>
    <s v="CREDITO"/>
    <m/>
    <m/>
    <m/>
    <m/>
    <m/>
    <m/>
    <m/>
    <m/>
    <n v="0"/>
    <n v="400000"/>
    <n v="400000"/>
    <n v="0"/>
    <n v="0"/>
    <n v="800000"/>
    <n v="2"/>
    <n v="2"/>
    <n v="2"/>
  </r>
  <r>
    <n v="208"/>
    <s v="ANTONY SUAREZ"/>
    <n v="1114884317"/>
    <n v="3128481002"/>
    <x v="53"/>
    <m/>
    <m/>
    <m/>
    <s v="CREDITO"/>
    <m/>
    <m/>
    <m/>
    <m/>
    <m/>
    <m/>
    <m/>
    <m/>
    <n v="0"/>
    <n v="400000"/>
    <n v="400000"/>
    <n v="0"/>
    <n v="400000"/>
    <n v="1200000"/>
    <n v="3"/>
    <n v="3"/>
    <n v="3"/>
  </r>
  <r>
    <n v="209"/>
    <s v="LILIAN BOHORQUEZ"/>
    <n v="49742240"/>
    <n v="3207260191"/>
    <x v="53"/>
    <m/>
    <m/>
    <m/>
    <s v="CREDITO"/>
    <m/>
    <m/>
    <m/>
    <m/>
    <m/>
    <m/>
    <m/>
    <m/>
    <n v="0"/>
    <n v="600000"/>
    <n v="0"/>
    <n v="400000"/>
    <n v="0"/>
    <n v="1000000"/>
    <n v="2.5"/>
    <n v="2"/>
    <n v="3"/>
  </r>
  <r>
    <n v="210"/>
    <s v="JEREMIAS PAJARO PEÑA"/>
    <n v="1143355775"/>
    <n v="3042425180"/>
    <x v="43"/>
    <m/>
    <m/>
    <m/>
    <s v="CREDITO"/>
    <m/>
    <m/>
    <m/>
    <m/>
    <m/>
    <m/>
    <m/>
    <m/>
    <n v="0"/>
    <n v="400000"/>
    <n v="0"/>
    <n v="400000"/>
    <n v="400000"/>
    <n v="1200000"/>
    <n v="3"/>
    <n v="3"/>
    <n v="3"/>
  </r>
  <r>
    <n v="211"/>
    <s v="WILMER ARIAS "/>
    <n v="1015997321"/>
    <n v="3177392885"/>
    <x v="2"/>
    <m/>
    <m/>
    <m/>
    <s v="CREDITO"/>
    <m/>
    <m/>
    <m/>
    <m/>
    <m/>
    <m/>
    <m/>
    <m/>
    <n v="0"/>
    <n v="0"/>
    <n v="400000"/>
    <n v="800000"/>
    <n v="0"/>
    <n v="1200000"/>
    <n v="3"/>
    <n v="2"/>
    <n v="3"/>
  </r>
  <r>
    <n v="212"/>
    <s v="LADRICOL"/>
    <s v="901.820.015-7"/>
    <n v="3115871915"/>
    <x v="8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13"/>
    <s v="NEHEMIAS PAJARO PEÑA"/>
    <n v="1045737100"/>
    <n v="3015184734"/>
    <x v="43"/>
    <m/>
    <m/>
    <m/>
    <s v="CREDITO"/>
    <m/>
    <m/>
    <m/>
    <m/>
    <m/>
    <m/>
    <m/>
    <m/>
    <n v="0"/>
    <n v="0"/>
    <n v="400000"/>
    <n v="400000"/>
    <n v="400000"/>
    <n v="1200000"/>
    <n v="3"/>
    <n v="3"/>
    <n v="3"/>
  </r>
  <r>
    <n v="214"/>
    <s v="MARIA EDITH BEJARANO BERMUDEZ"/>
    <n v="26258801"/>
    <n v="3206877280"/>
    <x v="24"/>
    <m/>
    <m/>
    <m/>
    <s v="CREDITO"/>
    <m/>
    <m/>
    <m/>
    <m/>
    <m/>
    <m/>
    <m/>
    <m/>
    <n v="0"/>
    <n v="0"/>
    <n v="800000"/>
    <n v="400000"/>
    <n v="0"/>
    <n v="1200000"/>
    <n v="3"/>
    <n v="2"/>
    <n v="3"/>
  </r>
  <r>
    <n v="215"/>
    <s v="ARMANDO CRUZ "/>
    <n v="88309418"/>
    <n v="3203034511"/>
    <x v="8"/>
    <m/>
    <m/>
    <m/>
    <s v="CREDITO"/>
    <m/>
    <m/>
    <m/>
    <m/>
    <m/>
    <m/>
    <m/>
    <m/>
    <n v="0"/>
    <n v="0"/>
    <n v="800000"/>
    <n v="0"/>
    <n v="400000"/>
    <n v="1200000"/>
    <n v="3"/>
    <n v="2"/>
    <n v="3"/>
  </r>
  <r>
    <n v="216"/>
    <s v="EFRAIN ELGUEDO SALAS"/>
    <n v="9093848"/>
    <n v="3184909196"/>
    <x v="44"/>
    <m/>
    <m/>
    <m/>
    <s v="CREDITO"/>
    <m/>
    <m/>
    <m/>
    <m/>
    <m/>
    <m/>
    <m/>
    <m/>
    <n v="0"/>
    <n v="0"/>
    <n v="250000"/>
    <n v="250000"/>
    <n v="400000"/>
    <n v="900000"/>
    <n v="2.25"/>
    <n v="3"/>
    <n v="3"/>
  </r>
  <r>
    <n v="217"/>
    <s v="JORGE ARMANDO BRAVO"/>
    <n v="1053798897"/>
    <n v="3142872429"/>
    <x v="50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18"/>
    <s v="MARLENY DEL SOCORRO MONSALE"/>
    <n v="32556538"/>
    <n v="3108936691"/>
    <x v="54"/>
    <m/>
    <m/>
    <m/>
    <s v="CREDITO"/>
    <m/>
    <m/>
    <m/>
    <m/>
    <m/>
    <m/>
    <m/>
    <m/>
    <n v="0"/>
    <n v="0"/>
    <n v="20000"/>
    <n v="20000"/>
    <n v="20000"/>
    <n v="60000"/>
    <n v="0.15"/>
    <n v="3"/>
    <n v="1"/>
  </r>
  <r>
    <n v="219"/>
    <s v="BLANCA AINE GUAYARA "/>
    <n v="28967914"/>
    <n v="336684935"/>
    <x v="36"/>
    <m/>
    <m/>
    <m/>
    <s v="CREDITO"/>
    <m/>
    <m/>
    <m/>
    <m/>
    <m/>
    <m/>
    <m/>
    <m/>
    <n v="0"/>
    <n v="0"/>
    <n v="400000"/>
    <n v="0"/>
    <n v="0"/>
    <n v="400000"/>
    <n v="1"/>
    <n v="1"/>
    <n v="1"/>
  </r>
  <r>
    <n v="220"/>
    <s v="EMMANUEL DUARTE MURILLO"/>
    <n v="1094228628"/>
    <n v="3124214946"/>
    <x v="8"/>
    <m/>
    <m/>
    <m/>
    <s v="CREDITO"/>
    <m/>
    <m/>
    <m/>
    <m/>
    <m/>
    <m/>
    <m/>
    <m/>
    <n v="0"/>
    <n v="0"/>
    <n v="200000"/>
    <n v="200000"/>
    <n v="200000"/>
    <n v="600000"/>
    <n v="1.5"/>
    <n v="3"/>
    <n v="2"/>
  </r>
  <r>
    <n v="221"/>
    <s v="RAFAEL GUTIERREZ"/>
    <n v="88237561"/>
    <n v="3204473656"/>
    <x v="8"/>
    <m/>
    <m/>
    <m/>
    <s v="CREDITO"/>
    <m/>
    <m/>
    <m/>
    <m/>
    <m/>
    <m/>
    <m/>
    <m/>
    <n v="0"/>
    <n v="0"/>
    <n v="400000"/>
    <n v="400000"/>
    <n v="400000"/>
    <n v="1200000"/>
    <n v="3"/>
    <n v="3"/>
    <n v="3"/>
  </r>
  <r>
    <n v="222"/>
    <s v="RODRIGO SÁNCHEZ"/>
    <s v="79,166,661 "/>
    <n v="3102212862"/>
    <x v="3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23"/>
    <s v="KEVIN SÁNCHEZ   "/>
    <s v="1,076,660,747"/>
    <n v="3173802748"/>
    <x v="3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24"/>
    <s v="JOSHUA STANFORD "/>
    <s v="1,015,439,209"/>
    <n v="3174007835"/>
    <x v="31"/>
    <m/>
    <m/>
    <m/>
    <s v="CREDITO"/>
    <m/>
    <m/>
    <m/>
    <m/>
    <m/>
    <m/>
    <m/>
    <m/>
    <n v="0"/>
    <n v="0"/>
    <n v="800000"/>
    <n v="400000"/>
    <n v="0"/>
    <n v="1200000"/>
    <n v="3"/>
    <n v="2"/>
    <n v="3"/>
  </r>
  <r>
    <n v="225"/>
    <s v="IVAN HERNANDEZ"/>
    <s v="1,045,699,283"/>
    <n v="3008286649"/>
    <x v="3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26"/>
    <s v="HAILER CASTRO"/>
    <s v="1,076,650,797"/>
    <n v="3212079648"/>
    <x v="3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27"/>
    <s v="ANDRÉS MARULANDA   "/>
    <s v="8,433,398"/>
    <n v="3212648565"/>
    <x v="55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28"/>
    <s v="HÉCTOR PAEZ "/>
    <s v="79,166,183"/>
    <n v="3156601344"/>
    <x v="56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29"/>
    <s v="EMILIO GARCÍA"/>
    <s v="79,166,692"/>
    <n v="3114967016"/>
    <x v="57"/>
    <m/>
    <m/>
    <m/>
    <s v="CREDITO"/>
    <m/>
    <m/>
    <m/>
    <m/>
    <m/>
    <m/>
    <m/>
    <m/>
    <n v="0"/>
    <n v="0"/>
    <n v="400000"/>
    <n v="0"/>
    <n v="0"/>
    <n v="400000"/>
    <n v="1"/>
    <n v="1"/>
    <n v="1"/>
  </r>
  <r>
    <n v="230"/>
    <s v="HERNAN BOLIVAR"/>
    <s v="1,076,650,088"/>
    <n v="3214289394"/>
    <x v="57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1"/>
    <s v="ANDERSON HORMAZA"/>
    <s v="1,051,588,792"/>
    <n v="3214411717"/>
    <x v="58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2"/>
    <s v="JUAN SEBASTIAN MONTES"/>
    <s v="1,192,773,744"/>
    <n v="3204014480"/>
    <x v="40"/>
    <m/>
    <m/>
    <m/>
    <s v="CREDITO"/>
    <m/>
    <m/>
    <m/>
    <m/>
    <m/>
    <m/>
    <m/>
    <m/>
    <n v="0"/>
    <n v="0"/>
    <n v="400000"/>
    <n v="0"/>
    <n v="0"/>
    <n v="400000"/>
    <n v="1"/>
    <n v="1"/>
    <n v="1"/>
  </r>
  <r>
    <n v="233"/>
    <s v="JULIO BENÍTEZ  "/>
    <s v="80,490,223"/>
    <n v="3114612778"/>
    <x v="58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4"/>
    <s v="LUIS GABRIEL ALVAREZ MARQUEZ"/>
    <n v="85203032"/>
    <n v="3107315557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5"/>
    <s v="LEONARDO FURNIELES GONZÁLEZ "/>
    <n v="1067904102"/>
    <n v="3137896402"/>
    <x v="60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6"/>
    <s v="ESPERANZA DEL PILAR LAMBERTINEZ"/>
    <n v="50901037"/>
    <n v="3205707487"/>
    <x v="38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7"/>
    <s v="JOHANA TATIANA ALVAREZ MÁRQUEZ "/>
    <n v="1002371747"/>
    <n v="3017076403"/>
    <x v="6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8"/>
    <s v="LUZ DAYNETH GOMEZ MARTINEZ "/>
    <n v="1066737038"/>
    <n v="3122228619"/>
    <x v="62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39"/>
    <s v="IVÁN ARTURO AVILÉZ PETRO"/>
    <n v="1064996539"/>
    <n v="3135513063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0"/>
    <s v="SILVIA PATRICIA BUELVAS LAMBERTINEZ"/>
    <n v="1067884505"/>
    <n v="3215857733"/>
    <x v="63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1"/>
    <s v="KEYLA GONZÁLEZ PÁJARO "/>
    <n v="30777006"/>
    <n v="3186436044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2"/>
    <s v="ROSARIO DE LA CONSOLACIÓN MONTERO ABAD"/>
    <n v="34962463"/>
    <n v="3205294049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3"/>
    <s v="SALLURIS BUELVAS LAMBERTINEZ "/>
    <n v="1067922782"/>
    <n v="3013999279"/>
    <x v="60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4"/>
    <s v="SANDRA MARCELA BUELVAS LAMBERTINEZ "/>
    <n v="1133795577"/>
    <n v="3013994780"/>
    <x v="60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5"/>
    <s v="JAVIER ANTONIO NÚÑEZ CASTRO "/>
    <n v="78753440"/>
    <n v="3217473284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6"/>
    <s v="CARMEN ALICIA SAEZ SÁNCHEZ "/>
    <n v="34979435"/>
    <n v="3205025275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7"/>
    <s v="MANUEL DARIO PADILLA PADILLA."/>
    <n v="78323723"/>
    <n v="3136913916"/>
    <x v="62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8"/>
    <s v="OSCAR DAVID GÓMEZ GUEVARA "/>
    <n v="1003404028"/>
    <n v="3205172305"/>
    <x v="59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49"/>
    <s v="NANNYS ELVIRA MÁRQUEZ CAMPOS"/>
    <n v="30843113"/>
    <n v="3135249664"/>
    <x v="6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50"/>
    <s v="MISAEL PASTRANA ESPITIA "/>
    <n v="15647945"/>
    <n v="3105193541"/>
    <x v="61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51"/>
    <s v="ANDREAOROZCO"/>
    <n v="1088296001"/>
    <m/>
    <x v="23"/>
    <m/>
    <m/>
    <m/>
    <s v="CREDITO"/>
    <m/>
    <m/>
    <m/>
    <m/>
    <m/>
    <m/>
    <m/>
    <m/>
    <n v="0"/>
    <n v="0"/>
    <n v="200000"/>
    <n v="0"/>
    <n v="0"/>
    <n v="200000"/>
    <n v="0.5"/>
    <n v="1"/>
    <n v="1"/>
  </r>
  <r>
    <n v="252"/>
    <s v="MARIA EUGENIA GRIMALDO"/>
    <n v="60319496"/>
    <n v="3114112215"/>
    <x v="8"/>
    <m/>
    <m/>
    <m/>
    <s v="CREDITO"/>
    <m/>
    <m/>
    <m/>
    <m/>
    <m/>
    <m/>
    <m/>
    <m/>
    <n v="0"/>
    <n v="0"/>
    <n v="200000"/>
    <n v="200000"/>
    <n v="0"/>
    <n v="400000"/>
    <n v="1"/>
    <n v="2"/>
    <n v="1"/>
  </r>
  <r>
    <n v="253"/>
    <s v="EDRAS SANABRIA"/>
    <n v="1121969843"/>
    <n v="3026352060"/>
    <x v="64"/>
    <m/>
    <m/>
    <m/>
    <s v="CREDITO"/>
    <m/>
    <m/>
    <m/>
    <m/>
    <m/>
    <m/>
    <m/>
    <m/>
    <n v="0"/>
    <n v="0"/>
    <n v="400000"/>
    <n v="450000"/>
    <n v="0"/>
    <n v="850000"/>
    <n v="2.125"/>
    <n v="2"/>
    <n v="3"/>
  </r>
  <r>
    <n v="254"/>
    <s v="CARLOS MADRID"/>
    <n v="70322335"/>
    <n v="3106907142"/>
    <x v="3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55"/>
    <s v="ADRIAN HERNANDEZ PONCE"/>
    <n v="72049339"/>
    <n v="3148093554"/>
    <x v="3"/>
    <m/>
    <m/>
    <m/>
    <s v="CREDITO"/>
    <m/>
    <m/>
    <m/>
    <m/>
    <m/>
    <m/>
    <m/>
    <m/>
    <n v="0"/>
    <n v="0"/>
    <n v="400000"/>
    <n v="0"/>
    <n v="0"/>
    <n v="400000"/>
    <n v="1"/>
    <n v="1"/>
    <n v="1"/>
  </r>
  <r>
    <n v="256"/>
    <s v="FABIO NELSON ARROYAVE"/>
    <n v="71273662"/>
    <n v="3103476233"/>
    <x v="52"/>
    <m/>
    <m/>
    <m/>
    <s v="CREDITO"/>
    <m/>
    <m/>
    <m/>
    <m/>
    <m/>
    <m/>
    <m/>
    <m/>
    <n v="0"/>
    <n v="0"/>
    <n v="400000"/>
    <n v="0"/>
    <n v="400000"/>
    <n v="800000"/>
    <n v="2"/>
    <n v="2"/>
    <n v="2"/>
  </r>
  <r>
    <n v="257"/>
    <s v="MARLIDIA ARROYO PEÑA"/>
    <n v="64556783"/>
    <n v="3017981102"/>
    <x v="37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58"/>
    <s v="LEDIS PAJARO CARDONA"/>
    <n v="30771251"/>
    <s v="313 5925709"/>
    <x v="37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59"/>
    <s v="SUGEY ATENCIA"/>
    <n v="45758051"/>
    <s v="320 5808311"/>
    <x v="37"/>
    <m/>
    <m/>
    <m/>
    <s v="CREDITO"/>
    <m/>
    <m/>
    <m/>
    <m/>
    <m/>
    <m/>
    <m/>
    <m/>
    <n v="0"/>
    <n v="0"/>
    <n v="400000"/>
    <n v="0"/>
    <n v="0"/>
    <n v="400000"/>
    <n v="1"/>
    <n v="1"/>
    <n v="1"/>
  </r>
  <r>
    <n v="260"/>
    <s v="CARLOS HUMBERTO VERGEL LAZARO"/>
    <n v="88137146"/>
    <n v="3157943643"/>
    <x v="10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61"/>
    <s v="LEONARDO CARDENAS"/>
    <n v="88284263"/>
    <n v="88284263"/>
    <x v="10"/>
    <m/>
    <m/>
    <m/>
    <s v="CREDITO"/>
    <m/>
    <m/>
    <m/>
    <m/>
    <m/>
    <m/>
    <m/>
    <m/>
    <n v="0"/>
    <n v="0"/>
    <n v="400000"/>
    <n v="400000"/>
    <n v="400000"/>
    <n v="1200000"/>
    <n v="3"/>
    <n v="3"/>
    <n v="3"/>
  </r>
  <r>
    <n v="262"/>
    <s v="HERNANDO BARBOSA"/>
    <n v="77179718"/>
    <n v="3214184733"/>
    <x v="10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63"/>
    <s v="GUSTAVO LEON RAY "/>
    <n v="16354014"/>
    <m/>
    <x v="5"/>
    <m/>
    <m/>
    <m/>
    <s v="CREDITO"/>
    <m/>
    <m/>
    <m/>
    <m/>
    <m/>
    <m/>
    <m/>
    <m/>
    <n v="0"/>
    <n v="0"/>
    <n v="400000"/>
    <n v="400000"/>
    <n v="0"/>
    <n v="800000"/>
    <n v="2"/>
    <n v="2"/>
    <n v="2"/>
  </r>
  <r>
    <n v="264"/>
    <s v="ALBA ROSA BEJARANO"/>
    <n v="26257532"/>
    <s v="310 3761797"/>
    <x v="24"/>
    <m/>
    <m/>
    <m/>
    <s v="CREDITO"/>
    <m/>
    <m/>
    <m/>
    <m/>
    <m/>
    <m/>
    <m/>
    <m/>
    <n v="0"/>
    <n v="0"/>
    <n v="0"/>
    <n v="400000"/>
    <n v="400000"/>
    <n v="800000"/>
    <n v="2"/>
    <n v="2"/>
    <n v="2"/>
  </r>
  <r>
    <n v="265"/>
    <s v="IG. EN BELLO"/>
    <m/>
    <m/>
    <x v="65"/>
    <m/>
    <m/>
    <m/>
    <s v="CREDITO"/>
    <m/>
    <m/>
    <m/>
    <m/>
    <m/>
    <m/>
    <m/>
    <m/>
    <n v="0"/>
    <n v="0"/>
    <n v="0"/>
    <n v="200000"/>
    <n v="0"/>
    <n v="200000"/>
    <n v="0.5"/>
    <n v="1"/>
    <n v="1"/>
  </r>
  <r>
    <n v="266"/>
    <s v="BATEMAN BELEÑO"/>
    <n v="72295408"/>
    <m/>
    <x v="29"/>
    <m/>
    <m/>
    <m/>
    <s v="CREDITO"/>
    <m/>
    <m/>
    <m/>
    <m/>
    <m/>
    <m/>
    <m/>
    <m/>
    <n v="0"/>
    <n v="0"/>
    <n v="0"/>
    <n v="50000"/>
    <n v="0"/>
    <n v="50000"/>
    <n v="0.125"/>
    <n v="1"/>
    <n v="1"/>
  </r>
  <r>
    <n v="267"/>
    <s v="FARID POLO ALTAHONA"/>
    <n v="3770607"/>
    <n v="3126624361"/>
    <x v="29"/>
    <m/>
    <m/>
    <m/>
    <s v="CREDITO"/>
    <m/>
    <m/>
    <m/>
    <m/>
    <m/>
    <m/>
    <m/>
    <m/>
    <n v="0"/>
    <n v="0"/>
    <n v="0"/>
    <n v="400000"/>
    <n v="0"/>
    <n v="400000"/>
    <n v="1"/>
    <n v="1"/>
    <n v="1"/>
  </r>
  <r>
    <n v="268"/>
    <s v="MARIA PAULA CARDOZO"/>
    <n v="1075271930"/>
    <s v="317 754 5784"/>
    <x v="7"/>
    <m/>
    <m/>
    <m/>
    <s v="CREDITO"/>
    <m/>
    <m/>
    <m/>
    <m/>
    <m/>
    <m/>
    <m/>
    <m/>
    <n v="0"/>
    <n v="0"/>
    <n v="0"/>
    <n v="400000"/>
    <n v="400000"/>
    <n v="800000"/>
    <n v="2"/>
    <n v="2"/>
    <n v="2"/>
  </r>
  <r>
    <n v="269"/>
    <s v="ROBINSON ESPAÑA"/>
    <n v="1093789365"/>
    <m/>
    <x v="5"/>
    <m/>
    <m/>
    <m/>
    <s v="CREDITO"/>
    <m/>
    <m/>
    <m/>
    <m/>
    <m/>
    <m/>
    <m/>
    <m/>
    <n v="0"/>
    <n v="0"/>
    <n v="0"/>
    <n v="1400000"/>
    <n v="0"/>
    <n v="1400000"/>
    <n v="3.5"/>
    <n v="1"/>
    <n v="4"/>
  </r>
  <r>
    <n v="270"/>
    <s v="OSCAR GONZALEZ"/>
    <n v="1090399128"/>
    <m/>
    <x v="5"/>
    <m/>
    <m/>
    <m/>
    <s v="CREDITO"/>
    <m/>
    <m/>
    <m/>
    <m/>
    <m/>
    <m/>
    <m/>
    <m/>
    <n v="0"/>
    <n v="0"/>
    <n v="0"/>
    <n v="400000"/>
    <n v="0"/>
    <n v="400000"/>
    <n v="1"/>
    <n v="1"/>
    <n v="1"/>
  </r>
  <r>
    <n v="271"/>
    <s v="LUIS OSPINA"/>
    <n v="98552933"/>
    <n v="3184873565"/>
    <x v="0"/>
    <m/>
    <m/>
    <m/>
    <s v="CREDITO"/>
    <m/>
    <m/>
    <m/>
    <m/>
    <m/>
    <m/>
    <m/>
    <m/>
    <n v="0"/>
    <n v="0"/>
    <n v="0"/>
    <n v="400000"/>
    <n v="0"/>
    <n v="400000"/>
    <n v="1"/>
    <n v="1"/>
    <n v="1"/>
  </r>
  <r>
    <n v="272"/>
    <s v="ALVARO ATENCIA "/>
    <n v="45758051"/>
    <m/>
    <x v="37"/>
    <m/>
    <m/>
    <m/>
    <s v="CREDITO"/>
    <m/>
    <m/>
    <m/>
    <m/>
    <m/>
    <m/>
    <m/>
    <m/>
    <n v="0"/>
    <n v="0"/>
    <n v="0"/>
    <n v="400000"/>
    <n v="0"/>
    <n v="400000"/>
    <n v="1"/>
    <n v="1"/>
    <n v="1"/>
  </r>
  <r>
    <n v="273"/>
    <s v="MONICA PACHECO SANTOS"/>
    <n v="1091662369"/>
    <n v="3155529907"/>
    <x v="10"/>
    <m/>
    <m/>
    <m/>
    <s v="CREDITO"/>
    <m/>
    <m/>
    <m/>
    <m/>
    <m/>
    <m/>
    <m/>
    <m/>
    <n v="0"/>
    <n v="0"/>
    <n v="0"/>
    <n v="400000"/>
    <n v="0"/>
    <n v="400000"/>
    <n v="1"/>
    <n v="1"/>
    <n v="1"/>
  </r>
  <r>
    <m/>
    <s v="ALLAN SEBASTIAN LOPEZ"/>
    <n v="16071816"/>
    <n v="3176880448"/>
    <x v="52"/>
    <m/>
    <m/>
    <m/>
    <s v="CREDITO"/>
    <m/>
    <m/>
    <m/>
    <m/>
    <m/>
    <m/>
    <m/>
    <m/>
    <n v="0"/>
    <n v="0"/>
    <n v="0"/>
    <n v="80000"/>
    <n v="150000"/>
    <n v="230000"/>
    <n v="0.57499999999999996"/>
    <n v="2"/>
    <n v="1"/>
  </r>
  <r>
    <m/>
    <s v="GLORIA ESTEFANY VEGA"/>
    <n v="1122403315"/>
    <n v="3135707447"/>
    <x v="66"/>
    <m/>
    <m/>
    <m/>
    <m/>
    <m/>
    <m/>
    <m/>
    <m/>
    <m/>
    <m/>
    <m/>
    <m/>
    <n v="0"/>
    <n v="0"/>
    <n v="0"/>
    <n v="400000"/>
    <n v="0"/>
    <n v="400000"/>
    <n v="1"/>
    <n v="1"/>
    <n v="1"/>
  </r>
  <r>
    <m/>
    <s v="MARISOL TORRES"/>
    <n v="1090405714"/>
    <m/>
    <x v="5"/>
    <m/>
    <m/>
    <m/>
    <m/>
    <m/>
    <m/>
    <m/>
    <m/>
    <m/>
    <m/>
    <m/>
    <m/>
    <n v="0"/>
    <n v="0"/>
    <n v="0"/>
    <n v="400000"/>
    <n v="0"/>
    <n v="400000"/>
    <n v="1"/>
    <n v="1"/>
    <n v="1"/>
  </r>
  <r>
    <m/>
    <s v="EUCLIDES MENESES"/>
    <m/>
    <m/>
    <x v="49"/>
    <m/>
    <m/>
    <m/>
    <m/>
    <m/>
    <m/>
    <m/>
    <m/>
    <m/>
    <m/>
    <m/>
    <m/>
    <n v="0"/>
    <n v="0"/>
    <n v="0"/>
    <n v="400000"/>
    <n v="0"/>
    <n v="400000"/>
    <n v="1"/>
    <n v="1"/>
    <n v="1"/>
  </r>
  <r>
    <m/>
    <s v="MARCELA DIAZ"/>
    <m/>
    <m/>
    <x v="23"/>
    <m/>
    <m/>
    <m/>
    <m/>
    <m/>
    <m/>
    <m/>
    <m/>
    <m/>
    <m/>
    <m/>
    <m/>
    <n v="0"/>
    <n v="0"/>
    <n v="0"/>
    <n v="400000"/>
    <n v="0"/>
    <n v="400000"/>
    <n v="1"/>
    <n v="1"/>
    <n v="1"/>
  </r>
  <r>
    <m/>
    <s v="NORMA GALVIS"/>
    <m/>
    <m/>
    <x v="5"/>
    <m/>
    <m/>
    <m/>
    <m/>
    <m/>
    <m/>
    <m/>
    <m/>
    <m/>
    <m/>
    <m/>
    <m/>
    <n v="0"/>
    <n v="0"/>
    <n v="0"/>
    <n v="400000"/>
    <n v="0"/>
    <n v="400000"/>
    <n v="1"/>
    <n v="1"/>
    <n v="1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m/>
    <m/>
    <m/>
    <x v="1"/>
    <m/>
    <m/>
    <m/>
    <m/>
    <m/>
    <m/>
    <m/>
    <m/>
    <m/>
    <m/>
    <m/>
    <m/>
    <n v="0"/>
    <n v="0"/>
    <n v="0"/>
    <n v="0"/>
    <e v="#N/A"/>
    <e v="#N/A"/>
    <e v="#N/A"/>
    <n v="0"/>
    <e v="#N/A"/>
  </r>
  <r>
    <m/>
    <s v="TOTAL RECIBIDO A DIC 19/2025"/>
    <m/>
    <m/>
    <x v="1"/>
    <m/>
    <n v="102168000"/>
    <m/>
    <m/>
    <n v="23082000"/>
    <n v="19771600"/>
    <n v="40867000"/>
    <n v="42217250"/>
    <n v="53415000"/>
    <n v="34625000"/>
    <n v="47793000"/>
    <n v="55225000"/>
    <n v="63734000"/>
    <n v="70300000"/>
    <n v="92819059"/>
    <n v="93925000"/>
    <e v="#N/A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1"/>
    <s v="ABNER GONZALEZ"/>
    <n v="9289920"/>
    <m/>
    <x v="0"/>
    <n v="1"/>
    <n v="2059000"/>
    <s v="BCOL AHO"/>
    <s v="CREDITO"/>
    <n v="0"/>
    <n v="0"/>
    <n v="0"/>
    <n v="0"/>
    <n v="0"/>
    <m/>
    <m/>
    <m/>
    <m/>
    <m/>
    <m/>
    <m/>
    <n v="0"/>
    <n v="0"/>
    <n v="0"/>
    <n v="0"/>
  </r>
  <r>
    <n v="2"/>
    <s v="ALBA MARINA ROMERO"/>
    <m/>
    <m/>
    <x v="1"/>
    <m/>
    <n v="100000"/>
    <m/>
    <s v="CREDITO"/>
    <n v="0"/>
    <n v="0"/>
    <n v="0"/>
    <n v="0"/>
    <n v="0"/>
    <m/>
    <m/>
    <m/>
    <m/>
    <m/>
    <m/>
    <m/>
    <n v="0"/>
    <n v="0"/>
    <n v="0"/>
    <n v="0"/>
  </r>
  <r>
    <n v="3"/>
    <s v="ANA  MISAD"/>
    <m/>
    <m/>
    <x v="2"/>
    <m/>
    <n v="200000"/>
    <s v="EFECTIVO"/>
    <s v="CREDITO"/>
    <n v="0"/>
    <n v="0"/>
    <n v="0"/>
    <n v="0"/>
    <n v="0"/>
    <m/>
    <m/>
    <m/>
    <m/>
    <m/>
    <m/>
    <m/>
    <n v="0"/>
    <n v="0"/>
    <n v="0"/>
    <n v="0"/>
  </r>
  <r>
    <n v="4"/>
    <s v="ANA CORTES"/>
    <m/>
    <m/>
    <x v="2"/>
    <m/>
    <n v="100000"/>
    <s v="EFECTIVO"/>
    <s v="CREDITO"/>
    <n v="0"/>
    <n v="0"/>
    <n v="0"/>
    <n v="0"/>
    <n v="0"/>
    <m/>
    <m/>
    <m/>
    <m/>
    <m/>
    <m/>
    <m/>
    <n v="0"/>
    <n v="0"/>
    <n v="0"/>
    <n v="0"/>
  </r>
  <r>
    <n v="5"/>
    <s v="ANA MARIA PORTILLA CLAROS"/>
    <n v="1114621012"/>
    <n v="3207945735"/>
    <x v="2"/>
    <m/>
    <n v="2000000"/>
    <s v="BCOL AHO"/>
    <s v="CREDITO"/>
    <n v="0"/>
    <n v="0"/>
    <n v="0"/>
    <n v="600000"/>
    <n v="0"/>
    <m/>
    <m/>
    <m/>
    <m/>
    <m/>
    <m/>
    <m/>
    <n v="600000"/>
    <n v="1.5"/>
    <n v="1"/>
    <n v="2"/>
  </r>
  <r>
    <n v="6"/>
    <s v="ANDRES CASTRILLON &quot;GIRARDOTA&quot;"/>
    <n v="1035855590"/>
    <n v="3154949282"/>
    <x v="3"/>
    <m/>
    <n v="1100000"/>
    <s v="BCOL AHO"/>
    <s v="CREDITO"/>
    <n v="400000"/>
    <n v="400000"/>
    <n v="400000"/>
    <n v="400000"/>
    <n v="0"/>
    <m/>
    <m/>
    <m/>
    <m/>
    <m/>
    <m/>
    <m/>
    <n v="1600000"/>
    <n v="4"/>
    <n v="4"/>
    <n v="4"/>
  </r>
  <r>
    <n v="7"/>
    <s v="ANDRES MORENO  ARRIAGA"/>
    <n v="1077465696"/>
    <n v="3207593131"/>
    <x v="4"/>
    <m/>
    <n v="1600000"/>
    <m/>
    <s v="CREDITO"/>
    <n v="0"/>
    <n v="0"/>
    <n v="0"/>
    <n v="400000"/>
    <n v="0"/>
    <m/>
    <m/>
    <m/>
    <m/>
    <m/>
    <m/>
    <m/>
    <n v="400000"/>
    <n v="1"/>
    <n v="1"/>
    <n v="1"/>
  </r>
  <r>
    <n v="8"/>
    <s v="ANGIE FINO"/>
    <m/>
    <m/>
    <x v="1"/>
    <m/>
    <n v="1000000"/>
    <m/>
    <s v="CREDITO"/>
    <n v="0"/>
    <n v="0"/>
    <n v="0"/>
    <n v="0"/>
    <n v="0"/>
    <m/>
    <m/>
    <m/>
    <m/>
    <m/>
    <m/>
    <m/>
    <n v="0"/>
    <n v="0"/>
    <n v="0"/>
    <n v="0"/>
  </r>
  <r>
    <n v="9"/>
    <s v="ANONIMO"/>
    <m/>
    <m/>
    <x v="2"/>
    <m/>
    <n v="580000"/>
    <m/>
    <s v="CREDITO"/>
    <n v="0"/>
    <n v="0"/>
    <n v="0"/>
    <n v="0"/>
    <n v="0"/>
    <m/>
    <m/>
    <m/>
    <m/>
    <m/>
    <m/>
    <m/>
    <n v="0"/>
    <n v="0"/>
    <n v="0"/>
    <n v="0"/>
  </r>
  <r>
    <n v="10"/>
    <s v="APOYO CASA PAC "/>
    <m/>
    <m/>
    <x v="1"/>
    <m/>
    <n v="0"/>
    <s v="BCOL AHO"/>
    <s v="DEBITO"/>
    <n v="0"/>
    <n v="0"/>
    <n v="0"/>
    <n v="0"/>
    <n v="0"/>
    <m/>
    <m/>
    <m/>
    <m/>
    <m/>
    <m/>
    <m/>
    <n v="0"/>
    <n v="0"/>
    <n v="0"/>
    <n v="0"/>
  </r>
  <r>
    <n v="11"/>
    <s v="BENITO HERRRA"/>
    <m/>
    <m/>
    <x v="1"/>
    <n v="3"/>
    <n v="1600000"/>
    <s v="BCOL AHO"/>
    <s v="CREDITO"/>
    <n v="0"/>
    <n v="0"/>
    <n v="0"/>
    <n v="1600000"/>
    <n v="0"/>
    <m/>
    <m/>
    <m/>
    <m/>
    <m/>
    <m/>
    <m/>
    <n v="1600000"/>
    <n v="4"/>
    <n v="1"/>
    <n v="4"/>
  </r>
  <r>
    <n v="12"/>
    <s v="BIBIANA MONTOYA RODAS"/>
    <m/>
    <m/>
    <x v="1"/>
    <m/>
    <n v="1500000"/>
    <s v="BCOL AHO"/>
    <s v="CREDITO"/>
    <n v="0"/>
    <n v="0"/>
    <n v="0"/>
    <n v="0"/>
    <n v="0"/>
    <m/>
    <m/>
    <m/>
    <m/>
    <m/>
    <m/>
    <m/>
    <n v="0"/>
    <n v="0"/>
    <n v="0"/>
    <n v="0"/>
  </r>
  <r>
    <n v="13"/>
    <s v="BRAYER ALEXIS QUINTERO FERNANDEZ"/>
    <n v="1090395092"/>
    <m/>
    <x v="5"/>
    <m/>
    <n v="2820000"/>
    <s v="BCOL AHO"/>
    <s v="CREDITO"/>
    <n v="400000"/>
    <n v="400000"/>
    <n v="0"/>
    <n v="1200000"/>
    <n v="0"/>
    <m/>
    <m/>
    <m/>
    <m/>
    <m/>
    <m/>
    <m/>
    <n v="2000000"/>
    <n v="5"/>
    <n v="3"/>
    <n v="5"/>
  </r>
  <r>
    <n v="14"/>
    <s v="CARLIS MICHELE PEREZ  CANO"/>
    <n v="1095846194"/>
    <n v="3022962452"/>
    <x v="2"/>
    <m/>
    <n v="1000000"/>
    <s v="BCOL AHO"/>
    <s v="CREDITO"/>
    <n v="400000"/>
    <n v="400000"/>
    <n v="0"/>
    <n v="0"/>
    <n v="0"/>
    <m/>
    <m/>
    <m/>
    <m/>
    <m/>
    <m/>
    <m/>
    <n v="800000"/>
    <n v="2"/>
    <n v="2"/>
    <n v="2"/>
  </r>
  <r>
    <n v="15"/>
    <s v="CARLOS  CARRASCO"/>
    <m/>
    <m/>
    <x v="2"/>
    <n v="1"/>
    <n v="6219000"/>
    <s v="EFECTIVO"/>
    <s v="CREDITO"/>
    <n v="400000"/>
    <n v="400000"/>
    <n v="400000"/>
    <n v="400000"/>
    <n v="400000"/>
    <m/>
    <m/>
    <m/>
    <m/>
    <m/>
    <m/>
    <m/>
    <n v="2000000"/>
    <n v="5"/>
    <n v="5"/>
    <n v="5"/>
  </r>
  <r>
    <n v="16"/>
    <s v="CARLOS  PALMA"/>
    <m/>
    <m/>
    <x v="2"/>
    <n v="1"/>
    <n v="4800000"/>
    <s v="EFECTIVO"/>
    <s v="CREDITO"/>
    <n v="0"/>
    <n v="800000"/>
    <n v="400000"/>
    <n v="400000"/>
    <n v="0"/>
    <m/>
    <m/>
    <m/>
    <m/>
    <m/>
    <m/>
    <m/>
    <n v="1600000"/>
    <n v="4"/>
    <n v="3"/>
    <n v="4"/>
  </r>
  <r>
    <n v="17"/>
    <s v="CARLOS ANDRES COCUY"/>
    <n v="14797460"/>
    <n v="3160438302"/>
    <x v="6"/>
    <m/>
    <n v="5200000"/>
    <s v="BCOL AHO"/>
    <s v="CREDITO"/>
    <n v="450000"/>
    <n v="450000"/>
    <n v="500000"/>
    <n v="600000"/>
    <n v="0"/>
    <m/>
    <m/>
    <m/>
    <m/>
    <m/>
    <m/>
    <m/>
    <n v="2000000"/>
    <n v="5"/>
    <n v="4"/>
    <n v="5"/>
  </r>
  <r>
    <n v="18"/>
    <s v="CAROLINA QUIROGA"/>
    <m/>
    <m/>
    <x v="1"/>
    <m/>
    <n v="100000"/>
    <s v="BCOL AHO"/>
    <s v="CREDITO"/>
    <n v="0"/>
    <n v="0"/>
    <n v="0"/>
    <n v="400000"/>
    <n v="400000"/>
    <m/>
    <m/>
    <m/>
    <m/>
    <m/>
    <m/>
    <m/>
    <n v="800000"/>
    <n v="2"/>
    <n v="2"/>
    <n v="2"/>
  </r>
  <r>
    <n v="19"/>
    <s v="CESAR  VERA"/>
    <n v="79333423"/>
    <n v="3166268412"/>
    <x v="2"/>
    <n v="3"/>
    <n v="22900000"/>
    <s v="EFECTIVO"/>
    <s v="CREDITO"/>
    <n v="2000000"/>
    <n v="1600000"/>
    <n v="1600000"/>
    <n v="2000000"/>
    <n v="800000"/>
    <m/>
    <m/>
    <m/>
    <m/>
    <m/>
    <m/>
    <m/>
    <n v="8000000"/>
    <n v="20"/>
    <n v="5"/>
    <n v="20"/>
  </r>
  <r>
    <n v="20"/>
    <s v="CLAUDIA ARCINIEGAS"/>
    <m/>
    <m/>
    <x v="1"/>
    <m/>
    <n v="800000"/>
    <s v="BCOL AHO"/>
    <s v="CREDITO"/>
    <n v="0"/>
    <n v="0"/>
    <n v="0"/>
    <n v="0"/>
    <n v="0"/>
    <m/>
    <m/>
    <m/>
    <m/>
    <m/>
    <m/>
    <m/>
    <n v="0"/>
    <n v="0"/>
    <n v="0"/>
    <n v="0"/>
  </r>
  <r>
    <n v="21"/>
    <s v="DANIEL  VARGAS"/>
    <m/>
    <m/>
    <x v="1"/>
    <n v="1"/>
    <n v="1200000"/>
    <s v="BCOL AHO"/>
    <s v="CREDITO"/>
    <n v="400000"/>
    <n v="600000"/>
    <n v="600000"/>
    <n v="0"/>
    <n v="800000"/>
    <m/>
    <m/>
    <m/>
    <m/>
    <m/>
    <m/>
    <m/>
    <n v="2400000"/>
    <n v="6"/>
    <n v="4"/>
    <n v="6"/>
  </r>
  <r>
    <n v="22"/>
    <s v="DANIELA CASTO"/>
    <m/>
    <m/>
    <x v="1"/>
    <m/>
    <n v="200000"/>
    <s v="BCOL AHO"/>
    <s v="CREDITO"/>
    <n v="0"/>
    <n v="0"/>
    <n v="0"/>
    <n v="0"/>
    <n v="0"/>
    <m/>
    <m/>
    <m/>
    <m/>
    <m/>
    <m/>
    <m/>
    <n v="0"/>
    <n v="0"/>
    <n v="0"/>
    <n v="0"/>
  </r>
  <r>
    <n v="23"/>
    <s v="DAVID MAESTRE"/>
    <m/>
    <m/>
    <x v="1"/>
    <m/>
    <n v="2400000"/>
    <s v="BCOL AHO"/>
    <s v="CREDITO"/>
    <n v="0"/>
    <n v="0"/>
    <n v="0"/>
    <n v="0"/>
    <n v="0"/>
    <m/>
    <m/>
    <m/>
    <m/>
    <m/>
    <m/>
    <m/>
    <n v="0"/>
    <n v="0"/>
    <n v="0"/>
    <n v="0"/>
  </r>
  <r>
    <n v="24"/>
    <s v="DAVID MIRANDA"/>
    <m/>
    <m/>
    <x v="2"/>
    <n v="1"/>
    <n v="4400000"/>
    <s v="BCOL AHO"/>
    <s v="CREDITO"/>
    <n v="400000"/>
    <n v="0"/>
    <n v="0"/>
    <n v="800000"/>
    <n v="0"/>
    <m/>
    <m/>
    <m/>
    <m/>
    <m/>
    <m/>
    <m/>
    <n v="1200000"/>
    <n v="3"/>
    <n v="2"/>
    <n v="3"/>
  </r>
  <r>
    <n v="25"/>
    <s v="EDDWARD  GARCIA"/>
    <m/>
    <m/>
    <x v="2"/>
    <n v="1"/>
    <n v="240000"/>
    <s v="EFECTIVO"/>
    <s v="CREDITO"/>
    <n v="0"/>
    <n v="0"/>
    <n v="0"/>
    <n v="0"/>
    <n v="0"/>
    <m/>
    <m/>
    <m/>
    <m/>
    <m/>
    <m/>
    <m/>
    <n v="0"/>
    <n v="0"/>
    <n v="0"/>
    <n v="0"/>
  </r>
  <r>
    <n v="26"/>
    <s v="ERICA PLATA"/>
    <n v="60362206"/>
    <n v="3165652640"/>
    <x v="7"/>
    <n v="1"/>
    <n v="1000000"/>
    <s v="BCOL AHO 2"/>
    <s v="CREDITO"/>
    <n v="0"/>
    <n v="400000"/>
    <n v="400000"/>
    <n v="400000"/>
    <n v="0"/>
    <m/>
    <m/>
    <m/>
    <m/>
    <m/>
    <m/>
    <m/>
    <n v="1200000"/>
    <n v="3"/>
    <n v="3"/>
    <n v="3"/>
  </r>
  <r>
    <n v="27"/>
    <s v="ERMILGEN  RIAÑO"/>
    <m/>
    <m/>
    <x v="2"/>
    <m/>
    <n v="100000"/>
    <s v="EFECTIVO"/>
    <s v="CREDITO"/>
    <n v="0"/>
    <n v="0"/>
    <n v="0"/>
    <n v="0"/>
    <n v="0"/>
    <m/>
    <m/>
    <m/>
    <m/>
    <m/>
    <m/>
    <m/>
    <n v="0"/>
    <n v="0"/>
    <n v="0"/>
    <n v="0"/>
  </r>
  <r>
    <n v="28"/>
    <s v="ESTEBAN ISAZA MUÑOZ"/>
    <n v="88230239"/>
    <n v="3123933769"/>
    <x v="8"/>
    <n v="1"/>
    <n v="10045000"/>
    <s v="BCOL AHO 2"/>
    <s v="CREDITO"/>
    <n v="1600000"/>
    <n v="1600000"/>
    <n v="1400000"/>
    <n v="1200000"/>
    <n v="1200000"/>
    <m/>
    <m/>
    <m/>
    <m/>
    <m/>
    <m/>
    <m/>
    <n v="7000000"/>
    <n v="17.5"/>
    <n v="5"/>
    <n v="18"/>
  </r>
  <r>
    <n v="29"/>
    <s v="ESTHER TORRES"/>
    <m/>
    <m/>
    <x v="2"/>
    <m/>
    <n v="450000"/>
    <s v="EFECTIVO"/>
    <s v="CREDITO"/>
    <n v="0"/>
    <n v="0"/>
    <n v="0"/>
    <n v="0"/>
    <n v="0"/>
    <m/>
    <m/>
    <m/>
    <m/>
    <m/>
    <m/>
    <m/>
    <n v="0"/>
    <n v="0"/>
    <n v="0"/>
    <n v="0"/>
  </r>
  <r>
    <n v="30"/>
    <s v="EUSEBIO MONTES"/>
    <m/>
    <m/>
    <x v="1"/>
    <n v="1"/>
    <n v="0"/>
    <s v="No Registra"/>
    <s v="CREDITO"/>
    <n v="0"/>
    <n v="0"/>
    <n v="0"/>
    <n v="0"/>
    <n v="0"/>
    <m/>
    <m/>
    <m/>
    <m/>
    <m/>
    <m/>
    <m/>
    <n v="0"/>
    <n v="0"/>
    <n v="0"/>
    <n v="0"/>
  </r>
  <r>
    <n v="31"/>
    <s v="FLOR  ACUÑA"/>
    <m/>
    <m/>
    <x v="2"/>
    <m/>
    <n v="400000"/>
    <s v="BCOL AHO"/>
    <s v="CREDITO"/>
    <n v="0"/>
    <n v="0"/>
    <n v="0"/>
    <n v="0"/>
    <n v="0"/>
    <m/>
    <m/>
    <m/>
    <m/>
    <m/>
    <m/>
    <m/>
    <n v="0"/>
    <n v="0"/>
    <n v="0"/>
    <n v="0"/>
  </r>
  <r>
    <n v="32"/>
    <s v="FLOR  SALAMANCA"/>
    <n v="23963745"/>
    <n v="3142385522"/>
    <x v="2"/>
    <n v="2"/>
    <n v="21600000"/>
    <s v="BCOL AHO-EF"/>
    <s v="CREDITO"/>
    <n v="3600000"/>
    <n v="3600000"/>
    <n v="3600000"/>
    <n v="5600000"/>
    <n v="3600000"/>
    <m/>
    <m/>
    <m/>
    <m/>
    <m/>
    <m/>
    <m/>
    <n v="20000000"/>
    <n v="50"/>
    <n v="5"/>
    <n v="50"/>
  </r>
  <r>
    <n v="33"/>
    <s v="FRANCISCO VILLAMIL"/>
    <m/>
    <m/>
    <x v="2"/>
    <m/>
    <n v="2200000"/>
    <s v="EFECTIVO"/>
    <s v="CREDITO"/>
    <n v="400000"/>
    <n v="400000"/>
    <n v="400000"/>
    <n v="400000"/>
    <n v="400000"/>
    <m/>
    <m/>
    <m/>
    <m/>
    <m/>
    <m/>
    <m/>
    <n v="2000000"/>
    <n v="5"/>
    <n v="5"/>
    <n v="5"/>
  </r>
  <r>
    <n v="34"/>
    <s v="FREIMAN JAIMES"/>
    <n v="13177594"/>
    <n v="3107951023"/>
    <x v="9"/>
    <n v="1"/>
    <n v="800000"/>
    <s v="No Registra"/>
    <s v="CREDITO"/>
    <n v="0"/>
    <n v="0"/>
    <n v="400000"/>
    <n v="0"/>
    <n v="400000"/>
    <m/>
    <m/>
    <m/>
    <m/>
    <m/>
    <m/>
    <m/>
    <n v="800000"/>
    <n v="2"/>
    <n v="2"/>
    <n v="2"/>
  </r>
  <r>
    <n v="35"/>
    <s v="GISEL DANIELA GUTIERREZ MURILLO"/>
    <m/>
    <m/>
    <x v="1"/>
    <m/>
    <n v="1200000"/>
    <s v="BCOL AHO"/>
    <s v="CREDITO"/>
    <n v="0"/>
    <n v="0"/>
    <n v="0"/>
    <n v="0"/>
    <n v="0"/>
    <m/>
    <m/>
    <m/>
    <m/>
    <m/>
    <m/>
    <m/>
    <n v="0"/>
    <n v="0"/>
    <n v="0"/>
    <n v="0"/>
  </r>
  <r>
    <n v="36"/>
    <s v="GUILLERMO MONSALVE"/>
    <n v="4803428"/>
    <n v="3009838761"/>
    <x v="10"/>
    <m/>
    <n v="4400000"/>
    <s v="BCOL AHO"/>
    <s v="CREDITO"/>
    <n v="0"/>
    <n v="1600000"/>
    <n v="1600000"/>
    <n v="0"/>
    <n v="0"/>
    <m/>
    <m/>
    <m/>
    <m/>
    <m/>
    <m/>
    <m/>
    <n v="3200000"/>
    <n v="8"/>
    <n v="2"/>
    <n v="8"/>
  </r>
  <r>
    <n v="37"/>
    <s v="HERMES PATIÑO"/>
    <n v="93206783"/>
    <n v="3125188563"/>
    <x v="10"/>
    <m/>
    <n v="6000000"/>
    <s v="BCOL AHO"/>
    <s v="CREDITO"/>
    <n v="0"/>
    <n v="800000"/>
    <n v="800000"/>
    <n v="0"/>
    <n v="0"/>
    <m/>
    <m/>
    <m/>
    <m/>
    <m/>
    <m/>
    <m/>
    <n v="1600000"/>
    <n v="4"/>
    <n v="2"/>
    <n v="4"/>
  </r>
  <r>
    <n v="38"/>
    <s v="HUMBERTO  OSPINO"/>
    <n v="72147202"/>
    <n v="3126317467"/>
    <x v="11"/>
    <m/>
    <n v="4400000"/>
    <s v="BCOL AHO 2"/>
    <s v="CREDITO"/>
    <n v="0"/>
    <n v="0"/>
    <n v="0"/>
    <n v="400000"/>
    <n v="0"/>
    <m/>
    <m/>
    <m/>
    <m/>
    <m/>
    <m/>
    <m/>
    <n v="400000"/>
    <n v="1"/>
    <n v="1"/>
    <n v="1"/>
  </r>
  <r>
    <n v="39"/>
    <s v="IG. EN  PTO. COLOMBIA "/>
    <m/>
    <m/>
    <x v="12"/>
    <m/>
    <n v="6522000"/>
    <s v="BCOL AHO"/>
    <s v="CREDITO"/>
    <n v="0"/>
    <n v="0"/>
    <n v="0"/>
    <n v="0"/>
    <n v="0"/>
    <m/>
    <m/>
    <m/>
    <m/>
    <m/>
    <m/>
    <m/>
    <n v="0"/>
    <n v="0"/>
    <n v="0"/>
    <n v="0"/>
  </r>
  <r>
    <n v="40"/>
    <s v="IG. EN BARRANQUILLA "/>
    <n v="8742974"/>
    <n v="317889812"/>
    <x v="12"/>
    <m/>
    <n v="20208000"/>
    <s v="BCOL AHO"/>
    <s v="CREDITO"/>
    <n v="2085000"/>
    <n v="2000000"/>
    <n v="1180000"/>
    <n v="0"/>
    <n v="2140000"/>
    <m/>
    <m/>
    <m/>
    <m/>
    <m/>
    <m/>
    <m/>
    <n v="7405000"/>
    <n v="18.512499999999999"/>
    <n v="4"/>
    <n v="19"/>
  </r>
  <r>
    <n v="41"/>
    <s v="IG. EN BAYUNCA JAVIER MIRANDA"/>
    <m/>
    <m/>
    <x v="13"/>
    <m/>
    <n v="600000"/>
    <s v="BCOL AHO"/>
    <s v="CREDITO"/>
    <n v="0"/>
    <n v="0"/>
    <n v="0"/>
    <n v="400000"/>
    <n v="0"/>
    <m/>
    <m/>
    <m/>
    <m/>
    <m/>
    <m/>
    <m/>
    <n v="400000"/>
    <n v="1"/>
    <n v="1"/>
    <n v="1"/>
  </r>
  <r>
    <n v="42"/>
    <s v="IG. EN BUCARAMANGA"/>
    <n v="900379577"/>
    <n v="31844096518"/>
    <x v="14"/>
    <m/>
    <n v="19725000"/>
    <m/>
    <s v="CREDITO"/>
    <n v="6000000"/>
    <n v="15000000"/>
    <n v="9000000"/>
    <n v="6000000"/>
    <n v="0"/>
    <m/>
    <m/>
    <m/>
    <m/>
    <m/>
    <m/>
    <m/>
    <n v="36000000"/>
    <n v="90"/>
    <n v="4"/>
    <n v="90"/>
  </r>
  <r>
    <n v="43"/>
    <s v="IG. EN CARTAGO "/>
    <m/>
    <m/>
    <x v="15"/>
    <n v="1"/>
    <n v="4095000"/>
    <s v="BCOL AHO"/>
    <s v="CREDITO"/>
    <n v="0"/>
    <n v="1950000"/>
    <n v="400000"/>
    <n v="1900000"/>
    <n v="0"/>
    <m/>
    <m/>
    <m/>
    <m/>
    <m/>
    <m/>
    <m/>
    <n v="4250000"/>
    <n v="10.625"/>
    <n v="3"/>
    <n v="11"/>
  </r>
  <r>
    <n v="44"/>
    <s v="IG. EN CORDOBA "/>
    <m/>
    <m/>
    <x v="16"/>
    <n v="1"/>
    <n v="12937600"/>
    <s v="BCOL AHO 2"/>
    <s v="CREDITO"/>
    <n v="0"/>
    <n v="6800000"/>
    <n v="7200000"/>
    <n v="7200000"/>
    <n v="8400000"/>
    <m/>
    <m/>
    <m/>
    <m/>
    <m/>
    <m/>
    <m/>
    <n v="29600000"/>
    <n v="74"/>
    <n v="4"/>
    <n v="74"/>
  </r>
  <r>
    <n v="45"/>
    <s v="IG. EN CUCUTA GUSTAVO LEON"/>
    <n v="16354014"/>
    <n v="3133884161"/>
    <x v="5"/>
    <n v="1"/>
    <n v="16940000"/>
    <s v="BCOL AHO 2"/>
    <s v="CREDITO"/>
    <n v="800000"/>
    <n v="425000"/>
    <n v="0"/>
    <n v="1600000"/>
    <n v="0"/>
    <m/>
    <m/>
    <m/>
    <m/>
    <m/>
    <m/>
    <m/>
    <n v="2825000"/>
    <n v="7.0625"/>
    <n v="3"/>
    <n v="8"/>
  </r>
  <r>
    <n v="46"/>
    <s v="IG. EN DOSQUEBRADAS "/>
    <m/>
    <m/>
    <x v="6"/>
    <m/>
    <n v="2700000"/>
    <s v="BCOL AHO"/>
    <s v="CREDITO"/>
    <n v="0"/>
    <n v="0"/>
    <n v="160000"/>
    <n v="70000"/>
    <n v="0"/>
    <m/>
    <m/>
    <m/>
    <m/>
    <m/>
    <m/>
    <m/>
    <n v="230000"/>
    <n v="0.57499999999999996"/>
    <n v="2"/>
    <n v="1"/>
  </r>
  <r>
    <n v="47"/>
    <s v="IG. EN EL D.C. "/>
    <n v="900299699"/>
    <n v="3214118979"/>
    <x v="2"/>
    <m/>
    <n v="16800000"/>
    <s v="TRASLADO"/>
    <s v="CREDITO"/>
    <n v="800000"/>
    <n v="800000"/>
    <n v="800000"/>
    <n v="800000"/>
    <n v="800000"/>
    <m/>
    <m/>
    <m/>
    <m/>
    <m/>
    <m/>
    <m/>
    <n v="4000000"/>
    <n v="10"/>
    <n v="5"/>
    <n v="10"/>
  </r>
  <r>
    <n v="48"/>
    <s v="IG. EN GIRARDOT "/>
    <m/>
    <m/>
    <x v="17"/>
    <m/>
    <n v="220000"/>
    <s v="BCOL AHO 2"/>
    <s v="CREDITO"/>
    <n v="0"/>
    <n v="0"/>
    <n v="0"/>
    <n v="0"/>
    <n v="400000"/>
    <m/>
    <m/>
    <m/>
    <m/>
    <m/>
    <m/>
    <m/>
    <n v="400000"/>
    <n v="1"/>
    <n v="1"/>
    <n v="1"/>
  </r>
  <r>
    <n v="49"/>
    <s v="IG. EN GIRARDOTA "/>
    <m/>
    <m/>
    <x v="3"/>
    <m/>
    <n v="13600000"/>
    <s v="BCOL AHO"/>
    <s v="CREDITO"/>
    <n v="1200000"/>
    <n v="2000000"/>
    <n v="1200000"/>
    <n v="1750000"/>
    <n v="0"/>
    <m/>
    <m/>
    <m/>
    <m/>
    <m/>
    <m/>
    <m/>
    <n v="6150000"/>
    <n v="15.375"/>
    <n v="4"/>
    <n v="16"/>
  </r>
  <r>
    <n v="50"/>
    <s v="IG. EN ITAGUI "/>
    <m/>
    <m/>
    <x v="18"/>
    <m/>
    <n v="3050000"/>
    <s v="BCOL AHO"/>
    <s v="CREDITO"/>
    <n v="0"/>
    <n v="0"/>
    <n v="0"/>
    <n v="2470000"/>
    <n v="0"/>
    <m/>
    <m/>
    <m/>
    <m/>
    <m/>
    <m/>
    <m/>
    <n v="2470000"/>
    <n v="6.1749999999999998"/>
    <n v="1"/>
    <n v="7"/>
  </r>
  <r>
    <n v="51"/>
    <s v="IG. EN ITSMINA "/>
    <n v="11809146"/>
    <n v="3136811706"/>
    <x v="19"/>
    <m/>
    <n v="9745000"/>
    <s v="BCOL AHO"/>
    <s v="CREDITO"/>
    <n v="800000"/>
    <n v="0"/>
    <n v="2400000"/>
    <n v="1200000"/>
    <n v="0"/>
    <m/>
    <m/>
    <m/>
    <m/>
    <m/>
    <m/>
    <m/>
    <n v="4400000"/>
    <n v="11"/>
    <n v="3"/>
    <n v="11"/>
  </r>
  <r>
    <n v="52"/>
    <s v="IG. EN LA MINA "/>
    <m/>
    <m/>
    <x v="20"/>
    <m/>
    <n v="1600000"/>
    <s v="BCOL AHO"/>
    <s v="CREDITO"/>
    <n v="400000"/>
    <n v="400000"/>
    <n v="0"/>
    <n v="0"/>
    <n v="400000"/>
    <m/>
    <m/>
    <m/>
    <m/>
    <m/>
    <m/>
    <m/>
    <n v="1200000"/>
    <n v="3"/>
    <n v="3"/>
    <n v="3"/>
  </r>
  <r>
    <n v="53"/>
    <s v="IG. EN MALAMBO "/>
    <m/>
    <m/>
    <x v="21"/>
    <n v="1"/>
    <n v="2285000"/>
    <s v="BCOL AHO 2"/>
    <s v="CREDITO"/>
    <n v="400000"/>
    <n v="0"/>
    <n v="0"/>
    <n v="400000"/>
    <n v="400000"/>
    <m/>
    <m/>
    <m/>
    <m/>
    <m/>
    <m/>
    <m/>
    <n v="1200000"/>
    <n v="3"/>
    <n v="3"/>
    <n v="3"/>
  </r>
  <r>
    <n v="54"/>
    <s v="IG. EN MEDELLIN"/>
    <m/>
    <m/>
    <x v="0"/>
    <m/>
    <n v="2800000"/>
    <s v="BCOL AHO"/>
    <s v="CREDITO"/>
    <n v="0"/>
    <n v="0"/>
    <n v="400000"/>
    <n v="0"/>
    <n v="0"/>
    <m/>
    <m/>
    <m/>
    <m/>
    <m/>
    <m/>
    <m/>
    <n v="400000"/>
    <n v="1"/>
    <n v="1"/>
    <n v="1"/>
  </r>
  <r>
    <n v="55"/>
    <s v="IG. EN NEIVA "/>
    <m/>
    <m/>
    <x v="22"/>
    <m/>
    <n v="9200000"/>
    <s v="BCOL AHO"/>
    <s v="CREDITO"/>
    <n v="600000"/>
    <n v="600000"/>
    <n v="2000000"/>
    <n v="0"/>
    <n v="0"/>
    <m/>
    <m/>
    <m/>
    <m/>
    <m/>
    <m/>
    <m/>
    <n v="3200000"/>
    <n v="8"/>
    <n v="3"/>
    <n v="8"/>
  </r>
  <r>
    <n v="56"/>
    <s v="IG. EN OCAÑA "/>
    <s v="900420427-8"/>
    <m/>
    <x v="9"/>
    <m/>
    <n v="11200000"/>
    <s v="BCOL AHO"/>
    <s v="CREDITO"/>
    <n v="0"/>
    <n v="1200000"/>
    <n v="2000000"/>
    <n v="1600000"/>
    <n v="0"/>
    <m/>
    <m/>
    <m/>
    <m/>
    <m/>
    <m/>
    <m/>
    <n v="4800000"/>
    <n v="12"/>
    <n v="3"/>
    <n v="12"/>
  </r>
  <r>
    <n v="57"/>
    <s v="IG. EN PEREIRA "/>
    <m/>
    <m/>
    <x v="23"/>
    <n v="2"/>
    <n v="14800000"/>
    <s v="BCOL AHO 2"/>
    <s v="CREDITO"/>
    <n v="0"/>
    <n v="400000"/>
    <n v="1200000"/>
    <n v="400000"/>
    <n v="0"/>
    <m/>
    <m/>
    <m/>
    <m/>
    <m/>
    <m/>
    <m/>
    <n v="2000000"/>
    <n v="5"/>
    <n v="3"/>
    <n v="5"/>
  </r>
  <r>
    <n v="58"/>
    <s v="IG. EN QUIBDO "/>
    <n v="900371129"/>
    <n v="3216464514"/>
    <x v="4"/>
    <m/>
    <n v="2400000"/>
    <s v="BCOL AHO"/>
    <s v="CREDITO"/>
    <n v="800000"/>
    <n v="4800000"/>
    <n v="1200000"/>
    <n v="400000"/>
    <n v="0"/>
    <m/>
    <m/>
    <m/>
    <m/>
    <m/>
    <m/>
    <m/>
    <n v="7200000"/>
    <n v="18"/>
    <n v="4"/>
    <n v="18"/>
  </r>
  <r>
    <n v="59"/>
    <s v="IG. EN RIOHACHA"/>
    <m/>
    <m/>
    <x v="24"/>
    <m/>
    <n v="440000"/>
    <s v="BCOL AHO"/>
    <s v="CREDITO"/>
    <n v="0"/>
    <n v="0"/>
    <n v="0"/>
    <n v="0"/>
    <n v="0"/>
    <m/>
    <m/>
    <m/>
    <m/>
    <m/>
    <m/>
    <m/>
    <n v="0"/>
    <n v="0"/>
    <n v="0"/>
    <n v="0"/>
  </r>
  <r>
    <n v="60"/>
    <s v="IG. EN RIVERA "/>
    <m/>
    <m/>
    <x v="25"/>
    <m/>
    <n v="1250000"/>
    <s v="BCOL AHO"/>
    <s v="CREDITO"/>
    <n v="0"/>
    <n v="100000"/>
    <n v="0"/>
    <n v="100000"/>
    <n v="400000"/>
    <m/>
    <m/>
    <m/>
    <m/>
    <m/>
    <m/>
    <m/>
    <n v="600000"/>
    <n v="1.5"/>
    <n v="3"/>
    <n v="2"/>
  </r>
  <r>
    <n v="61"/>
    <s v="IG. EN SINCELEJO "/>
    <m/>
    <m/>
    <x v="10"/>
    <m/>
    <n v="1400000"/>
    <s v="BCOL AHO"/>
    <s v="CREDITO"/>
    <n v="400000"/>
    <n v="400000"/>
    <n v="0"/>
    <n v="400000"/>
    <n v="0"/>
    <m/>
    <m/>
    <m/>
    <m/>
    <m/>
    <m/>
    <m/>
    <n v="1200000"/>
    <n v="3"/>
    <n v="3"/>
    <n v="3"/>
  </r>
  <r>
    <n v="62"/>
    <s v="IG. EN SOLEDAD "/>
    <m/>
    <m/>
    <x v="26"/>
    <m/>
    <n v="9524000"/>
    <s v="BCOL AHO"/>
    <s v="CREDITO"/>
    <n v="0"/>
    <n v="0"/>
    <n v="0"/>
    <n v="2800000"/>
    <n v="0"/>
    <m/>
    <m/>
    <m/>
    <m/>
    <m/>
    <m/>
    <m/>
    <n v="2800000"/>
    <n v="7"/>
    <n v="1"/>
    <n v="7"/>
  </r>
  <r>
    <n v="63"/>
    <s v="IG. EN STA MARTA JOSE LUIS TERAN"/>
    <s v="900-380-4931"/>
    <n v="3233712038"/>
    <x v="27"/>
    <m/>
    <n v="7266250"/>
    <s v="BCOL AHO"/>
    <s v="CREDITO"/>
    <n v="2130000"/>
    <n v="2135000"/>
    <n v="2080000"/>
    <n v="0"/>
    <n v="1910000"/>
    <m/>
    <m/>
    <m/>
    <m/>
    <m/>
    <m/>
    <m/>
    <n v="8255000"/>
    <n v="20.637499999999999"/>
    <n v="4"/>
    <n v="21"/>
  </r>
  <r>
    <n v="64"/>
    <s v="IG. EN SUAN "/>
    <m/>
    <m/>
    <x v="28"/>
    <m/>
    <n v="3645000"/>
    <s v="BCOL AHO"/>
    <s v="CREDITO"/>
    <n v="570000"/>
    <n v="400000"/>
    <n v="0"/>
    <n v="0"/>
    <n v="0"/>
    <m/>
    <m/>
    <m/>
    <m/>
    <m/>
    <m/>
    <m/>
    <n v="970000"/>
    <n v="2.4249999999999998"/>
    <n v="2"/>
    <n v="3"/>
  </r>
  <r>
    <n v="65"/>
    <s v="IG. EN TURBACO "/>
    <m/>
    <m/>
    <x v="29"/>
    <m/>
    <n v="5704059"/>
    <s v="BCOL AHO"/>
    <s v="CREDITO"/>
    <n v="0"/>
    <n v="2254243"/>
    <n v="0"/>
    <n v="0"/>
    <n v="0"/>
    <m/>
    <m/>
    <m/>
    <m/>
    <m/>
    <m/>
    <m/>
    <n v="2254243"/>
    <n v="5.6356074999999999"/>
    <n v="1"/>
    <n v="6"/>
  </r>
  <r>
    <n v="66"/>
    <s v="IG. EN UBATE "/>
    <n v="900384157"/>
    <n v="3103160465"/>
    <x v="30"/>
    <m/>
    <n v="18700000"/>
    <s v="BCOL AHO"/>
    <s v="CREDITO"/>
    <n v="4800000"/>
    <n v="5440000"/>
    <n v="5000000"/>
    <n v="6000000"/>
    <n v="0"/>
    <m/>
    <m/>
    <m/>
    <m/>
    <m/>
    <m/>
    <m/>
    <n v="21240000"/>
    <n v="53.1"/>
    <n v="4"/>
    <n v="54"/>
  </r>
  <r>
    <n v="67"/>
    <s v="IG. EN VALLEDUPAR "/>
    <n v="900406774"/>
    <m/>
    <x v="31"/>
    <m/>
    <n v="62180000"/>
    <s v="BCOL AHO"/>
    <s v="CREDITO"/>
    <n v="0"/>
    <n v="10006000"/>
    <n v="0"/>
    <n v="12000000"/>
    <n v="12400000"/>
    <m/>
    <m/>
    <m/>
    <m/>
    <m/>
    <m/>
    <m/>
    <n v="34406000"/>
    <n v="86.015000000000001"/>
    <n v="3"/>
    <n v="87"/>
  </r>
  <r>
    <n v="68"/>
    <s v="IG. EN VILLAVICENCIO"/>
    <m/>
    <m/>
    <x v="32"/>
    <m/>
    <n v="2110000"/>
    <s v="BCOL AHO"/>
    <s v="CREDITO"/>
    <n v="0"/>
    <n v="0"/>
    <n v="0"/>
    <n v="0"/>
    <n v="0"/>
    <m/>
    <m/>
    <m/>
    <m/>
    <m/>
    <m/>
    <m/>
    <n v="0"/>
    <n v="0"/>
    <n v="0"/>
    <n v="0"/>
  </r>
  <r>
    <n v="69"/>
    <s v="IG. EN VILLA DEL ROSARIO"/>
    <m/>
    <m/>
    <x v="33"/>
    <m/>
    <n v="7580000"/>
    <s v="BCOL AHO"/>
    <s v="CREDITO"/>
    <n v="1200000"/>
    <n v="400000"/>
    <n v="400000"/>
    <n v="400000"/>
    <n v="0"/>
    <m/>
    <m/>
    <m/>
    <m/>
    <m/>
    <m/>
    <m/>
    <n v="2400000"/>
    <n v="6"/>
    <n v="4"/>
    <n v="6"/>
  </r>
  <r>
    <n v="70"/>
    <s v="IG. EN TULUA GUILLERMO HERRERA MURCIA"/>
    <m/>
    <m/>
    <x v="34"/>
    <m/>
    <n v="2800000"/>
    <s v="BCOL AHO"/>
    <s v="CREDITO"/>
    <n v="0"/>
    <n v="0"/>
    <n v="400000"/>
    <n v="0"/>
    <n v="0"/>
    <m/>
    <m/>
    <m/>
    <m/>
    <m/>
    <m/>
    <m/>
    <n v="400000"/>
    <n v="1"/>
    <n v="1"/>
    <n v="1"/>
  </r>
  <r>
    <n v="71"/>
    <s v="IG. EN ARMENIA"/>
    <m/>
    <m/>
    <x v="35"/>
    <m/>
    <n v="3600000"/>
    <m/>
    <s v="CREDITO"/>
    <n v="0"/>
    <n v="0"/>
    <n v="0"/>
    <n v="0"/>
    <n v="0"/>
    <m/>
    <m/>
    <m/>
    <m/>
    <m/>
    <m/>
    <m/>
    <n v="0"/>
    <n v="0"/>
    <n v="0"/>
    <n v="0"/>
  </r>
  <r>
    <n v="72"/>
    <s v="IG. EN CARTAGENA"/>
    <m/>
    <m/>
    <x v="36"/>
    <m/>
    <n v="12090000"/>
    <m/>
    <s v="CREDITO"/>
    <n v="0"/>
    <n v="2000000"/>
    <n v="800000"/>
    <n v="0"/>
    <n v="400000"/>
    <m/>
    <m/>
    <m/>
    <m/>
    <m/>
    <m/>
    <m/>
    <n v="3200000"/>
    <n v="8"/>
    <n v="3"/>
    <n v="8"/>
  </r>
  <r>
    <n v="73"/>
    <s v="IG. EN LOS PATIOS "/>
    <s v="900474240-1"/>
    <n v="3222616473"/>
    <x v="7"/>
    <m/>
    <n v="8200000"/>
    <m/>
    <s v="CREDITO"/>
    <n v="800000"/>
    <n v="800000"/>
    <n v="800000"/>
    <n v="800000"/>
    <n v="800000"/>
    <m/>
    <m/>
    <m/>
    <m/>
    <m/>
    <m/>
    <m/>
    <n v="4000000"/>
    <n v="10"/>
    <n v="5"/>
    <n v="10"/>
  </r>
  <r>
    <n v="74"/>
    <s v="IG. EN MONTERIA y STA LUCIA"/>
    <m/>
    <m/>
    <x v="37"/>
    <n v="1"/>
    <n v="14000000"/>
    <s v="BCOL AHO 2"/>
    <s v="CREDITO"/>
    <n v="7200000"/>
    <n v="0"/>
    <n v="0"/>
    <n v="0"/>
    <n v="0"/>
    <m/>
    <m/>
    <m/>
    <m/>
    <m/>
    <m/>
    <m/>
    <n v="7200000"/>
    <n v="18"/>
    <n v="1"/>
    <n v="18"/>
  </r>
  <r>
    <n v="75"/>
    <s v="INDIRA  ESTRADA"/>
    <m/>
    <m/>
    <x v="2"/>
    <m/>
    <n v="200000"/>
    <s v="EFECTIVO"/>
    <s v="CREDITO"/>
    <n v="0"/>
    <n v="0"/>
    <n v="0"/>
    <n v="0"/>
    <n v="0"/>
    <m/>
    <m/>
    <m/>
    <m/>
    <m/>
    <m/>
    <m/>
    <n v="0"/>
    <n v="0"/>
    <n v="0"/>
    <n v="0"/>
  </r>
  <r>
    <n v="76"/>
    <s v="ISABEL TORRIJAS"/>
    <m/>
    <m/>
    <x v="0"/>
    <n v="1"/>
    <n v="50000"/>
    <s v="BCOL AHO 2"/>
    <s v="CREDITO"/>
    <n v="0"/>
    <n v="0"/>
    <n v="0"/>
    <n v="0"/>
    <n v="0"/>
    <m/>
    <m/>
    <m/>
    <m/>
    <m/>
    <m/>
    <m/>
    <n v="0"/>
    <n v="0"/>
    <n v="0"/>
    <n v="0"/>
  </r>
  <r>
    <n v="77"/>
    <s v="JAMES GAMBOA"/>
    <m/>
    <m/>
    <x v="2"/>
    <m/>
    <n v="1762000"/>
    <s v="BCOL AHO"/>
    <s v="CREDITO"/>
    <n v="0"/>
    <n v="0"/>
    <n v="0"/>
    <n v="0"/>
    <n v="0"/>
    <m/>
    <m/>
    <m/>
    <m/>
    <m/>
    <m/>
    <m/>
    <n v="0"/>
    <n v="0"/>
    <n v="0"/>
    <n v="0"/>
  </r>
  <r>
    <n v="78"/>
    <s v="JAVIER BLOOM"/>
    <m/>
    <m/>
    <x v="0"/>
    <m/>
    <n v="800000"/>
    <s v="BCOL AHO"/>
    <s v="CREDITO"/>
    <n v="0"/>
    <n v="0"/>
    <n v="0"/>
    <n v="420982"/>
    <n v="0"/>
    <m/>
    <m/>
    <m/>
    <m/>
    <m/>
    <m/>
    <m/>
    <n v="420982"/>
    <n v="1.0524549999999999"/>
    <n v="1"/>
    <n v="2"/>
  </r>
  <r>
    <n v="79"/>
    <s v="JEAN CARLOS BLANCO"/>
    <n v="1093783625"/>
    <n v="3223202421"/>
    <x v="7"/>
    <m/>
    <n v="6000000"/>
    <s v="BCOL AHO"/>
    <s v="CREDITO"/>
    <n v="400000"/>
    <n v="1600000"/>
    <n v="800000"/>
    <n v="1200000"/>
    <n v="1200000"/>
    <m/>
    <m/>
    <m/>
    <m/>
    <m/>
    <m/>
    <m/>
    <n v="5200000"/>
    <n v="13"/>
    <n v="5"/>
    <n v="13"/>
  </r>
  <r>
    <n v="80"/>
    <s v="JHOJAS QUINTERO "/>
    <n v="79477468"/>
    <n v="3185861284"/>
    <x v="38"/>
    <m/>
    <n v="4240000"/>
    <s v="BCOL AHO"/>
    <s v="CREDITO"/>
    <n v="400000"/>
    <n v="400000"/>
    <n v="300000"/>
    <n v="0"/>
    <n v="300000"/>
    <m/>
    <m/>
    <m/>
    <m/>
    <m/>
    <m/>
    <m/>
    <n v="1400000"/>
    <n v="3.5"/>
    <n v="4"/>
    <n v="4"/>
  </r>
  <r>
    <n v="81"/>
    <s v="JHON  ROJAS"/>
    <n v="12135690"/>
    <m/>
    <x v="22"/>
    <m/>
    <n v="1300000"/>
    <s v="BCOL AHO 2"/>
    <s v="CREDITO"/>
    <n v="401000"/>
    <n v="0"/>
    <n v="0"/>
    <n v="1000000"/>
    <n v="0"/>
    <m/>
    <m/>
    <m/>
    <m/>
    <m/>
    <m/>
    <m/>
    <n v="1401000"/>
    <n v="3.5024999999999999"/>
    <n v="2"/>
    <n v="4"/>
  </r>
  <r>
    <n v="82"/>
    <s v="JOEL  ARIAS "/>
    <m/>
    <m/>
    <x v="0"/>
    <m/>
    <n v="420000"/>
    <s v="BCOL AHO"/>
    <s v="CREDITO"/>
    <n v="0"/>
    <n v="0"/>
    <n v="0"/>
    <n v="0"/>
    <n v="0"/>
    <m/>
    <m/>
    <m/>
    <m/>
    <m/>
    <m/>
    <m/>
    <n v="0"/>
    <n v="0"/>
    <n v="0"/>
    <n v="0"/>
  </r>
  <r>
    <n v="83"/>
    <s v="JOHAN GOMEZ ZAPATA"/>
    <n v="1128400756"/>
    <n v="3043640493"/>
    <x v="0"/>
    <m/>
    <n v="2000000"/>
    <s v="BCOL AHO"/>
    <s v="CREDITO"/>
    <n v="0"/>
    <n v="0"/>
    <n v="0"/>
    <n v="400000"/>
    <n v="0"/>
    <m/>
    <m/>
    <m/>
    <m/>
    <m/>
    <m/>
    <m/>
    <n v="400000"/>
    <n v="1"/>
    <n v="1"/>
    <n v="1"/>
  </r>
  <r>
    <n v="84"/>
    <s v="JOHANA SANTIESTEBAN"/>
    <m/>
    <m/>
    <x v="1"/>
    <m/>
    <n v="4000000"/>
    <m/>
    <s v="CREDITO"/>
    <n v="0"/>
    <n v="0"/>
    <n v="0"/>
    <n v="0"/>
    <n v="0"/>
    <m/>
    <m/>
    <m/>
    <m/>
    <m/>
    <m/>
    <m/>
    <n v="0"/>
    <n v="0"/>
    <n v="0"/>
    <n v="0"/>
  </r>
  <r>
    <n v="85"/>
    <s v="JORGE GOMEZ"/>
    <n v="13838106"/>
    <n v="3158359949"/>
    <x v="14"/>
    <n v="2"/>
    <n v="4300000"/>
    <s v="No Registra"/>
    <s v="CREDITO"/>
    <n v="0"/>
    <n v="0"/>
    <n v="0"/>
    <n v="0"/>
    <n v="0"/>
    <m/>
    <m/>
    <m/>
    <m/>
    <m/>
    <m/>
    <m/>
    <n v="0"/>
    <n v="0"/>
    <n v="0"/>
    <n v="0"/>
  </r>
  <r>
    <n v="86"/>
    <s v="JORGE LUIS BARRIOS"/>
    <n v="91249777"/>
    <m/>
    <x v="1"/>
    <m/>
    <n v="3600000"/>
    <s v="BCOL AHO"/>
    <s v="CREDITO"/>
    <n v="0"/>
    <n v="0"/>
    <n v="0"/>
    <n v="0"/>
    <n v="0"/>
    <m/>
    <m/>
    <m/>
    <m/>
    <m/>
    <m/>
    <m/>
    <n v="0"/>
    <n v="0"/>
    <n v="0"/>
    <n v="0"/>
  </r>
  <r>
    <n v="87"/>
    <s v="JORGE RODRIGUEZ"/>
    <m/>
    <m/>
    <x v="1"/>
    <m/>
    <n v="400000"/>
    <s v="BCOL AHO"/>
    <s v="CREDITO"/>
    <n v="0"/>
    <n v="0"/>
    <n v="0"/>
    <n v="0"/>
    <n v="0"/>
    <m/>
    <m/>
    <m/>
    <m/>
    <m/>
    <m/>
    <m/>
    <n v="0"/>
    <n v="0"/>
    <n v="0"/>
    <n v="0"/>
  </r>
  <r>
    <n v="88"/>
    <s v="JOSE ELBERT GARZON"/>
    <m/>
    <m/>
    <x v="1"/>
    <m/>
    <n v="860000"/>
    <s v="BCOL AHO"/>
    <s v="CREDITO"/>
    <n v="0"/>
    <n v="0"/>
    <n v="0"/>
    <n v="0"/>
    <n v="0"/>
    <m/>
    <m/>
    <m/>
    <m/>
    <m/>
    <m/>
    <m/>
    <n v="0"/>
    <n v="0"/>
    <n v="0"/>
    <n v="0"/>
  </r>
  <r>
    <n v="89"/>
    <s v="JOSE ENRIQUE ARIAS PEREZ"/>
    <n v="15374739"/>
    <m/>
    <x v="0"/>
    <m/>
    <n v="4140000"/>
    <s v="BCOL AHO 2"/>
    <s v="CREDITO"/>
    <n v="0"/>
    <n v="0"/>
    <n v="800000"/>
    <n v="400000"/>
    <n v="0"/>
    <m/>
    <m/>
    <m/>
    <m/>
    <m/>
    <m/>
    <m/>
    <n v="1200000"/>
    <n v="3"/>
    <n v="2"/>
    <n v="3"/>
  </r>
  <r>
    <n v="90"/>
    <s v="JOSE GONZALEZ"/>
    <m/>
    <m/>
    <x v="1"/>
    <n v="1"/>
    <n v="400000"/>
    <s v="BCOL AHO"/>
    <s v="CREDITO"/>
    <n v="0"/>
    <n v="0"/>
    <n v="0"/>
    <n v="0"/>
    <n v="0"/>
    <m/>
    <m/>
    <m/>
    <m/>
    <m/>
    <m/>
    <m/>
    <n v="0"/>
    <n v="0"/>
    <n v="0"/>
    <n v="0"/>
  </r>
  <r>
    <n v="91"/>
    <s v="JUAN  VALENCIA"/>
    <m/>
    <m/>
    <x v="1"/>
    <m/>
    <n v="1600000"/>
    <s v="BCOL AHO 2"/>
    <s v="CREDITO"/>
    <n v="0"/>
    <n v="0"/>
    <n v="0"/>
    <n v="0"/>
    <n v="0"/>
    <m/>
    <m/>
    <m/>
    <m/>
    <m/>
    <m/>
    <m/>
    <n v="0"/>
    <n v="0"/>
    <n v="0"/>
    <n v="0"/>
  </r>
  <r>
    <n v="92"/>
    <s v="JUAN C. MORENO"/>
    <n v="1077426534"/>
    <n v="3113654554"/>
    <x v="4"/>
    <n v="1"/>
    <n v="1600000"/>
    <s v="BCOL AHO"/>
    <s v="CREDITO"/>
    <n v="0"/>
    <n v="0"/>
    <n v="0"/>
    <n v="800000"/>
    <n v="0"/>
    <m/>
    <m/>
    <m/>
    <m/>
    <m/>
    <m/>
    <m/>
    <n v="800000"/>
    <n v="2"/>
    <n v="1"/>
    <n v="2"/>
  </r>
  <r>
    <n v="93"/>
    <s v="JUAN GUILLERMO  MUÑOZ GIRARDOTA"/>
    <n v="70326161"/>
    <n v="3017435330"/>
    <x v="3"/>
    <m/>
    <n v="1200000"/>
    <s v="BCOL AHO"/>
    <s v="CREDITO"/>
    <n v="400000"/>
    <n v="400000"/>
    <n v="400000"/>
    <n v="400000"/>
    <n v="400000"/>
    <m/>
    <m/>
    <m/>
    <m/>
    <m/>
    <m/>
    <m/>
    <n v="2000000"/>
    <n v="5"/>
    <n v="5"/>
    <n v="5"/>
  </r>
  <r>
    <n v="94"/>
    <s v="JUAN MINA"/>
    <m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95"/>
    <s v="JUAN PABLO OLIVELLA"/>
    <n v="77037962"/>
    <n v="3108469718"/>
    <x v="31"/>
    <m/>
    <n v="8000000"/>
    <s v="BCOL AHO"/>
    <s v="CREDITO"/>
    <n v="2400000"/>
    <n v="2400000"/>
    <n v="0"/>
    <n v="0"/>
    <n v="2400000"/>
    <m/>
    <m/>
    <m/>
    <m/>
    <m/>
    <m/>
    <m/>
    <n v="7200000"/>
    <n v="18"/>
    <n v="3"/>
    <n v="18"/>
  </r>
  <r>
    <n v="96"/>
    <s v="JUAN PABLO OLIVELLA (HNO. DONG)"/>
    <m/>
    <m/>
    <x v="1"/>
    <m/>
    <n v="10000000"/>
    <s v="BCOL AHO"/>
    <s v="CREDITO"/>
    <n v="0"/>
    <n v="0"/>
    <n v="0"/>
    <n v="0"/>
    <n v="0"/>
    <m/>
    <m/>
    <m/>
    <m/>
    <m/>
    <m/>
    <m/>
    <n v="0"/>
    <n v="0"/>
    <n v="0"/>
    <n v="0"/>
  </r>
  <r>
    <n v="97"/>
    <s v="JUAN SEBASTIAN  MONTES PINZON"/>
    <m/>
    <m/>
    <x v="1"/>
    <m/>
    <n v="800000"/>
    <s v="BCOL AHO"/>
    <s v="CREDITO"/>
    <n v="0"/>
    <n v="0"/>
    <n v="0"/>
    <n v="0"/>
    <n v="0"/>
    <m/>
    <m/>
    <m/>
    <m/>
    <m/>
    <m/>
    <m/>
    <n v="0"/>
    <n v="0"/>
    <n v="0"/>
    <n v="0"/>
  </r>
  <r>
    <n v="98"/>
    <s v="JULIAN  CADAVID"/>
    <m/>
    <m/>
    <x v="1"/>
    <n v="3"/>
    <n v="0"/>
    <s v="No Registra"/>
    <s v="CREDITO"/>
    <n v="0"/>
    <n v="0"/>
    <n v="0"/>
    <n v="0"/>
    <n v="0"/>
    <m/>
    <m/>
    <m/>
    <m/>
    <m/>
    <m/>
    <m/>
    <n v="0"/>
    <n v="0"/>
    <n v="0"/>
    <n v="0"/>
  </r>
  <r>
    <n v="99"/>
    <s v="JULIAN FRANCO IG. B/MANGA"/>
    <m/>
    <m/>
    <x v="14"/>
    <m/>
    <n v="800000"/>
    <s v="BCOL AHO"/>
    <s v="CREDITO"/>
    <n v="0"/>
    <n v="0"/>
    <n v="0"/>
    <n v="0"/>
    <n v="0"/>
    <m/>
    <m/>
    <m/>
    <m/>
    <m/>
    <m/>
    <m/>
    <n v="0"/>
    <n v="0"/>
    <n v="0"/>
    <n v="0"/>
  </r>
  <r>
    <n v="100"/>
    <s v="JULIO LONDOÑO"/>
    <n v="1077424658"/>
    <n v="3216464514"/>
    <x v="4"/>
    <m/>
    <n v="4000000"/>
    <s v="BCOL AHO 2"/>
    <s v="CREDITO"/>
    <n v="0"/>
    <n v="1200000"/>
    <n v="0"/>
    <n v="0"/>
    <n v="0"/>
    <m/>
    <m/>
    <m/>
    <m/>
    <m/>
    <m/>
    <m/>
    <n v="1200000"/>
    <n v="3"/>
    <n v="1"/>
    <n v="3"/>
  </r>
  <r>
    <n v="101"/>
    <s v="JULIO SANCHEZ"/>
    <m/>
    <m/>
    <x v="2"/>
    <n v="2"/>
    <n v="12800000"/>
    <s v="TRANSF."/>
    <s v="CREDITO"/>
    <n v="800000"/>
    <n v="800000"/>
    <n v="800000"/>
    <n v="800000"/>
    <n v="800000"/>
    <m/>
    <m/>
    <m/>
    <m/>
    <m/>
    <m/>
    <m/>
    <n v="4000000"/>
    <n v="10"/>
    <n v="5"/>
    <n v="10"/>
  </r>
  <r>
    <n v="102"/>
    <s v="LAURA LIZARASO"/>
    <m/>
    <m/>
    <x v="2"/>
    <m/>
    <n v="200000"/>
    <m/>
    <s v="CREDITO"/>
    <n v="0"/>
    <n v="0"/>
    <n v="0"/>
    <n v="0"/>
    <n v="0"/>
    <m/>
    <m/>
    <m/>
    <m/>
    <m/>
    <m/>
    <m/>
    <n v="0"/>
    <n v="0"/>
    <n v="0"/>
    <n v="0"/>
  </r>
  <r>
    <n v="103"/>
    <s v="LAUREANO HERNANDEZ"/>
    <m/>
    <m/>
    <x v="2"/>
    <m/>
    <n v="200000"/>
    <s v="EFECTIVO"/>
    <s v="CREDITO"/>
    <n v="0"/>
    <n v="0"/>
    <n v="0"/>
    <n v="0"/>
    <n v="0"/>
    <m/>
    <m/>
    <m/>
    <m/>
    <m/>
    <m/>
    <m/>
    <n v="0"/>
    <n v="0"/>
    <n v="0"/>
    <n v="0"/>
  </r>
  <r>
    <n v="104"/>
    <s v="LILIANA RIVAS"/>
    <m/>
    <m/>
    <x v="2"/>
    <n v="2"/>
    <n v="2800000"/>
    <s v="BCOL AHO"/>
    <s v="CREDITO"/>
    <n v="0"/>
    <n v="0"/>
    <n v="0"/>
    <n v="0"/>
    <n v="0"/>
    <m/>
    <m/>
    <m/>
    <m/>
    <m/>
    <m/>
    <m/>
    <n v="0"/>
    <n v="0"/>
    <n v="0"/>
    <n v="0"/>
  </r>
  <r>
    <n v="105"/>
    <s v="LIZETH RODRIGUEZ"/>
    <m/>
    <m/>
    <x v="0"/>
    <m/>
    <n v="500000"/>
    <s v="BCOL AHO"/>
    <s v="CREDITO"/>
    <n v="0"/>
    <n v="0"/>
    <n v="0"/>
    <n v="0"/>
    <n v="0"/>
    <m/>
    <m/>
    <m/>
    <m/>
    <m/>
    <m/>
    <m/>
    <n v="0"/>
    <n v="0"/>
    <n v="0"/>
    <n v="0"/>
  </r>
  <r>
    <n v="106"/>
    <s v="LORLEIVIS ARRIAGA"/>
    <n v="35601610"/>
    <n v="3207593131"/>
    <x v="4"/>
    <m/>
    <n v="800000"/>
    <m/>
    <s v="CREDITO"/>
    <n v="0"/>
    <n v="0"/>
    <n v="0"/>
    <n v="800000"/>
    <n v="0"/>
    <m/>
    <m/>
    <m/>
    <m/>
    <m/>
    <m/>
    <m/>
    <n v="800000"/>
    <n v="2"/>
    <n v="1"/>
    <n v="2"/>
  </r>
  <r>
    <n v="107"/>
    <s v="LUDY ROJAS SANTIESTEBAN"/>
    <n v="1032464597"/>
    <s v="Juliocr457@gmail.com"/>
    <x v="39"/>
    <m/>
    <n v="12000000"/>
    <s v="BCOL AHO"/>
    <s v="CREDITO"/>
    <n v="2000000"/>
    <n v="2000000"/>
    <n v="2000000"/>
    <n v="2000000"/>
    <n v="2000000"/>
    <m/>
    <m/>
    <m/>
    <m/>
    <m/>
    <m/>
    <m/>
    <n v="10000000"/>
    <n v="25"/>
    <n v="5"/>
    <n v="25"/>
  </r>
  <r>
    <n v="108"/>
    <s v="LUIS A.  ACOSTA"/>
    <m/>
    <m/>
    <x v="1"/>
    <m/>
    <n v="4800000"/>
    <s v="BCOL AHO 2"/>
    <s v="CREDITO"/>
    <n v="0"/>
    <n v="0"/>
    <n v="0"/>
    <n v="0"/>
    <n v="0"/>
    <m/>
    <m/>
    <m/>
    <m/>
    <m/>
    <m/>
    <m/>
    <n v="0"/>
    <n v="0"/>
    <n v="0"/>
    <n v="0"/>
  </r>
  <r>
    <n v="109"/>
    <s v="LUIS BERNARDO LLANO"/>
    <n v="70067417"/>
    <s v="314 892 7775"/>
    <x v="0"/>
    <m/>
    <n v="2400000"/>
    <s v="BCOL AHO"/>
    <s v="CREDITO"/>
    <n v="400000"/>
    <n v="0"/>
    <n v="800000"/>
    <n v="0"/>
    <n v="400000"/>
    <m/>
    <m/>
    <m/>
    <m/>
    <m/>
    <m/>
    <m/>
    <n v="1600000"/>
    <n v="4"/>
    <n v="3"/>
    <n v="4"/>
  </r>
  <r>
    <n v="110"/>
    <s v="LUIS HERNANDO BAUTISTA"/>
    <n v="13837081"/>
    <n v="3208026783"/>
    <x v="8"/>
    <m/>
    <n v="2390000"/>
    <s v="BCOL AHO"/>
    <s v="CREDITO"/>
    <n v="1192000"/>
    <n v="1205000"/>
    <n v="400000"/>
    <n v="400000"/>
    <n v="0"/>
    <m/>
    <m/>
    <m/>
    <m/>
    <m/>
    <m/>
    <m/>
    <n v="3197000"/>
    <n v="7.9924999999999997"/>
    <n v="4"/>
    <n v="8"/>
  </r>
  <r>
    <n v="111"/>
    <s v="MARIA FERNANDA NIETO"/>
    <m/>
    <m/>
    <x v="2"/>
    <m/>
    <n v="3700000"/>
    <s v="EFECTIVO-BCOL AHO"/>
    <s v="CREDITO"/>
    <n v="400000"/>
    <n v="0"/>
    <n v="400000"/>
    <n v="400000"/>
    <n v="0"/>
    <m/>
    <m/>
    <m/>
    <m/>
    <m/>
    <m/>
    <m/>
    <n v="1200000"/>
    <n v="3"/>
    <n v="3"/>
    <n v="3"/>
  </r>
  <r>
    <n v="112"/>
    <s v="MARIA FERNANDA VARGAS MUEGUES"/>
    <m/>
    <m/>
    <x v="1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113"/>
    <s v="MARIANA ESTER BALLESTAS"/>
    <n v="1065587738"/>
    <n v="3127912471"/>
    <x v="12"/>
    <m/>
    <n v="1800000"/>
    <s v="BCOL AHO"/>
    <s v="CREDITO"/>
    <n v="0"/>
    <n v="0"/>
    <n v="0"/>
    <n v="0"/>
    <n v="0"/>
    <m/>
    <m/>
    <m/>
    <m/>
    <m/>
    <m/>
    <m/>
    <n v="0"/>
    <n v="0"/>
    <n v="0"/>
    <n v="0"/>
  </r>
  <r>
    <n v="114"/>
    <s v="MARIO RENE SANCHEZ"/>
    <m/>
    <m/>
    <x v="2"/>
    <m/>
    <n v="100000"/>
    <s v="EFECTIVO"/>
    <s v="CREDITO"/>
    <n v="0"/>
    <n v="0"/>
    <n v="0"/>
    <n v="0"/>
    <n v="0"/>
    <m/>
    <m/>
    <m/>
    <m/>
    <m/>
    <m/>
    <m/>
    <n v="0"/>
    <n v="0"/>
    <n v="0"/>
    <n v="0"/>
  </r>
  <r>
    <n v="115"/>
    <s v="MARQUEZA PAJARO"/>
    <m/>
    <m/>
    <x v="2"/>
    <m/>
    <n v="400000"/>
    <s v="EFECTIVO"/>
    <s v="CREDITO"/>
    <n v="0"/>
    <n v="0"/>
    <n v="0"/>
    <n v="0"/>
    <n v="0"/>
    <m/>
    <m/>
    <m/>
    <m/>
    <m/>
    <m/>
    <m/>
    <n v="0"/>
    <n v="0"/>
    <n v="0"/>
    <n v="0"/>
  </r>
  <r>
    <n v="116"/>
    <s v="MARTHA  MARULANDA"/>
    <n v="38230483"/>
    <n v="3104869126"/>
    <x v="40"/>
    <m/>
    <n v="4000000"/>
    <s v="BCOL AHO 2"/>
    <s v="CREDITO"/>
    <n v="400000"/>
    <n v="400000"/>
    <n v="400000"/>
    <n v="400000"/>
    <n v="400000"/>
    <m/>
    <m/>
    <m/>
    <m/>
    <m/>
    <m/>
    <m/>
    <n v="2000000"/>
    <n v="5"/>
    <n v="5"/>
    <n v="5"/>
  </r>
  <r>
    <n v="117"/>
    <s v="MAXIMILIANO PINZON"/>
    <m/>
    <m/>
    <x v="2"/>
    <n v="1"/>
    <n v="10670000"/>
    <s v="EFECTIVO"/>
    <s v="CREDITO"/>
    <n v="800000"/>
    <n v="1200000"/>
    <n v="800000"/>
    <n v="1200000"/>
    <n v="0"/>
    <m/>
    <m/>
    <m/>
    <m/>
    <m/>
    <m/>
    <m/>
    <n v="4000000"/>
    <n v="10"/>
    <n v="4"/>
    <n v="10"/>
  </r>
  <r>
    <n v="118"/>
    <s v="MERY CAMPO CABALLERO"/>
    <n v="22579381"/>
    <m/>
    <x v="41"/>
    <m/>
    <n v="1200000"/>
    <s v="BCOL AHO"/>
    <s v="CREDITO"/>
    <n v="400000"/>
    <n v="0"/>
    <n v="400000"/>
    <n v="0"/>
    <n v="0"/>
    <m/>
    <m/>
    <m/>
    <m/>
    <m/>
    <m/>
    <m/>
    <n v="800000"/>
    <n v="2"/>
    <n v="2"/>
    <n v="2"/>
  </r>
  <r>
    <n v="119"/>
    <s v="MILDRED DOMINGUEZ MUÑOZ"/>
    <n v="32936225"/>
    <n v="3215254487"/>
    <x v="1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120"/>
    <s v="MIRIAM CORTES"/>
    <m/>
    <m/>
    <x v="1"/>
    <m/>
    <n v="200000"/>
    <m/>
    <s v="CREDITO"/>
    <n v="0"/>
    <n v="0"/>
    <n v="0"/>
    <n v="0"/>
    <n v="0"/>
    <m/>
    <m/>
    <m/>
    <m/>
    <m/>
    <m/>
    <m/>
    <n v="0"/>
    <n v="0"/>
    <n v="0"/>
    <n v="0"/>
  </r>
  <r>
    <n v="121"/>
    <s v="NIDIA CORTES"/>
    <m/>
    <m/>
    <x v="1"/>
    <m/>
    <n v="850000"/>
    <s v="BCOL AHO"/>
    <s v="CREDITO"/>
    <n v="0"/>
    <n v="0"/>
    <n v="0"/>
    <n v="0"/>
    <n v="0"/>
    <m/>
    <m/>
    <m/>
    <m/>
    <m/>
    <m/>
    <m/>
    <n v="0"/>
    <n v="0"/>
    <n v="0"/>
    <n v="0"/>
  </r>
  <r>
    <n v="122"/>
    <s v="ORLANDO  TOVAR"/>
    <n v="11809146"/>
    <n v="3136811706"/>
    <x v="19"/>
    <m/>
    <n v="1600000"/>
    <s v="BCOL AHO 2"/>
    <s v="CREDITO"/>
    <n v="0"/>
    <n v="0"/>
    <n v="0"/>
    <n v="0"/>
    <n v="0"/>
    <m/>
    <m/>
    <m/>
    <m/>
    <m/>
    <m/>
    <m/>
    <n v="0"/>
    <n v="0"/>
    <n v="0"/>
    <n v="0"/>
  </r>
  <r>
    <n v="123"/>
    <s v="PAC LUIS MIGUEL NARANJO"/>
    <m/>
    <m/>
    <x v="1"/>
    <m/>
    <n v="3900000"/>
    <s v="BCOL AHO"/>
    <s v="CREDITO"/>
    <n v="0"/>
    <n v="0"/>
    <n v="0"/>
    <n v="0"/>
    <n v="0"/>
    <m/>
    <m/>
    <m/>
    <m/>
    <m/>
    <m/>
    <m/>
    <n v="0"/>
    <n v="0"/>
    <n v="0"/>
    <n v="0"/>
  </r>
  <r>
    <n v="124"/>
    <s v="PAOLA GUTIERREZ"/>
    <m/>
    <m/>
    <x v="1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125"/>
    <s v="PAULO  DUCHESNE"/>
    <n v="8694441"/>
    <n v="3170295457"/>
    <x v="12"/>
    <n v="1"/>
    <n v="400000"/>
    <s v="No Registra"/>
    <s v="CREDITO"/>
    <n v="400000"/>
    <n v="400000"/>
    <n v="400000"/>
    <n v="0"/>
    <n v="400000"/>
    <m/>
    <m/>
    <m/>
    <m/>
    <m/>
    <m/>
    <m/>
    <n v="1600000"/>
    <n v="4"/>
    <n v="4"/>
    <n v="4"/>
  </r>
  <r>
    <n v="126"/>
    <s v="RAQUEL LIZANDRA NAVAS"/>
    <n v="60380993"/>
    <n v="3213307371"/>
    <x v="7"/>
    <m/>
    <n v="3200000"/>
    <s v="BCOL AHO"/>
    <s v="CREDITO"/>
    <n v="400000"/>
    <n v="0"/>
    <n v="400000"/>
    <n v="400000"/>
    <n v="0"/>
    <m/>
    <m/>
    <m/>
    <m/>
    <m/>
    <m/>
    <m/>
    <n v="1200000"/>
    <n v="3"/>
    <n v="3"/>
    <n v="3"/>
  </r>
  <r>
    <n v="127"/>
    <s v="RAUL "/>
    <m/>
    <m/>
    <x v="1"/>
    <n v="1"/>
    <n v="0"/>
    <s v="No Registra"/>
    <s v="CREDITO"/>
    <n v="0"/>
    <n v="0"/>
    <n v="0"/>
    <n v="0"/>
    <n v="0"/>
    <m/>
    <m/>
    <m/>
    <m/>
    <m/>
    <m/>
    <m/>
    <n v="0"/>
    <n v="0"/>
    <n v="0"/>
    <n v="0"/>
  </r>
  <r>
    <n v="128"/>
    <s v="ROBERTO QUERALES"/>
    <n v="860606"/>
    <m/>
    <x v="2"/>
    <m/>
    <n v="2800000"/>
    <m/>
    <s v="CREDITO"/>
    <n v="400000"/>
    <n v="0"/>
    <n v="900000"/>
    <n v="400000"/>
    <n v="0"/>
    <m/>
    <m/>
    <m/>
    <m/>
    <m/>
    <m/>
    <m/>
    <n v="1700000"/>
    <n v="4.25"/>
    <n v="3"/>
    <n v="5"/>
  </r>
  <r>
    <n v="129"/>
    <s v="RODOLFO PEÑA"/>
    <m/>
    <m/>
    <x v="2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30"/>
    <s v="SEBASTIAN NIETO"/>
    <m/>
    <m/>
    <x v="1"/>
    <m/>
    <n v="100000"/>
    <s v="BCOL AHO"/>
    <s v="CREDITO"/>
    <n v="0"/>
    <n v="0"/>
    <n v="0"/>
    <n v="0"/>
    <n v="0"/>
    <m/>
    <m/>
    <m/>
    <m/>
    <m/>
    <m/>
    <m/>
    <n v="0"/>
    <n v="0"/>
    <n v="0"/>
    <n v="0"/>
  </r>
  <r>
    <n v="131"/>
    <s v="SNEIDER TIRADO"/>
    <m/>
    <m/>
    <x v="2"/>
    <m/>
    <n v="5600000"/>
    <m/>
    <s v="CREDITO"/>
    <n v="0"/>
    <n v="0"/>
    <n v="0"/>
    <n v="0"/>
    <n v="1600000"/>
    <m/>
    <m/>
    <m/>
    <m/>
    <m/>
    <m/>
    <m/>
    <n v="1600000"/>
    <n v="4"/>
    <n v="1"/>
    <n v="4"/>
  </r>
  <r>
    <n v="132"/>
    <s v="STHEPANIE DIDUEÑAS"/>
    <m/>
    <m/>
    <x v="2"/>
    <m/>
    <n v="100000"/>
    <s v="BCOL AHO"/>
    <s v="CREDITO"/>
    <n v="0"/>
    <n v="0"/>
    <n v="0"/>
    <n v="0"/>
    <n v="0"/>
    <m/>
    <m/>
    <m/>
    <m/>
    <m/>
    <m/>
    <m/>
    <n v="0"/>
    <n v="0"/>
    <n v="0"/>
    <n v="0"/>
  </r>
  <r>
    <n v="133"/>
    <s v="UBALDO OCHOA"/>
    <n v="77187578"/>
    <n v="3123048536"/>
    <x v="2"/>
    <n v="2"/>
    <n v="11300000"/>
    <s v="BCOL AHO"/>
    <s v="CREDITO"/>
    <n v="400000"/>
    <n v="400000"/>
    <n v="400000"/>
    <n v="0"/>
    <n v="400000"/>
    <m/>
    <m/>
    <m/>
    <m/>
    <m/>
    <m/>
    <m/>
    <n v="1600000"/>
    <n v="4"/>
    <n v="4"/>
    <n v="4"/>
  </r>
  <r>
    <n v="134"/>
    <s v="VICTOR PEÑA"/>
    <m/>
    <m/>
    <x v="1"/>
    <n v="1"/>
    <n v="0"/>
    <s v="No Registra"/>
    <s v="CREDITO"/>
    <n v="0"/>
    <n v="0"/>
    <n v="0"/>
    <n v="0"/>
    <n v="0"/>
    <m/>
    <m/>
    <m/>
    <m/>
    <m/>
    <m/>
    <m/>
    <n v="0"/>
    <n v="0"/>
    <n v="0"/>
    <n v="0"/>
  </r>
  <r>
    <n v="135"/>
    <s v="VICTORIA EUGENIA BRAVO"/>
    <n v="41679611"/>
    <s v="316 4748 056"/>
    <x v="17"/>
    <m/>
    <n v="4000000"/>
    <s v="BCOL AHO"/>
    <s v="CREDITO"/>
    <n v="800000"/>
    <n v="800000"/>
    <n v="800000"/>
    <n v="800000"/>
    <n v="800000"/>
    <m/>
    <m/>
    <m/>
    <m/>
    <m/>
    <m/>
    <m/>
    <n v="4000000"/>
    <n v="10"/>
    <n v="5"/>
    <n v="10"/>
  </r>
  <r>
    <n v="136"/>
    <s v="VIVIANA ORTIZ GONZALEZ"/>
    <m/>
    <m/>
    <x v="1"/>
    <m/>
    <n v="3000000"/>
    <s v="BCOL AHO"/>
    <s v="CREDITO"/>
    <n v="0"/>
    <n v="0"/>
    <n v="0"/>
    <n v="0"/>
    <n v="0"/>
    <m/>
    <m/>
    <m/>
    <m/>
    <m/>
    <m/>
    <m/>
    <n v="0"/>
    <n v="0"/>
    <n v="0"/>
    <n v="0"/>
  </r>
  <r>
    <n v="137"/>
    <s v="WENDYS TEHERAN RIVERA"/>
    <m/>
    <m/>
    <x v="1"/>
    <m/>
    <n v="260000"/>
    <m/>
    <s v="CREDITO"/>
    <n v="0"/>
    <n v="0"/>
    <n v="0"/>
    <n v="0"/>
    <n v="0"/>
    <m/>
    <m/>
    <m/>
    <m/>
    <m/>
    <m/>
    <m/>
    <n v="0"/>
    <n v="0"/>
    <n v="0"/>
    <n v="0"/>
  </r>
  <r>
    <n v="138"/>
    <s v="WILLIAM ROJAS GIRALDO"/>
    <m/>
    <m/>
    <x v="2"/>
    <m/>
    <n v="3600000"/>
    <s v="BCOL AHO"/>
    <s v="CREDITO"/>
    <n v="400000"/>
    <n v="400000"/>
    <n v="400000"/>
    <n v="0"/>
    <n v="400000"/>
    <m/>
    <m/>
    <m/>
    <m/>
    <m/>
    <m/>
    <m/>
    <n v="1600000"/>
    <n v="4"/>
    <n v="4"/>
    <n v="4"/>
  </r>
  <r>
    <n v="139"/>
    <s v="YAMID CASTAÑO"/>
    <n v="4517739"/>
    <m/>
    <x v="23"/>
    <m/>
    <n v="1400000"/>
    <m/>
    <s v="CREDITO"/>
    <n v="0"/>
    <n v="0"/>
    <n v="0"/>
    <n v="0"/>
    <n v="0"/>
    <m/>
    <m/>
    <m/>
    <m/>
    <m/>
    <m/>
    <m/>
    <n v="0"/>
    <n v="0"/>
    <n v="0"/>
    <n v="0"/>
  </r>
  <r>
    <n v="140"/>
    <s v="YENNI ANDREA ISAZA ARIAS "/>
    <m/>
    <m/>
    <x v="1"/>
    <m/>
    <n v="400000"/>
    <s v="BCOL AHO"/>
    <s v="CREDITO"/>
    <n v="0"/>
    <n v="0"/>
    <n v="0"/>
    <n v="0"/>
    <n v="0"/>
    <m/>
    <m/>
    <m/>
    <m/>
    <m/>
    <m/>
    <m/>
    <n v="0"/>
    <n v="0"/>
    <n v="0"/>
    <n v="0"/>
  </r>
  <r>
    <n v="141"/>
    <s v="YENNI LONDOÑO CHAVERRA"/>
    <m/>
    <m/>
    <x v="1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142"/>
    <s v="YESENIA RODRIGUEZ BAYUNCA"/>
    <m/>
    <m/>
    <x v="42"/>
    <m/>
    <n v="500000"/>
    <m/>
    <s v="CREDITO"/>
    <n v="0"/>
    <n v="0"/>
    <n v="0"/>
    <n v="0"/>
    <n v="0"/>
    <m/>
    <m/>
    <m/>
    <m/>
    <m/>
    <m/>
    <m/>
    <n v="0"/>
    <n v="0"/>
    <n v="0"/>
    <n v="0"/>
  </r>
  <r>
    <n v="143"/>
    <s v="ZEIDI PANNESO"/>
    <m/>
    <m/>
    <x v="1"/>
    <n v="1"/>
    <n v="400000"/>
    <s v="BCOL AHO 2"/>
    <s v="CREDITO"/>
    <n v="0"/>
    <n v="0"/>
    <n v="0"/>
    <n v="0"/>
    <n v="0"/>
    <m/>
    <m/>
    <m/>
    <m/>
    <m/>
    <m/>
    <m/>
    <n v="0"/>
    <n v="0"/>
    <n v="0"/>
    <n v="0"/>
  </r>
  <r>
    <n v="144"/>
    <s v="HERIBERTO ALBORNOZ"/>
    <m/>
    <m/>
    <x v="2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45"/>
    <s v="ROGELIO ANDRES ZULUAGA"/>
    <n v="1067849185"/>
    <n v="3043721442"/>
    <x v="0"/>
    <m/>
    <n v="1600000"/>
    <m/>
    <s v="CREDITO"/>
    <n v="400000"/>
    <n v="0"/>
    <n v="400000"/>
    <n v="0"/>
    <n v="0"/>
    <m/>
    <m/>
    <m/>
    <m/>
    <m/>
    <m/>
    <m/>
    <n v="800000"/>
    <n v="2"/>
    <n v="2"/>
    <n v="2"/>
  </r>
  <r>
    <n v="146"/>
    <s v="ALEJANDRA LEAL"/>
    <m/>
    <m/>
    <x v="1"/>
    <m/>
    <n v="3200000"/>
    <m/>
    <s v="CREDITO"/>
    <n v="0"/>
    <n v="0"/>
    <n v="0"/>
    <n v="0"/>
    <n v="0"/>
    <m/>
    <m/>
    <m/>
    <m/>
    <m/>
    <m/>
    <m/>
    <n v="0"/>
    <n v="0"/>
    <n v="0"/>
    <n v="0"/>
  </r>
  <r>
    <n v="147"/>
    <s v="URIEL CRUZ"/>
    <m/>
    <m/>
    <x v="1"/>
    <m/>
    <n v="3200000"/>
    <m/>
    <s v="CREDITO"/>
    <n v="0"/>
    <n v="0"/>
    <n v="0"/>
    <n v="0"/>
    <n v="0"/>
    <m/>
    <m/>
    <m/>
    <m/>
    <m/>
    <m/>
    <m/>
    <n v="0"/>
    <n v="0"/>
    <n v="0"/>
    <n v="0"/>
  </r>
  <r>
    <n v="148"/>
    <s v="BLANCA SARMIENTO"/>
    <m/>
    <m/>
    <x v="1"/>
    <m/>
    <n v="200000"/>
    <m/>
    <s v="CREDITO"/>
    <n v="0"/>
    <n v="0"/>
    <n v="0"/>
    <n v="0"/>
    <n v="0"/>
    <m/>
    <m/>
    <m/>
    <m/>
    <m/>
    <m/>
    <m/>
    <n v="0"/>
    <n v="0"/>
    <n v="0"/>
    <n v="0"/>
  </r>
  <r>
    <n v="149"/>
    <s v="MARIA ESPERANZA RODRIGUEZ"/>
    <m/>
    <m/>
    <x v="1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150"/>
    <s v="CONIE CIRO CAMPO"/>
    <n v="1044429200"/>
    <n v="3008202508"/>
    <x v="41"/>
    <m/>
    <n v="2490000"/>
    <m/>
    <s v="CREDITO"/>
    <n v="100000"/>
    <n v="200000"/>
    <n v="0"/>
    <n v="200000"/>
    <n v="0"/>
    <m/>
    <m/>
    <m/>
    <m/>
    <m/>
    <m/>
    <m/>
    <n v="500000"/>
    <n v="1.25"/>
    <n v="3"/>
    <n v="2"/>
  </r>
  <r>
    <n v="151"/>
    <s v="KEINI LORENA CAMPO"/>
    <n v="1067594389"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52"/>
    <s v="JAMES SANCHEZ HURTADO"/>
    <n v="11705775"/>
    <n v="3127559027"/>
    <x v="19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53"/>
    <s v="YEISON ROJAS CORDOBA"/>
    <n v="1077437902"/>
    <n v="3127867720"/>
    <x v="4"/>
    <m/>
    <n v="1600000"/>
    <m/>
    <s v="CREDITO"/>
    <n v="0"/>
    <n v="0"/>
    <n v="0"/>
    <n v="800000"/>
    <n v="0"/>
    <m/>
    <m/>
    <m/>
    <m/>
    <m/>
    <m/>
    <m/>
    <n v="800000"/>
    <n v="2"/>
    <n v="1"/>
    <n v="2"/>
  </r>
  <r>
    <n v="154"/>
    <s v="ANGEL DAVID MURILLO CUESTA"/>
    <n v="1003932453"/>
    <n v="3226546627"/>
    <x v="4"/>
    <m/>
    <n v="1600000"/>
    <m/>
    <s v="CREDITO"/>
    <n v="0"/>
    <n v="0"/>
    <n v="0"/>
    <n v="0"/>
    <n v="0"/>
    <m/>
    <m/>
    <m/>
    <m/>
    <m/>
    <m/>
    <m/>
    <n v="0"/>
    <n v="0"/>
    <n v="0"/>
    <n v="0"/>
  </r>
  <r>
    <n v="155"/>
    <s v="CLAUDIA PERDOMO"/>
    <m/>
    <n v="3214118979"/>
    <x v="2"/>
    <m/>
    <n v="840000"/>
    <m/>
    <s v="CREDITO"/>
    <n v="140000"/>
    <n v="140000"/>
    <n v="140000"/>
    <n v="120000"/>
    <n v="160000"/>
    <m/>
    <m/>
    <m/>
    <m/>
    <m/>
    <m/>
    <m/>
    <n v="700000"/>
    <n v="1.75"/>
    <n v="5"/>
    <n v="2"/>
  </r>
  <r>
    <n v="156"/>
    <s v="ENRIQUE GARZON"/>
    <m/>
    <m/>
    <x v="1"/>
    <m/>
    <n v="460000"/>
    <m/>
    <s v="CREDITO"/>
    <n v="0"/>
    <n v="0"/>
    <n v="0"/>
    <n v="0"/>
    <n v="0"/>
    <m/>
    <m/>
    <m/>
    <m/>
    <m/>
    <m/>
    <m/>
    <n v="0"/>
    <n v="0"/>
    <n v="0"/>
    <n v="0"/>
  </r>
  <r>
    <n v="157"/>
    <s v="DERLY MONTAÑEZ"/>
    <n v="60267661"/>
    <m/>
    <x v="8"/>
    <m/>
    <n v="250000"/>
    <m/>
    <s v="CREDITO"/>
    <n v="0"/>
    <n v="0"/>
    <n v="0"/>
    <n v="0"/>
    <n v="0"/>
    <m/>
    <m/>
    <m/>
    <m/>
    <m/>
    <m/>
    <m/>
    <n v="0"/>
    <n v="0"/>
    <n v="0"/>
    <n v="0"/>
  </r>
  <r>
    <n v="158"/>
    <s v="ESMERALDA BELISA RAMIREZ"/>
    <n v="39105075"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59"/>
    <s v="ONNY SORET COSIO"/>
    <n v="11785866"/>
    <n v="3106178104"/>
    <x v="4"/>
    <m/>
    <n v="2400000"/>
    <m/>
    <s v="CREDITO"/>
    <n v="400000"/>
    <n v="400000"/>
    <n v="400000"/>
    <n v="2400000"/>
    <n v="0"/>
    <m/>
    <m/>
    <m/>
    <m/>
    <m/>
    <m/>
    <m/>
    <n v="3600000"/>
    <n v="9"/>
    <n v="4"/>
    <n v="9"/>
  </r>
  <r>
    <n v="160"/>
    <s v="LIDIA GONZALEZ PAJARO"/>
    <n v="45591667"/>
    <n v="3002275338"/>
    <x v="10"/>
    <m/>
    <n v="400000"/>
    <m/>
    <s v="CREDITO"/>
    <n v="0"/>
    <n v="0"/>
    <n v="400000"/>
    <n v="0"/>
    <n v="400000"/>
    <m/>
    <m/>
    <m/>
    <m/>
    <m/>
    <m/>
    <m/>
    <n v="800000"/>
    <n v="2"/>
    <n v="2"/>
    <n v="2"/>
  </r>
  <r>
    <n v="161"/>
    <s v="SANTIAGO BOTERO"/>
    <m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62"/>
    <s v="JHON JAIRO PEREZ"/>
    <n v="88311237"/>
    <n v="3157844390"/>
    <x v="7"/>
    <m/>
    <n v="900000"/>
    <m/>
    <s v="CREDITO"/>
    <n v="400000"/>
    <n v="400000"/>
    <n v="0"/>
    <n v="400000"/>
    <n v="400000"/>
    <m/>
    <m/>
    <m/>
    <m/>
    <m/>
    <m/>
    <m/>
    <n v="1600000"/>
    <n v="4"/>
    <n v="4"/>
    <n v="4"/>
  </r>
  <r>
    <n v="163"/>
    <s v="JOHANA RODRIGUEZ MENDEZ"/>
    <n v="109042290"/>
    <m/>
    <x v="1"/>
    <m/>
    <n v="100000"/>
    <m/>
    <s v="CREDITO"/>
    <n v="0"/>
    <n v="0"/>
    <n v="0"/>
    <n v="0"/>
    <n v="0"/>
    <m/>
    <m/>
    <m/>
    <m/>
    <m/>
    <m/>
    <m/>
    <n v="0"/>
    <n v="0"/>
    <n v="0"/>
    <n v="0"/>
  </r>
  <r>
    <n v="164"/>
    <s v="NEYLA RODRIGUEZ MENDEZ "/>
    <n v="10937503"/>
    <m/>
    <x v="1"/>
    <m/>
    <n v="100000"/>
    <m/>
    <s v="CREDITO"/>
    <n v="0"/>
    <n v="0"/>
    <n v="0"/>
    <n v="0"/>
    <n v="0"/>
    <m/>
    <m/>
    <m/>
    <m/>
    <m/>
    <m/>
    <m/>
    <n v="0"/>
    <n v="0"/>
    <n v="0"/>
    <n v="0"/>
  </r>
  <r>
    <n v="165"/>
    <s v="ALEXANDRA RODRIGUEZ MENDEZ"/>
    <n v="60442867"/>
    <m/>
    <x v="1"/>
    <m/>
    <n v="900000"/>
    <m/>
    <s v="CREDITO"/>
    <n v="0"/>
    <n v="0"/>
    <n v="0"/>
    <n v="0"/>
    <n v="0"/>
    <m/>
    <m/>
    <m/>
    <m/>
    <m/>
    <m/>
    <m/>
    <n v="0"/>
    <n v="0"/>
    <n v="0"/>
    <n v="0"/>
  </r>
  <r>
    <n v="166"/>
    <s v="LUIS CARLOS AVELLANEDA ROA"/>
    <n v="1090397309"/>
    <m/>
    <x v="7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167"/>
    <s v="IG. EN VIOTA"/>
    <m/>
    <m/>
    <x v="43"/>
    <m/>
    <n v="950000"/>
    <m/>
    <s v="CREDITO"/>
    <n v="0"/>
    <n v="0"/>
    <n v="0"/>
    <n v="0"/>
    <n v="0"/>
    <m/>
    <m/>
    <m/>
    <m/>
    <m/>
    <m/>
    <m/>
    <n v="0"/>
    <n v="0"/>
    <n v="0"/>
    <n v="0"/>
  </r>
  <r>
    <n v="168"/>
    <s v="JOHAN DAVID DELGADO PINZON"/>
    <n v="1093786204"/>
    <n v="3212596253"/>
    <x v="7"/>
    <m/>
    <n v="2400000"/>
    <m/>
    <s v="CREDITO"/>
    <n v="0"/>
    <n v="0"/>
    <n v="0"/>
    <n v="1200000"/>
    <n v="0"/>
    <m/>
    <m/>
    <m/>
    <m/>
    <m/>
    <m/>
    <m/>
    <n v="1200000"/>
    <n v="3"/>
    <n v="1"/>
    <n v="3"/>
  </r>
  <r>
    <n v="169"/>
    <s v="CONSUELO CABRERA"/>
    <m/>
    <m/>
    <x v="14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70"/>
    <s v="IG. EN YOPAL MIGUEL VERGEL"/>
    <m/>
    <m/>
    <x v="44"/>
    <m/>
    <n v="3600000"/>
    <m/>
    <s v="CREDITO"/>
    <n v="800000"/>
    <n v="400000"/>
    <n v="800000"/>
    <n v="800000"/>
    <n v="0"/>
    <m/>
    <m/>
    <m/>
    <m/>
    <m/>
    <m/>
    <m/>
    <n v="2800000"/>
    <n v="7"/>
    <n v="4"/>
    <n v="7"/>
  </r>
  <r>
    <n v="171"/>
    <s v="CARLOS PINEDA"/>
    <n v="79772077"/>
    <m/>
    <x v="1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172"/>
    <s v="DAIRON MURILLO"/>
    <n v="1093775115"/>
    <m/>
    <x v="1"/>
    <m/>
    <n v="1200000"/>
    <m/>
    <s v="CREDITO"/>
    <n v="0"/>
    <n v="0"/>
    <n v="400000"/>
    <n v="400000"/>
    <n v="0"/>
    <m/>
    <m/>
    <m/>
    <m/>
    <m/>
    <m/>
    <m/>
    <n v="800000"/>
    <n v="2"/>
    <n v="2"/>
    <n v="2"/>
  </r>
  <r>
    <n v="173"/>
    <s v="SANTIAGO OSPINO"/>
    <n v="1048020150"/>
    <n v="3012225929"/>
    <x v="11"/>
    <m/>
    <n v="1200000"/>
    <m/>
    <s v="CREDITO"/>
    <n v="800000"/>
    <n v="0"/>
    <n v="0"/>
    <n v="0"/>
    <n v="400000"/>
    <m/>
    <m/>
    <m/>
    <m/>
    <m/>
    <m/>
    <m/>
    <n v="1200000"/>
    <n v="3"/>
    <n v="2"/>
    <n v="3"/>
  </r>
  <r>
    <n v="174"/>
    <s v="ALVARO JAVIER ZAPATA"/>
    <n v="1042767190"/>
    <n v="3146496028"/>
    <x v="45"/>
    <m/>
    <n v="2000000"/>
    <m/>
    <s v="CREDITO"/>
    <n v="1200000"/>
    <n v="0"/>
    <n v="600000"/>
    <n v="600000"/>
    <n v="0"/>
    <m/>
    <m/>
    <m/>
    <m/>
    <m/>
    <m/>
    <m/>
    <n v="2400000"/>
    <n v="6"/>
    <n v="3"/>
    <n v="6"/>
  </r>
  <r>
    <n v="175"/>
    <s v="MARIA EURICA CORDOBA"/>
    <n v="54252099"/>
    <s v="314 711 38 30"/>
    <x v="4"/>
    <m/>
    <n v="1600000"/>
    <m/>
    <s v="CREDITO"/>
    <n v="0"/>
    <n v="400000"/>
    <n v="400000"/>
    <n v="400000"/>
    <n v="400000"/>
    <m/>
    <m/>
    <m/>
    <m/>
    <m/>
    <m/>
    <m/>
    <n v="1600000"/>
    <n v="4"/>
    <n v="4"/>
    <n v="4"/>
  </r>
  <r>
    <n v="176"/>
    <s v="PATRICIA TINOCO GONZALEZ"/>
    <n v="64543061"/>
    <n v="3007191532"/>
    <x v="10"/>
    <m/>
    <n v="2000000"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177"/>
    <s v="DAIRON FOLIACO"/>
    <n v="1128051565"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78"/>
    <s v="CRUZ ALONSO RESTREPO"/>
    <n v="98533404"/>
    <n v="3016089190"/>
    <x v="0"/>
    <m/>
    <n v="2000000"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179"/>
    <s v="IG. EN TUNJA"/>
    <m/>
    <m/>
    <x v="46"/>
    <m/>
    <n v="2000000"/>
    <m/>
    <s v="CREDITO"/>
    <n v="0"/>
    <n v="800000"/>
    <n v="0"/>
    <n v="0"/>
    <n v="0"/>
    <m/>
    <m/>
    <m/>
    <m/>
    <m/>
    <m/>
    <m/>
    <n v="800000"/>
    <n v="2"/>
    <n v="1"/>
    <n v="2"/>
  </r>
  <r>
    <n v="180"/>
    <s v="MARILUZ QUINTERO"/>
    <m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81"/>
    <s v="ESPERANZA TORRES"/>
    <m/>
    <m/>
    <x v="2"/>
    <m/>
    <n v="1400000"/>
    <m/>
    <s v="CREDITO"/>
    <n v="0"/>
    <n v="0"/>
    <n v="0"/>
    <n v="0"/>
    <n v="0"/>
    <m/>
    <m/>
    <m/>
    <m/>
    <m/>
    <m/>
    <m/>
    <n v="0"/>
    <n v="0"/>
    <n v="0"/>
    <n v="0"/>
  </r>
  <r>
    <n v="182"/>
    <s v="IG. EN EL META"/>
    <m/>
    <m/>
    <x v="1"/>
    <m/>
    <n v="600000"/>
    <m/>
    <s v="CREDITO"/>
    <n v="0"/>
    <n v="0"/>
    <n v="0"/>
    <n v="0"/>
    <n v="0"/>
    <m/>
    <m/>
    <m/>
    <m/>
    <m/>
    <m/>
    <m/>
    <n v="0"/>
    <n v="0"/>
    <n v="0"/>
    <n v="0"/>
  </r>
  <r>
    <n v="183"/>
    <s v="CELESTINA MORENO VELASQUEZ"/>
    <n v="39302237"/>
    <n v="3187333883"/>
    <x v="13"/>
    <m/>
    <n v="2000000"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184"/>
    <s v="IG. EN ABREGO"/>
    <m/>
    <m/>
    <x v="1"/>
    <m/>
    <n v="70000"/>
    <m/>
    <s v="CREDITO"/>
    <n v="0"/>
    <n v="0"/>
    <n v="0"/>
    <n v="0"/>
    <n v="0"/>
    <m/>
    <m/>
    <m/>
    <m/>
    <m/>
    <m/>
    <m/>
    <n v="0"/>
    <n v="0"/>
    <n v="0"/>
    <n v="0"/>
  </r>
  <r>
    <n v="185"/>
    <s v="LIBEDIS ESTHER ARIAS"/>
    <n v="49741498"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86"/>
    <s v="FRANKLIN FLORLEZ"/>
    <n v="92257868"/>
    <n v="3014216556"/>
    <x v="47"/>
    <m/>
    <n v="1600000"/>
    <m/>
    <s v="CREDITO"/>
    <n v="0"/>
    <n v="0"/>
    <n v="0"/>
    <n v="400000"/>
    <n v="0"/>
    <m/>
    <m/>
    <m/>
    <m/>
    <m/>
    <m/>
    <m/>
    <n v="400000"/>
    <n v="1"/>
    <n v="1"/>
    <n v="1"/>
  </r>
  <r>
    <n v="187"/>
    <s v="ALFREDO CASTRO"/>
    <n v="12610911"/>
    <n v="3102029563"/>
    <x v="0"/>
    <m/>
    <n v="800000"/>
    <m/>
    <s v="CREDITO"/>
    <n v="0"/>
    <n v="500000"/>
    <n v="0"/>
    <n v="0"/>
    <n v="0"/>
    <m/>
    <m/>
    <m/>
    <m/>
    <m/>
    <m/>
    <m/>
    <n v="500000"/>
    <n v="1.25"/>
    <n v="1"/>
    <n v="2"/>
  </r>
  <r>
    <n v="188"/>
    <s v="ANGELO JOSE PALMAR"/>
    <m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89"/>
    <s v="JHON BRAYAN VALENCIA"/>
    <n v="1093795671"/>
    <n v="3202805549"/>
    <x v="7"/>
    <m/>
    <n v="1200000"/>
    <m/>
    <s v="CREDITO"/>
    <n v="0"/>
    <n v="400000"/>
    <n v="400000"/>
    <n v="800000"/>
    <n v="400000"/>
    <m/>
    <m/>
    <m/>
    <m/>
    <m/>
    <m/>
    <m/>
    <n v="2000000"/>
    <n v="5"/>
    <n v="4"/>
    <n v="5"/>
  </r>
  <r>
    <n v="190"/>
    <s v="JESUS VIDAL CORDOBA"/>
    <n v="11794402"/>
    <n v="3107027375"/>
    <x v="4"/>
    <m/>
    <n v="3200000"/>
    <m/>
    <s v="CREDITO"/>
    <n v="800000"/>
    <n v="800000"/>
    <n v="800000"/>
    <n v="800000"/>
    <n v="800000"/>
    <m/>
    <m/>
    <m/>
    <m/>
    <m/>
    <m/>
    <m/>
    <n v="4000000"/>
    <n v="10"/>
    <n v="5"/>
    <n v="10"/>
  </r>
  <r>
    <n v="191"/>
    <s v="FAMILIA FLORES TREJOS"/>
    <m/>
    <m/>
    <x v="1"/>
    <m/>
    <n v="400000"/>
    <m/>
    <s v="CREDITO"/>
    <n v="400000"/>
    <n v="400000"/>
    <n v="400000"/>
    <n v="0"/>
    <n v="400000"/>
    <m/>
    <m/>
    <m/>
    <m/>
    <m/>
    <m/>
    <m/>
    <n v="1600000"/>
    <n v="4"/>
    <n v="4"/>
    <n v="4"/>
  </r>
  <r>
    <n v="192"/>
    <s v="JUDY CAMARGO"/>
    <n v="22528383"/>
    <m/>
    <x v="21"/>
    <m/>
    <n v="1600000"/>
    <m/>
    <s v="CREDITO"/>
    <n v="400000"/>
    <n v="400000"/>
    <n v="900000"/>
    <n v="0"/>
    <n v="450000"/>
    <m/>
    <m/>
    <m/>
    <m/>
    <m/>
    <m/>
    <m/>
    <n v="2150000"/>
    <n v="5.375"/>
    <n v="4"/>
    <n v="6"/>
  </r>
  <r>
    <n v="193"/>
    <s v="AURORA CONTRERAS"/>
    <m/>
    <m/>
    <x v="2"/>
    <m/>
    <n v="1600000"/>
    <m/>
    <s v="CREDITO"/>
    <n v="400000"/>
    <n v="400000"/>
    <n v="400000"/>
    <n v="800000"/>
    <n v="400000"/>
    <m/>
    <m/>
    <m/>
    <m/>
    <m/>
    <m/>
    <m/>
    <n v="2400000"/>
    <n v="6"/>
    <n v="5"/>
    <n v="6"/>
  </r>
  <r>
    <n v="194"/>
    <s v="NINA ILLERA NAVARRO"/>
    <n v="37315263"/>
    <n v="3187750056"/>
    <x v="9"/>
    <m/>
    <n v="1600000"/>
    <m/>
    <s v="CREDITO"/>
    <n v="400000"/>
    <n v="0"/>
    <n v="800000"/>
    <n v="400000"/>
    <n v="0"/>
    <m/>
    <m/>
    <m/>
    <m/>
    <m/>
    <m/>
    <m/>
    <n v="1600000"/>
    <n v="4"/>
    <n v="3"/>
    <n v="4"/>
  </r>
  <r>
    <n v="195"/>
    <s v="CRISTIAN DAVID NUÑEZ"/>
    <n v="1067960477"/>
    <n v="3196090283"/>
    <x v="10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196"/>
    <s v="CARLOS JOSE CASTRO"/>
    <n v="1091669219"/>
    <n v="3182787563"/>
    <x v="9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197"/>
    <s v="JUAN ALVAREZ"/>
    <m/>
    <m/>
    <x v="1"/>
    <m/>
    <n v="100000"/>
    <m/>
    <s v="CREDITO"/>
    <n v="0"/>
    <n v="400000"/>
    <n v="400000"/>
    <n v="400000"/>
    <n v="0"/>
    <m/>
    <m/>
    <m/>
    <m/>
    <m/>
    <m/>
    <m/>
    <n v="1200000"/>
    <n v="3"/>
    <n v="3"/>
    <n v="3"/>
  </r>
  <r>
    <n v="198"/>
    <s v="EURICA CORDOBA "/>
    <m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199"/>
    <s v="MILENA GOMEZ LOPEZ"/>
    <n v="52809513"/>
    <n v="3053034243"/>
    <x v="23"/>
    <m/>
    <n v="1200000"/>
    <m/>
    <s v="CREDITO"/>
    <n v="400000"/>
    <n v="0"/>
    <n v="400000"/>
    <n v="400000"/>
    <n v="0"/>
    <m/>
    <m/>
    <m/>
    <m/>
    <m/>
    <m/>
    <m/>
    <n v="1200000"/>
    <n v="3"/>
    <n v="3"/>
    <n v="3"/>
  </r>
  <r>
    <n v="200"/>
    <s v="FABIAN ANDRES CASTRO"/>
    <n v="1091681333"/>
    <n v="3158769403"/>
    <x v="1"/>
    <m/>
    <n v="800000"/>
    <m/>
    <s v="CREDITO"/>
    <n v="1200000"/>
    <n v="0"/>
    <n v="0"/>
    <n v="0"/>
    <n v="0"/>
    <m/>
    <m/>
    <m/>
    <m/>
    <m/>
    <m/>
    <m/>
    <n v="1200000"/>
    <n v="3"/>
    <n v="1"/>
    <n v="3"/>
  </r>
  <r>
    <n v="201"/>
    <s v="IG. EN ARJONA"/>
    <m/>
    <m/>
    <x v="1"/>
    <m/>
    <n v="1130000"/>
    <m/>
    <s v="CREDITO"/>
    <n v="0"/>
    <n v="0"/>
    <n v="0"/>
    <n v="0"/>
    <n v="0"/>
    <m/>
    <m/>
    <m/>
    <m/>
    <m/>
    <m/>
    <m/>
    <n v="0"/>
    <n v="0"/>
    <n v="0"/>
    <n v="0"/>
  </r>
  <r>
    <n v="202"/>
    <s v="KATHERINE SIERRA FONTALVO"/>
    <m/>
    <m/>
    <x v="21"/>
    <m/>
    <n v="460000"/>
    <m/>
    <s v="CREDITO"/>
    <n v="0"/>
    <n v="0"/>
    <n v="0"/>
    <n v="0"/>
    <n v="0"/>
    <m/>
    <m/>
    <m/>
    <m/>
    <m/>
    <m/>
    <m/>
    <n v="0"/>
    <n v="0"/>
    <n v="0"/>
    <n v="0"/>
  </r>
  <r>
    <n v="203"/>
    <s v="DAVID ORLANDO GALVIS"/>
    <s v="88 257 848"/>
    <n v="3170295457"/>
    <x v="5"/>
    <m/>
    <n v="800000"/>
    <m/>
    <s v="CREDITO"/>
    <n v="1200000"/>
    <n v="1200000"/>
    <n v="0"/>
    <n v="800000"/>
    <n v="0"/>
    <m/>
    <m/>
    <m/>
    <m/>
    <m/>
    <m/>
    <m/>
    <n v="3200000"/>
    <n v="8"/>
    <n v="3"/>
    <n v="8"/>
  </r>
  <r>
    <n v="204"/>
    <s v="IG. EN CHIGORODO"/>
    <m/>
    <m/>
    <x v="1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05"/>
    <s v="MARTIN ALFONSO RUEDA"/>
    <n v="91175909"/>
    <n v="3188566515"/>
    <x v="0"/>
    <m/>
    <n v="1600000"/>
    <m/>
    <s v="CREDITO"/>
    <n v="0"/>
    <n v="0"/>
    <n v="0"/>
    <n v="800000"/>
    <n v="0"/>
    <m/>
    <m/>
    <m/>
    <m/>
    <m/>
    <m/>
    <m/>
    <n v="800000"/>
    <n v="2"/>
    <n v="1"/>
    <n v="2"/>
  </r>
  <r>
    <n v="206"/>
    <s v="CESAR AUGUSTO GUIRAL  "/>
    <n v="15517784"/>
    <n v="3206175921"/>
    <x v="3"/>
    <m/>
    <n v="800000"/>
    <s v="BCOL AHO"/>
    <s v="CREDITO"/>
    <n v="0"/>
    <n v="0"/>
    <n v="0"/>
    <n v="400000"/>
    <n v="400000"/>
    <m/>
    <m/>
    <m/>
    <m/>
    <m/>
    <m/>
    <m/>
    <n v="800000"/>
    <n v="2"/>
    <n v="2"/>
    <n v="2"/>
  </r>
  <r>
    <n v="207"/>
    <s v="ANTONY SUAREZ"/>
    <n v="1114884317"/>
    <n v="3128481002"/>
    <x v="48"/>
    <m/>
    <n v="800000"/>
    <m/>
    <s v="CREDITO"/>
    <n v="400000"/>
    <n v="400000"/>
    <n v="0"/>
    <n v="0"/>
    <n v="0"/>
    <m/>
    <m/>
    <m/>
    <m/>
    <m/>
    <m/>
    <m/>
    <n v="800000"/>
    <n v="2"/>
    <n v="2"/>
    <n v="2"/>
  </r>
  <r>
    <n v="208"/>
    <s v="LILIAN BOHORQUEZ"/>
    <n v="49742240"/>
    <n v="3207260191"/>
    <x v="48"/>
    <m/>
    <n v="1000000"/>
    <m/>
    <s v="CREDITO"/>
    <n v="0"/>
    <n v="600000"/>
    <n v="0"/>
    <n v="0"/>
    <n v="0"/>
    <m/>
    <m/>
    <m/>
    <m/>
    <m/>
    <m/>
    <m/>
    <n v="600000"/>
    <n v="1.5"/>
    <n v="1"/>
    <n v="2"/>
  </r>
  <r>
    <n v="209"/>
    <s v="JEREMIAS PAJARO PEÑA"/>
    <n v="1143355775"/>
    <n v="3042425180"/>
    <x v="41"/>
    <m/>
    <n v="800000"/>
    <m/>
    <s v="CREDITO"/>
    <n v="400000"/>
    <n v="0"/>
    <n v="0"/>
    <n v="0"/>
    <n v="400000"/>
    <m/>
    <m/>
    <m/>
    <m/>
    <m/>
    <m/>
    <m/>
    <n v="800000"/>
    <n v="2"/>
    <n v="2"/>
    <n v="2"/>
  </r>
  <r>
    <n v="210"/>
    <s v="WILMER ARIAS "/>
    <n v="1015997321"/>
    <n v="3177392885"/>
    <x v="2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211"/>
    <s v="LADRICOL"/>
    <s v="901.820.015-7"/>
    <n v="3115871915"/>
    <x v="7"/>
    <m/>
    <n v="800000"/>
    <m/>
    <s v="CREDITO"/>
    <n v="0"/>
    <n v="800000"/>
    <n v="400000"/>
    <n v="400000"/>
    <n v="0"/>
    <m/>
    <m/>
    <m/>
    <m/>
    <m/>
    <m/>
    <m/>
    <n v="1600000"/>
    <n v="4"/>
    <n v="3"/>
    <n v="4"/>
  </r>
  <r>
    <n v="212"/>
    <s v="NEHEMIAS PAJARO PEÑA"/>
    <n v="1045737100"/>
    <n v="3015184734"/>
    <x v="41"/>
    <m/>
    <n v="800000"/>
    <m/>
    <s v="CREDITO"/>
    <n v="400000"/>
    <n v="0"/>
    <n v="400000"/>
    <n v="400000"/>
    <n v="0"/>
    <m/>
    <m/>
    <m/>
    <m/>
    <m/>
    <m/>
    <m/>
    <n v="1200000"/>
    <n v="3"/>
    <n v="3"/>
    <n v="3"/>
  </r>
  <r>
    <n v="213"/>
    <s v="MARIA EDITH BEJARANO BERMUDEZ"/>
    <n v="26258801"/>
    <n v="3206877280"/>
    <x v="4"/>
    <m/>
    <n v="1200000"/>
    <m/>
    <s v="CREDITO"/>
    <n v="0"/>
    <n v="0"/>
    <n v="0"/>
    <n v="0"/>
    <n v="400000"/>
    <m/>
    <m/>
    <m/>
    <m/>
    <m/>
    <m/>
    <m/>
    <n v="400000"/>
    <n v="1"/>
    <n v="1"/>
    <n v="1"/>
  </r>
  <r>
    <n v="214"/>
    <s v="ARMANDO CRUZ "/>
    <n v="88309418"/>
    <n v="3203034511"/>
    <x v="7"/>
    <m/>
    <n v="800000"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215"/>
    <s v="EFRAIN ELGUEDO SALAS"/>
    <n v="9093848"/>
    <n v="3184909196"/>
    <x v="42"/>
    <m/>
    <n v="500000"/>
    <m/>
    <s v="CREDITO"/>
    <n v="400000"/>
    <n v="400000"/>
    <n v="400000"/>
    <n v="0"/>
    <n v="400000"/>
    <m/>
    <m/>
    <m/>
    <m/>
    <m/>
    <m/>
    <m/>
    <n v="1600000"/>
    <n v="4"/>
    <n v="4"/>
    <n v="4"/>
  </r>
  <r>
    <n v="216"/>
    <s v="JORGE ARMANDO BRAVO"/>
    <n v="1053798897"/>
    <n v="3142872429"/>
    <x v="46"/>
    <m/>
    <n v="800000"/>
    <m/>
    <s v="CREDITO"/>
    <n v="300000"/>
    <n v="300000"/>
    <n v="200000"/>
    <n v="0"/>
    <n v="0"/>
    <m/>
    <m/>
    <m/>
    <m/>
    <m/>
    <m/>
    <m/>
    <n v="800000"/>
    <n v="2"/>
    <n v="3"/>
    <n v="2"/>
  </r>
  <r>
    <n v="217"/>
    <s v="MARLENY DEL SOCORRO MONSALE"/>
    <n v="32556538"/>
    <n v="3108936691"/>
    <x v="49"/>
    <m/>
    <n v="40000"/>
    <m/>
    <s v="CREDITO"/>
    <n v="20000"/>
    <n v="30000"/>
    <n v="30000"/>
    <n v="50000"/>
    <n v="50000"/>
    <m/>
    <m/>
    <m/>
    <m/>
    <m/>
    <m/>
    <m/>
    <n v="180000"/>
    <n v="0.45"/>
    <n v="5"/>
    <n v="1"/>
  </r>
  <r>
    <n v="218"/>
    <s v="BLANCA AINE GUAYARA "/>
    <n v="28967914"/>
    <n v="336684935"/>
    <x v="35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19"/>
    <s v="EMMANUEL DUARTE MURILLO"/>
    <n v="1094228628"/>
    <n v="3124214946"/>
    <x v="7"/>
    <m/>
    <n v="400000"/>
    <m/>
    <s v="CREDITO"/>
    <n v="200000"/>
    <n v="0"/>
    <n v="0"/>
    <n v="400000"/>
    <n v="400000"/>
    <m/>
    <m/>
    <m/>
    <m/>
    <m/>
    <m/>
    <m/>
    <n v="1000000"/>
    <n v="2.5"/>
    <n v="3"/>
    <n v="3"/>
  </r>
  <r>
    <n v="220"/>
    <s v="RAFAEL GUTIERREZ"/>
    <n v="88237561"/>
    <n v="3204473656"/>
    <x v="7"/>
    <m/>
    <n v="800000"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221"/>
    <s v="RODRIGO SÁNCHEZ"/>
    <s v="79,166,661 "/>
    <n v="3102212862"/>
    <x v="30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22"/>
    <s v="KEVIN SÁNCHEZ   "/>
    <s v="1,076,660,747"/>
    <n v="3173802748"/>
    <x v="30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23"/>
    <s v="JOSHUA STANFORD "/>
    <s v="1,015,439,209"/>
    <n v="3174007835"/>
    <x v="30"/>
    <m/>
    <n v="1200000"/>
    <m/>
    <s v="CREDITO"/>
    <n v="0"/>
    <n v="0"/>
    <n v="0"/>
    <n v="0"/>
    <n v="0"/>
    <m/>
    <m/>
    <m/>
    <m/>
    <m/>
    <m/>
    <m/>
    <n v="0"/>
    <n v="0"/>
    <n v="0"/>
    <n v="0"/>
  </r>
  <r>
    <n v="224"/>
    <s v="IVAN HERNANDEZ"/>
    <s v="1,045,699,283"/>
    <n v="3008286649"/>
    <x v="30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25"/>
    <s v="HAILER CASTRO"/>
    <s v="1,076,650,797"/>
    <n v="3212079648"/>
    <x v="30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26"/>
    <s v="ANDRÉS MARULANDA   "/>
    <s v="8,433,398"/>
    <n v="3212648565"/>
    <x v="50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27"/>
    <s v="HÉCTOR PAEZ "/>
    <s v="79,166,183"/>
    <n v="3156601344"/>
    <x v="51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28"/>
    <s v="EMILIO GARCÍA"/>
    <s v="79,166,692"/>
    <n v="3114967016"/>
    <x v="52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29"/>
    <s v="HERNAN BOLIVAR"/>
    <s v="1,076,650,088"/>
    <n v="3214289394"/>
    <x v="52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0"/>
    <s v="ANDERSON HORMAZA"/>
    <s v="1,051,588,792"/>
    <n v="3214411717"/>
    <x v="53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1"/>
    <s v="JUAN SEBASTIAN MONTES"/>
    <s v="1,192,773,744"/>
    <n v="3204014480"/>
    <x v="54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32"/>
    <s v="JULIO BENÍTEZ  "/>
    <s v="80,490,223"/>
    <n v="3114612778"/>
    <x v="53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3"/>
    <s v="LUIS GABRIEL ALVAREZ MARQUEZ"/>
    <n v="85203032"/>
    <n v="3107315557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4"/>
    <s v="LEONARDO FURNIELES GONZÁLEZ "/>
    <n v="1067904102"/>
    <n v="3137896402"/>
    <x v="56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5"/>
    <s v="ESPERANZA DEL PILAR LAMBERTINEZ"/>
    <n v="50901037"/>
    <n v="3205707487"/>
    <x v="1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6"/>
    <s v="JOHANA TATIANA ALVAREZ MÁRQUEZ "/>
    <n v="1002371747"/>
    <n v="3017076403"/>
    <x v="57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7"/>
    <s v="LUZ DAYNETH GOMEZ MARTINEZ "/>
    <n v="1066737038"/>
    <n v="3122228619"/>
    <x v="58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8"/>
    <s v="IVÁN ARTURO AVILÉZ PETRO"/>
    <n v="1064996539"/>
    <n v="3135513063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39"/>
    <s v="SILVIA PATRICIA BUELVAS LAMBERTINEZ"/>
    <n v="1067884505"/>
    <n v="3215857733"/>
    <x v="59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0"/>
    <s v="KEYLA GONZÁLEZ PÁJARO "/>
    <n v="30777006"/>
    <n v="3186436044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1"/>
    <s v="ROSARIO DE LA CONSOLACIÓN MONTERO ABAD"/>
    <n v="34962463"/>
    <n v="3205294049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2"/>
    <s v="SALLURIS BUELVAS LAMBERTINEZ "/>
    <n v="1067922782"/>
    <n v="3013999279"/>
    <x v="56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3"/>
    <s v="SANDRA MARCELA BUELVAS LAMBERTINEZ "/>
    <n v="1133795577"/>
    <n v="3013994780"/>
    <x v="56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4"/>
    <s v="JAVIER ANTONIO NÚÑEZ CASTRO "/>
    <n v="78753440"/>
    <n v="3217473284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5"/>
    <s v="CARMEN ALICIA SAEZ SÁNCHEZ "/>
    <n v="34979435"/>
    <n v="3205025275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6"/>
    <s v="MANUEL DARIO PADILLA PADILLA."/>
    <n v="78323723"/>
    <n v="3136913916"/>
    <x v="58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7"/>
    <s v="OSCAR DAVID GÓMEZ GUEVARA "/>
    <n v="1003404028"/>
    <n v="3205172305"/>
    <x v="55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8"/>
    <s v="NANNYS ELVIRA MÁRQUEZ CAMPOS"/>
    <n v="30843113"/>
    <n v="3135249664"/>
    <x v="57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49"/>
    <s v="MISAEL PASTRANA ESPITIA "/>
    <n v="15647945"/>
    <n v="3105193541"/>
    <x v="57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50"/>
    <s v="ANDREAOROZCO"/>
    <n v="1088296001"/>
    <m/>
    <x v="23"/>
    <m/>
    <n v="200000"/>
    <m/>
    <s v="CREDITO"/>
    <n v="0"/>
    <n v="0"/>
    <n v="400000"/>
    <n v="400000"/>
    <n v="0"/>
    <m/>
    <m/>
    <m/>
    <m/>
    <m/>
    <m/>
    <m/>
    <n v="800000"/>
    <n v="2"/>
    <n v="2"/>
    <n v="2"/>
  </r>
  <r>
    <n v="251"/>
    <s v="MARIA EUGENIA GRIMALDO"/>
    <n v="60319496"/>
    <n v="3114112215"/>
    <x v="7"/>
    <m/>
    <n v="400000"/>
    <m/>
    <s v="CREDITO"/>
    <n v="0"/>
    <n v="200000"/>
    <n v="0"/>
    <n v="400000"/>
    <n v="0"/>
    <m/>
    <m/>
    <m/>
    <m/>
    <m/>
    <m/>
    <m/>
    <n v="600000"/>
    <n v="1.5"/>
    <n v="2"/>
    <n v="2"/>
  </r>
  <r>
    <n v="252"/>
    <s v="EDRAS SANABRIA"/>
    <n v="1121969843"/>
    <n v="3026352060"/>
    <x v="60"/>
    <m/>
    <n v="850000"/>
    <m/>
    <s v="CREDITO"/>
    <n v="0"/>
    <n v="0"/>
    <n v="0"/>
    <n v="0"/>
    <n v="540000"/>
    <m/>
    <m/>
    <m/>
    <m/>
    <m/>
    <m/>
    <m/>
    <n v="540000"/>
    <n v="1.35"/>
    <n v="1"/>
    <n v="2"/>
  </r>
  <r>
    <n v="253"/>
    <s v="CARLOS MADRID"/>
    <n v="70322335"/>
    <n v="3106907142"/>
    <x v="3"/>
    <m/>
    <n v="800000"/>
    <s v="BCOL AHO"/>
    <s v="CREDITO"/>
    <n v="400000"/>
    <n v="400000"/>
    <n v="400000"/>
    <n v="400000"/>
    <n v="0"/>
    <m/>
    <m/>
    <m/>
    <m/>
    <m/>
    <m/>
    <m/>
    <n v="1600000"/>
    <n v="4"/>
    <n v="4"/>
    <n v="4"/>
  </r>
  <r>
    <n v="254"/>
    <s v="ADRIAN HERNANDEZ PONCE"/>
    <n v="72049339"/>
    <n v="3148093554"/>
    <x v="3"/>
    <m/>
    <n v="400000"/>
    <s v="BCOL AHO"/>
    <s v="CREDITO"/>
    <n v="0"/>
    <n v="0"/>
    <n v="0"/>
    <n v="0"/>
    <n v="0"/>
    <m/>
    <m/>
    <m/>
    <m/>
    <m/>
    <m/>
    <m/>
    <n v="0"/>
    <n v="0"/>
    <n v="0"/>
    <n v="0"/>
  </r>
  <r>
    <n v="255"/>
    <s v="FABIO NELSON ARROYAVE"/>
    <n v="71273662"/>
    <n v="3103476233"/>
    <x v="61"/>
    <m/>
    <n v="800000"/>
    <m/>
    <s v="CREDITO"/>
    <n v="400000"/>
    <n v="400000"/>
    <n v="400000"/>
    <n v="0"/>
    <n v="400000"/>
    <m/>
    <m/>
    <m/>
    <m/>
    <m/>
    <m/>
    <m/>
    <n v="1600000"/>
    <n v="4"/>
    <n v="4"/>
    <n v="4"/>
  </r>
  <r>
    <n v="256"/>
    <s v="MARLIDIA ARROYO PEÑA"/>
    <n v="64556783"/>
    <n v="3017981102"/>
    <x v="36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57"/>
    <s v="LEDIS PAJARO CARDONA"/>
    <n v="30771251"/>
    <s v="313 5925709"/>
    <x v="36"/>
    <m/>
    <n v="800000"/>
    <m/>
    <s v="CREDITO"/>
    <n v="0"/>
    <n v="0"/>
    <n v="0"/>
    <n v="0"/>
    <n v="0"/>
    <m/>
    <m/>
    <m/>
    <m/>
    <m/>
    <m/>
    <m/>
    <n v="0"/>
    <n v="0"/>
    <n v="0"/>
    <n v="0"/>
  </r>
  <r>
    <n v="258"/>
    <s v="SUGEY ATENCIA"/>
    <n v="45758051"/>
    <s v="320 5808311"/>
    <x v="36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59"/>
    <s v="CARLOS HUMBERTO VERGEL LAZARO"/>
    <n v="88137146"/>
    <n v="3157943643"/>
    <x v="9"/>
    <m/>
    <n v="800000"/>
    <m/>
    <s v="CREDITO"/>
    <n v="0"/>
    <n v="400000"/>
    <n v="400000"/>
    <n v="400000"/>
    <n v="0"/>
    <m/>
    <m/>
    <m/>
    <m/>
    <m/>
    <m/>
    <m/>
    <n v="1200000"/>
    <n v="3"/>
    <n v="3"/>
    <n v="3"/>
  </r>
  <r>
    <n v="260"/>
    <s v="LEONARDO CARDENAS"/>
    <n v="88284263"/>
    <n v="88284263"/>
    <x v="9"/>
    <m/>
    <n v="800000"/>
    <m/>
    <s v="CREDITO"/>
    <n v="400000"/>
    <n v="0"/>
    <n v="400000"/>
    <n v="400000"/>
    <n v="0"/>
    <m/>
    <m/>
    <m/>
    <m/>
    <m/>
    <m/>
    <m/>
    <n v="1200000"/>
    <n v="3"/>
    <n v="3"/>
    <n v="3"/>
  </r>
  <r>
    <n v="261"/>
    <s v="LUIS HERNANDO BARBOSA"/>
    <n v="77179718"/>
    <n v="3214184733"/>
    <x v="9"/>
    <m/>
    <n v="800000"/>
    <m/>
    <s v="CREDITO"/>
    <n v="0"/>
    <n v="400000"/>
    <n v="400000"/>
    <n v="400000"/>
    <n v="400000"/>
    <m/>
    <m/>
    <m/>
    <m/>
    <m/>
    <m/>
    <m/>
    <n v="1600000"/>
    <n v="4"/>
    <n v="4"/>
    <n v="4"/>
  </r>
  <r>
    <n v="262"/>
    <s v="GUSTAVO LEON RAY "/>
    <n v="16354014"/>
    <m/>
    <x v="5"/>
    <m/>
    <n v="800000"/>
    <m/>
    <s v="CREDITO"/>
    <n v="0"/>
    <n v="400000"/>
    <n v="400000"/>
    <n v="800000"/>
    <n v="0"/>
    <m/>
    <m/>
    <m/>
    <m/>
    <m/>
    <m/>
    <m/>
    <n v="1600000"/>
    <n v="4"/>
    <n v="3"/>
    <n v="4"/>
  </r>
  <r>
    <n v="263"/>
    <s v="ALBA ROSA BEJARANO"/>
    <n v="26257532"/>
    <s v="310 3761797"/>
    <x v="4"/>
    <m/>
    <n v="400000"/>
    <m/>
    <s v="CREDITO"/>
    <n v="400000"/>
    <n v="400000"/>
    <n v="400000"/>
    <n v="800000"/>
    <n v="0"/>
    <m/>
    <m/>
    <m/>
    <m/>
    <m/>
    <m/>
    <m/>
    <n v="2000000"/>
    <n v="5"/>
    <n v="4"/>
    <n v="5"/>
  </r>
  <r>
    <n v="264"/>
    <s v="IG. EN BELLO"/>
    <m/>
    <m/>
    <x v="62"/>
    <m/>
    <n v="200000"/>
    <m/>
    <s v="CREDITO"/>
    <n v="0"/>
    <n v="200000"/>
    <n v="200000"/>
    <n v="200000"/>
    <n v="0"/>
    <m/>
    <m/>
    <m/>
    <m/>
    <m/>
    <m/>
    <m/>
    <n v="600000"/>
    <n v="1.5"/>
    <n v="3"/>
    <n v="2"/>
  </r>
  <r>
    <n v="265"/>
    <s v="BATEMAN BELEÑO"/>
    <n v="72295408"/>
    <m/>
    <x v="28"/>
    <m/>
    <n v="50000"/>
    <m/>
    <s v="CREDITO"/>
    <n v="0"/>
    <n v="0"/>
    <n v="0"/>
    <n v="0"/>
    <n v="0"/>
    <m/>
    <m/>
    <m/>
    <m/>
    <m/>
    <m/>
    <m/>
    <n v="0"/>
    <n v="0"/>
    <n v="0"/>
    <n v="0"/>
  </r>
  <r>
    <n v="266"/>
    <s v="FARID POLO ALTAHONA"/>
    <n v="3770607"/>
    <n v="3126624361"/>
    <x v="28"/>
    <m/>
    <n v="400000"/>
    <m/>
    <s v="CREDITO"/>
    <n v="0"/>
    <n v="0"/>
    <n v="400000"/>
    <n v="400000"/>
    <n v="400000"/>
    <m/>
    <m/>
    <m/>
    <m/>
    <m/>
    <m/>
    <m/>
    <n v="1200000"/>
    <n v="3"/>
    <n v="3"/>
    <n v="3"/>
  </r>
  <r>
    <n v="267"/>
    <s v="MARIA PAULA CARDOZO"/>
    <n v="1075271930"/>
    <s v="317 754 5784"/>
    <x v="22"/>
    <m/>
    <n v="400000"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268"/>
    <s v="ROBINSON ESPAÑA"/>
    <n v="1093789365"/>
    <m/>
    <x v="5"/>
    <m/>
    <n v="1400000"/>
    <m/>
    <s v="CREDITO"/>
    <n v="400000"/>
    <n v="400000"/>
    <n v="400000"/>
    <n v="0"/>
    <n v="400000"/>
    <m/>
    <m/>
    <m/>
    <m/>
    <m/>
    <m/>
    <m/>
    <n v="1600000"/>
    <n v="4"/>
    <n v="4"/>
    <n v="4"/>
  </r>
  <r>
    <n v="269"/>
    <s v="LUIS OSPINA"/>
    <n v="98552933"/>
    <n v="3184873565"/>
    <x v="0"/>
    <m/>
    <n v="400000"/>
    <m/>
    <s v="CREDITO"/>
    <n v="0"/>
    <n v="400000"/>
    <n v="0"/>
    <n v="400000"/>
    <n v="0"/>
    <m/>
    <m/>
    <m/>
    <m/>
    <m/>
    <m/>
    <m/>
    <n v="800000"/>
    <n v="2"/>
    <n v="2"/>
    <n v="2"/>
  </r>
  <r>
    <n v="270"/>
    <s v="ALVARO ATENCIA "/>
    <n v="45758051"/>
    <m/>
    <x v="36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71"/>
    <s v="MONICA PACHECO SANTOS"/>
    <n v="1091662369"/>
    <n v="3155529907"/>
    <x v="9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72"/>
    <s v="ALLAN SEBASTIAN LOPEZ"/>
    <n v="16071816"/>
    <n v="3176880448"/>
    <x v="61"/>
    <m/>
    <n v="80000"/>
    <m/>
    <s v="CREDITO"/>
    <n v="150000"/>
    <n v="0"/>
    <n v="50000"/>
    <n v="200000"/>
    <n v="0"/>
    <m/>
    <m/>
    <m/>
    <m/>
    <m/>
    <m/>
    <m/>
    <n v="400000"/>
    <n v="1"/>
    <n v="3"/>
    <n v="1"/>
  </r>
  <r>
    <n v="273"/>
    <s v="GLORIA ESTEFANY VEGA"/>
    <n v="1122403315"/>
    <n v="3135707447"/>
    <x v="63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74"/>
    <s v="MARISOL TORRES"/>
    <n v="1090405714"/>
    <m/>
    <x v="5"/>
    <m/>
    <n v="400000"/>
    <m/>
    <s v="CREDITO"/>
    <n v="400000"/>
    <n v="400000"/>
    <n v="400000"/>
    <n v="0"/>
    <n v="0"/>
    <m/>
    <m/>
    <m/>
    <m/>
    <m/>
    <m/>
    <m/>
    <n v="1200000"/>
    <n v="3"/>
    <n v="3"/>
    <n v="3"/>
  </r>
  <r>
    <n v="275"/>
    <s v="EUCLIDES ORREGO MENESES"/>
    <n v="15274598"/>
    <m/>
    <x v="45"/>
    <m/>
    <n v="400000"/>
    <m/>
    <s v="CREDITO"/>
    <n v="0"/>
    <n v="400000"/>
    <n v="200000"/>
    <n v="0"/>
    <n v="0"/>
    <m/>
    <m/>
    <m/>
    <m/>
    <m/>
    <m/>
    <m/>
    <n v="600000"/>
    <n v="1.5"/>
    <n v="2"/>
    <n v="2"/>
  </r>
  <r>
    <n v="276"/>
    <s v="MARCELA DIAZ"/>
    <m/>
    <m/>
    <x v="23"/>
    <m/>
    <n v="400000"/>
    <m/>
    <s v="CREDITO"/>
    <n v="0"/>
    <n v="0"/>
    <n v="0"/>
    <n v="0"/>
    <n v="0"/>
    <m/>
    <m/>
    <m/>
    <m/>
    <m/>
    <m/>
    <m/>
    <n v="0"/>
    <n v="0"/>
    <n v="0"/>
    <n v="0"/>
  </r>
  <r>
    <n v="277"/>
    <s v="NORMA GALVIS &quot;GALCUE&quot;"/>
    <m/>
    <m/>
    <x v="5"/>
    <m/>
    <n v="400000"/>
    <m/>
    <s v="CREDITO"/>
    <n v="400000"/>
    <n v="0"/>
    <n v="400000"/>
    <n v="400000"/>
    <n v="400000"/>
    <m/>
    <m/>
    <m/>
    <m/>
    <m/>
    <m/>
    <m/>
    <n v="1600000"/>
    <n v="4"/>
    <n v="4"/>
    <n v="4"/>
  </r>
  <r>
    <n v="278"/>
    <s v="MELIDA RAMIREZ"/>
    <m/>
    <m/>
    <x v="15"/>
    <m/>
    <m/>
    <m/>
    <s v="CREDITO"/>
    <n v="500000"/>
    <n v="500000"/>
    <n v="500000"/>
    <n v="500000"/>
    <n v="500000"/>
    <m/>
    <m/>
    <m/>
    <m/>
    <m/>
    <m/>
    <m/>
    <n v="2500000"/>
    <n v="6.25"/>
    <n v="5"/>
    <n v="7"/>
  </r>
  <r>
    <n v="279"/>
    <s v="SANDRA LOPEZ MEJIA"/>
    <n v="42027224"/>
    <n v="3137328174"/>
    <x v="23"/>
    <m/>
    <m/>
    <m/>
    <s v="CREDITO"/>
    <n v="400000"/>
    <n v="400000"/>
    <n v="400000"/>
    <n v="400000"/>
    <n v="400000"/>
    <m/>
    <m/>
    <m/>
    <m/>
    <m/>
    <m/>
    <m/>
    <n v="2000000"/>
    <n v="5"/>
    <n v="5"/>
    <n v="5"/>
  </r>
  <r>
    <n v="280"/>
    <s v="DIANA URQUIJO"/>
    <m/>
    <m/>
    <x v="2"/>
    <m/>
    <m/>
    <m/>
    <s v="CREDITO"/>
    <n v="200000"/>
    <n v="0"/>
    <n v="0"/>
    <n v="0"/>
    <n v="0"/>
    <m/>
    <m/>
    <m/>
    <m/>
    <m/>
    <m/>
    <m/>
    <n v="200000"/>
    <n v="0.5"/>
    <n v="1"/>
    <n v="1"/>
  </r>
  <r>
    <n v="281"/>
    <s v="JIRETH SOFIA CHICA"/>
    <m/>
    <m/>
    <x v="2"/>
    <m/>
    <m/>
    <m/>
    <s v="CREDITO"/>
    <n v="400000"/>
    <n v="0"/>
    <n v="0"/>
    <n v="400000"/>
    <n v="0"/>
    <m/>
    <m/>
    <m/>
    <m/>
    <m/>
    <m/>
    <m/>
    <n v="800000"/>
    <n v="2"/>
    <n v="2"/>
    <n v="2"/>
  </r>
  <r>
    <n v="282"/>
    <s v="OSCAR HERNANDO GONZALEZ"/>
    <n v="1090399128"/>
    <m/>
    <x v="5"/>
    <m/>
    <n v="400000"/>
    <m/>
    <s v="CREDITO"/>
    <n v="400000"/>
    <n v="400000"/>
    <n v="400000"/>
    <n v="0"/>
    <n v="400000"/>
    <m/>
    <m/>
    <m/>
    <m/>
    <m/>
    <m/>
    <m/>
    <n v="1600000"/>
    <n v="4"/>
    <n v="4"/>
    <n v="4"/>
  </r>
  <r>
    <n v="283"/>
    <s v="ARTURO MACHUCA"/>
    <n v="13923806"/>
    <m/>
    <x v="22"/>
    <m/>
    <m/>
    <m/>
    <s v="CREDITO"/>
    <n v="1600000"/>
    <n v="1600000"/>
    <n v="1600000"/>
    <n v="0"/>
    <n v="2000000"/>
    <m/>
    <m/>
    <m/>
    <m/>
    <m/>
    <m/>
    <m/>
    <n v="6800000"/>
    <n v="17"/>
    <n v="4"/>
    <n v="17"/>
  </r>
  <r>
    <n v="284"/>
    <s v="ROSMIRA FERNANDEZ"/>
    <n v="60300203"/>
    <m/>
    <x v="5"/>
    <m/>
    <m/>
    <m/>
    <s v="CREDITO"/>
    <n v="400000"/>
    <n v="400000"/>
    <n v="800000"/>
    <n v="0"/>
    <n v="0"/>
    <m/>
    <m/>
    <m/>
    <m/>
    <m/>
    <m/>
    <m/>
    <n v="1600000"/>
    <n v="4"/>
    <n v="3"/>
    <n v="4"/>
  </r>
  <r>
    <n v="285"/>
    <s v="ALFONSO RUEDA"/>
    <m/>
    <n v="3188566515"/>
    <x v="0"/>
    <m/>
    <m/>
    <m/>
    <s v="CREDITO"/>
    <n v="400000"/>
    <n v="400000"/>
    <n v="0"/>
    <n v="0"/>
    <n v="0"/>
    <m/>
    <m/>
    <m/>
    <m/>
    <m/>
    <m/>
    <m/>
    <n v="800000"/>
    <n v="2"/>
    <n v="2"/>
    <n v="2"/>
  </r>
  <r>
    <n v="286"/>
    <s v="HIRAN DAVID OCHOA"/>
    <n v="10667593528"/>
    <m/>
    <x v="2"/>
    <m/>
    <m/>
    <m/>
    <s v="CREDITO"/>
    <n v="400000"/>
    <n v="400000"/>
    <n v="0"/>
    <n v="0"/>
    <n v="0"/>
    <m/>
    <m/>
    <m/>
    <m/>
    <m/>
    <m/>
    <m/>
    <n v="800000"/>
    <n v="2"/>
    <n v="2"/>
    <n v="2"/>
  </r>
  <r>
    <n v="287"/>
    <s v="CARLOS OSORIO OLAYA"/>
    <n v="71630690"/>
    <n v="3012567771"/>
    <x v="62"/>
    <m/>
    <m/>
    <m/>
    <s v="CREDITO"/>
    <n v="200000"/>
    <n v="0"/>
    <n v="0"/>
    <n v="0"/>
    <n v="200000"/>
    <m/>
    <m/>
    <m/>
    <m/>
    <m/>
    <m/>
    <m/>
    <n v="400000"/>
    <n v="1"/>
    <n v="2"/>
    <n v="1"/>
  </r>
  <r>
    <n v="288"/>
    <s v="ISIDRO SERRANO"/>
    <m/>
    <s v="320 4621706"/>
    <x v="64"/>
    <m/>
    <m/>
    <s v="BCOL AHO"/>
    <s v="CREDITO"/>
    <n v="400000"/>
    <n v="400000"/>
    <n v="400000"/>
    <n v="400000"/>
    <n v="0"/>
    <m/>
    <m/>
    <m/>
    <m/>
    <m/>
    <m/>
    <m/>
    <n v="1600000"/>
    <n v="4"/>
    <n v="4"/>
    <n v="4"/>
  </r>
  <r>
    <n v="289"/>
    <s v="ELICEO CEDEÑO"/>
    <m/>
    <s v="320 2361660"/>
    <x v="64"/>
    <m/>
    <m/>
    <s v="BCOL AHO"/>
    <s v="CREDITO"/>
    <n v="400000"/>
    <n v="400000"/>
    <n v="400000"/>
    <n v="400000"/>
    <n v="0"/>
    <m/>
    <m/>
    <m/>
    <m/>
    <m/>
    <m/>
    <m/>
    <n v="1600000"/>
    <n v="4"/>
    <n v="4"/>
    <n v="4"/>
  </r>
  <r>
    <n v="290"/>
    <s v="LUIS EDUARDO JULIO"/>
    <n v="1090381261"/>
    <m/>
    <x v="5"/>
    <m/>
    <m/>
    <m/>
    <s v="CREDITO"/>
    <n v="400000"/>
    <n v="400000"/>
    <n v="0"/>
    <n v="0"/>
    <n v="0"/>
    <m/>
    <m/>
    <m/>
    <m/>
    <m/>
    <m/>
    <m/>
    <n v="800000"/>
    <n v="2"/>
    <n v="2"/>
    <n v="2"/>
  </r>
  <r>
    <n v="291"/>
    <s v="IG. EN CESAR GUAJIRA (YURI VARGAS)"/>
    <m/>
    <m/>
    <x v="65"/>
    <m/>
    <m/>
    <m/>
    <s v="CREDITO"/>
    <n v="11250000"/>
    <n v="0"/>
    <n v="10800000"/>
    <n v="0"/>
    <n v="0"/>
    <m/>
    <m/>
    <m/>
    <m/>
    <m/>
    <m/>
    <m/>
    <n v="22050000"/>
    <n v="55.125"/>
    <n v="2"/>
    <n v="56"/>
  </r>
  <r>
    <n v="292"/>
    <s v="SHELSIN MOSQUERA"/>
    <n v="26331372"/>
    <n v="3216248917"/>
    <x v="19"/>
    <m/>
    <m/>
    <m/>
    <s v="CREDITO"/>
    <n v="400000"/>
    <n v="0"/>
    <n v="0"/>
    <n v="0"/>
    <n v="0"/>
    <m/>
    <m/>
    <m/>
    <m/>
    <m/>
    <m/>
    <m/>
    <n v="400000"/>
    <n v="1"/>
    <n v="1"/>
    <n v="1"/>
  </r>
  <r>
    <n v="293"/>
    <s v="MIRLEY P ROMAN"/>
    <n v="50995836"/>
    <n v="3106115579"/>
    <x v="19"/>
    <m/>
    <m/>
    <m/>
    <s v="CREDITO"/>
    <n v="400000"/>
    <n v="0"/>
    <n v="0"/>
    <n v="0"/>
    <n v="0"/>
    <m/>
    <m/>
    <m/>
    <m/>
    <m/>
    <m/>
    <m/>
    <n v="400000"/>
    <n v="1"/>
    <n v="1"/>
    <n v="1"/>
  </r>
  <r>
    <n v="294"/>
    <s v="HECTOR RENE GALEANO"/>
    <m/>
    <m/>
    <x v="2"/>
    <m/>
    <m/>
    <m/>
    <s v="CREDITO"/>
    <n v="4800000"/>
    <n v="0"/>
    <n v="0"/>
    <n v="0"/>
    <n v="0"/>
    <m/>
    <m/>
    <m/>
    <m/>
    <m/>
    <m/>
    <m/>
    <n v="4800000"/>
    <n v="12"/>
    <n v="1"/>
    <n v="12"/>
  </r>
  <r>
    <n v="295"/>
    <s v="IG. EN SOGAMOSO"/>
    <m/>
    <m/>
    <x v="60"/>
    <m/>
    <m/>
    <m/>
    <s v="CREDITO"/>
    <n v="500000"/>
    <n v="0"/>
    <n v="400000"/>
    <n v="400000"/>
    <n v="0"/>
    <m/>
    <m/>
    <m/>
    <m/>
    <m/>
    <m/>
    <m/>
    <n v="1300000"/>
    <n v="3.25"/>
    <n v="3"/>
    <n v="4"/>
  </r>
  <r>
    <n v="296"/>
    <s v="PATRICIA MORENO"/>
    <m/>
    <m/>
    <x v="2"/>
    <m/>
    <m/>
    <m/>
    <s v="CREDITO"/>
    <n v="400000"/>
    <n v="400000"/>
    <n v="0"/>
    <n v="400000"/>
    <n v="0"/>
    <m/>
    <m/>
    <m/>
    <m/>
    <m/>
    <m/>
    <m/>
    <n v="1200000"/>
    <n v="3"/>
    <n v="3"/>
    <n v="3"/>
  </r>
  <r>
    <n v="297"/>
    <s v="IG. EN EL META"/>
    <m/>
    <m/>
    <x v="66"/>
    <m/>
    <m/>
    <m/>
    <s v="CREDITO"/>
    <n v="1200000"/>
    <n v="0"/>
    <n v="1600000"/>
    <n v="0"/>
    <n v="0"/>
    <m/>
    <m/>
    <m/>
    <m/>
    <m/>
    <m/>
    <m/>
    <n v="2800000"/>
    <n v="7"/>
    <n v="2"/>
    <n v="7"/>
  </r>
  <r>
    <n v="298"/>
    <s v="ROSALBA MONSALVE"/>
    <n v="32555373"/>
    <m/>
    <x v="45"/>
    <m/>
    <m/>
    <m/>
    <s v="CREDITO"/>
    <n v="20000"/>
    <n v="0"/>
    <n v="25000"/>
    <n v="0"/>
    <n v="25000"/>
    <m/>
    <m/>
    <m/>
    <m/>
    <m/>
    <m/>
    <m/>
    <n v="70000"/>
    <n v="0.17499999999999999"/>
    <n v="3"/>
    <n v="1"/>
  </r>
  <r>
    <n v="299"/>
    <s v="ESTEFANI PAOLA MORA"/>
    <n v="1143849172"/>
    <n v="3182304776"/>
    <x v="48"/>
    <m/>
    <m/>
    <m/>
    <s v="CREDITO"/>
    <n v="400000"/>
    <n v="400000"/>
    <n v="400000"/>
    <n v="0"/>
    <n v="0"/>
    <m/>
    <m/>
    <m/>
    <m/>
    <m/>
    <m/>
    <m/>
    <n v="1200000"/>
    <n v="3"/>
    <n v="3"/>
    <n v="3"/>
  </r>
  <r>
    <n v="300"/>
    <s v="EDWARD STIVINSON MURILLO"/>
    <n v="1003932454"/>
    <n v="3146181227"/>
    <x v="2"/>
    <m/>
    <m/>
    <m/>
    <s v="CREDITO"/>
    <n v="400000"/>
    <n v="0"/>
    <n v="0"/>
    <n v="0"/>
    <n v="0"/>
    <m/>
    <m/>
    <m/>
    <m/>
    <m/>
    <m/>
    <m/>
    <n v="400000"/>
    <n v="1"/>
    <n v="1"/>
    <n v="1"/>
  </r>
  <r>
    <n v="301"/>
    <s v="SANTIAGO LAVERDE"/>
    <n v="1006365217"/>
    <m/>
    <x v="1"/>
    <m/>
    <m/>
    <m/>
    <s v="CREDITO"/>
    <n v="0"/>
    <n v="400000"/>
    <n v="0"/>
    <n v="0"/>
    <n v="0"/>
    <m/>
    <m/>
    <m/>
    <m/>
    <m/>
    <m/>
    <m/>
    <n v="400000"/>
    <n v="1"/>
    <n v="1"/>
    <n v="1"/>
  </r>
  <r>
    <n v="302"/>
    <s v="JORGE DAVID ACOSTA"/>
    <n v="1017157887"/>
    <n v="3205977157"/>
    <x v="10"/>
    <m/>
    <m/>
    <m/>
    <s v="CREDITO"/>
    <n v="0"/>
    <n v="400000"/>
    <n v="400000"/>
    <n v="0"/>
    <n v="0"/>
    <m/>
    <m/>
    <m/>
    <m/>
    <m/>
    <m/>
    <m/>
    <n v="800000"/>
    <n v="2"/>
    <n v="2"/>
    <n v="2"/>
  </r>
  <r>
    <n v="303"/>
    <s v="CLAUDIA PATRICIA ZAPATA"/>
    <n v="43679785"/>
    <n v="3146218974"/>
    <x v="0"/>
    <m/>
    <m/>
    <m/>
    <s v="CREDITO"/>
    <n v="0"/>
    <n v="800000"/>
    <n v="400000"/>
    <n v="0"/>
    <n v="400000"/>
    <m/>
    <m/>
    <m/>
    <m/>
    <m/>
    <m/>
    <m/>
    <n v="1600000"/>
    <n v="4"/>
    <n v="3"/>
    <n v="4"/>
  </r>
  <r>
    <n v="304"/>
    <s v="JHON FERNANDO RENTERIA"/>
    <n v="11811323"/>
    <n v="3202786408"/>
    <x v="67"/>
    <m/>
    <m/>
    <m/>
    <s v="CREDITO"/>
    <n v="0"/>
    <n v="200000"/>
    <n v="200000"/>
    <n v="400000"/>
    <n v="0"/>
    <m/>
    <m/>
    <m/>
    <m/>
    <m/>
    <m/>
    <m/>
    <n v="800000"/>
    <n v="2"/>
    <n v="3"/>
    <n v="2"/>
  </r>
  <r>
    <n v="305"/>
    <s v="IG. EN PAMPLONA"/>
    <m/>
    <m/>
    <x v="8"/>
    <m/>
    <m/>
    <m/>
    <s v="CREDITO"/>
    <n v="0"/>
    <n v="805000"/>
    <n v="660000"/>
    <n v="820000"/>
    <n v="640000"/>
    <m/>
    <m/>
    <m/>
    <m/>
    <m/>
    <m/>
    <m/>
    <n v="2925000"/>
    <n v="7.3125"/>
    <n v="4"/>
    <n v="8"/>
  </r>
  <r>
    <n v="306"/>
    <s v="EIFER GALVIS"/>
    <m/>
    <s v="304 2034929"/>
    <x v="68"/>
    <m/>
    <m/>
    <s v="BCOL AHO"/>
    <s v="CREDITO"/>
    <n v="0"/>
    <n v="400000"/>
    <n v="400000"/>
    <n v="400000"/>
    <n v="0"/>
    <m/>
    <m/>
    <m/>
    <m/>
    <m/>
    <m/>
    <m/>
    <n v="1200000"/>
    <n v="3"/>
    <n v="3"/>
    <n v="3"/>
  </r>
  <r>
    <n v="307"/>
    <s v="MILEYDY GALVIS"/>
    <m/>
    <s v="322 3783219"/>
    <x v="68"/>
    <m/>
    <m/>
    <s v="BCOL AHO"/>
    <s v="CREDITO"/>
    <n v="0"/>
    <n v="400000"/>
    <n v="400000"/>
    <n v="400000"/>
    <n v="0"/>
    <m/>
    <m/>
    <m/>
    <m/>
    <m/>
    <m/>
    <m/>
    <n v="1200000"/>
    <n v="3"/>
    <n v="3"/>
    <n v="3"/>
  </r>
  <r>
    <n v="308"/>
    <s v="MIGUEL KALETH MONTERO"/>
    <m/>
    <m/>
    <x v="31"/>
    <m/>
    <m/>
    <m/>
    <s v="CREDITO"/>
    <n v="0"/>
    <n v="100000"/>
    <n v="0"/>
    <n v="0"/>
    <n v="0"/>
    <m/>
    <m/>
    <m/>
    <m/>
    <m/>
    <m/>
    <m/>
    <n v="100000"/>
    <n v="0.25"/>
    <n v="1"/>
    <n v="1"/>
  </r>
  <r>
    <n v="309"/>
    <s v="MARIA ALEJANDRA LEALO"/>
    <m/>
    <m/>
    <x v="2"/>
    <m/>
    <m/>
    <m/>
    <s v="CREDITO"/>
    <n v="0"/>
    <n v="4800000"/>
    <n v="0"/>
    <n v="0"/>
    <n v="0"/>
    <m/>
    <m/>
    <m/>
    <m/>
    <m/>
    <m/>
    <m/>
    <n v="4800000"/>
    <n v="12"/>
    <n v="1"/>
    <n v="12"/>
  </r>
  <r>
    <n v="310"/>
    <s v="SANDRA MEDINA"/>
    <m/>
    <m/>
    <x v="5"/>
    <m/>
    <m/>
    <m/>
    <s v="CREDITO"/>
    <n v="0"/>
    <n v="400000"/>
    <n v="0"/>
    <n v="400000"/>
    <n v="0"/>
    <m/>
    <m/>
    <m/>
    <m/>
    <m/>
    <m/>
    <m/>
    <n v="800000"/>
    <n v="2"/>
    <n v="2"/>
    <n v="2"/>
  </r>
  <r>
    <n v="311"/>
    <s v="DEISY CARVAJAL"/>
    <m/>
    <m/>
    <x v="7"/>
    <m/>
    <m/>
    <m/>
    <s v="CREDITO"/>
    <n v="0"/>
    <n v="400000"/>
    <n v="0"/>
    <n v="0"/>
    <n v="0"/>
    <m/>
    <m/>
    <m/>
    <m/>
    <m/>
    <m/>
    <m/>
    <n v="400000"/>
    <n v="1"/>
    <n v="1"/>
    <n v="1"/>
  </r>
  <r>
    <n v="312"/>
    <s v="ANDRES FELIPE SANTIAGO CARVAJALINO"/>
    <n v="1092730946"/>
    <n v="3112956743"/>
    <x v="9"/>
    <m/>
    <m/>
    <m/>
    <s v="CREDITO"/>
    <n v="0"/>
    <n v="400000"/>
    <n v="0"/>
    <n v="0"/>
    <n v="0"/>
    <m/>
    <m/>
    <m/>
    <m/>
    <m/>
    <m/>
    <m/>
    <n v="400000"/>
    <n v="1"/>
    <n v="1"/>
    <n v="1"/>
  </r>
  <r>
    <n v="313"/>
    <s v="ANTONIO ALZATE"/>
    <m/>
    <m/>
    <x v="0"/>
    <m/>
    <m/>
    <m/>
    <s v="CREDITO"/>
    <n v="0"/>
    <n v="100000"/>
    <n v="0"/>
    <n v="0"/>
    <n v="0"/>
    <m/>
    <m/>
    <m/>
    <m/>
    <m/>
    <m/>
    <m/>
    <n v="100000"/>
    <n v="0.25"/>
    <n v="1"/>
    <n v="1"/>
  </r>
  <r>
    <n v="314"/>
    <s v="EDISON RUIZ"/>
    <m/>
    <m/>
    <x v="0"/>
    <m/>
    <m/>
    <m/>
    <s v="CREDITO"/>
    <n v="0"/>
    <n v="100000"/>
    <n v="0"/>
    <n v="0"/>
    <n v="0"/>
    <m/>
    <m/>
    <m/>
    <m/>
    <m/>
    <m/>
    <m/>
    <n v="100000"/>
    <n v="0.25"/>
    <n v="1"/>
    <n v="1"/>
  </r>
  <r>
    <n v="315"/>
    <s v="AMPARO SOSA"/>
    <m/>
    <m/>
    <x v="0"/>
    <m/>
    <m/>
    <m/>
    <s v="CREDITO"/>
    <n v="0"/>
    <n v="100000"/>
    <n v="0"/>
    <n v="0"/>
    <n v="0"/>
    <m/>
    <m/>
    <m/>
    <m/>
    <m/>
    <m/>
    <m/>
    <n v="100000"/>
    <n v="0.25"/>
    <n v="1"/>
    <n v="1"/>
  </r>
  <r>
    <n v="316"/>
    <s v="HECTOSR CORREA"/>
    <n v="1036943880"/>
    <n v="3218969540"/>
    <x v="61"/>
    <m/>
    <m/>
    <m/>
    <s v="CREDITO"/>
    <n v="0"/>
    <n v="400000"/>
    <n v="0"/>
    <n v="400000"/>
    <n v="0"/>
    <m/>
    <m/>
    <m/>
    <m/>
    <m/>
    <m/>
    <m/>
    <n v="800000"/>
    <n v="2"/>
    <n v="2"/>
    <n v="2"/>
  </r>
  <r>
    <n v="317"/>
    <s v="IG. EN ENVIGADO"/>
    <m/>
    <m/>
    <x v="11"/>
    <m/>
    <m/>
    <m/>
    <s v="CREDITO"/>
    <n v="0"/>
    <n v="800000"/>
    <n v="800000"/>
    <n v="0"/>
    <n v="0"/>
    <m/>
    <m/>
    <m/>
    <m/>
    <m/>
    <m/>
    <m/>
    <n v="1600000"/>
    <n v="4"/>
    <n v="2"/>
    <n v="4"/>
  </r>
  <r>
    <n v="318"/>
    <s v="MARIA DE LOS ANGELES MORALES"/>
    <n v="1075304981"/>
    <m/>
    <x v="22"/>
    <m/>
    <m/>
    <m/>
    <s v="CREDITO"/>
    <n v="0"/>
    <n v="0"/>
    <n v="400000"/>
    <n v="0"/>
    <n v="400000"/>
    <m/>
    <m/>
    <m/>
    <m/>
    <m/>
    <m/>
    <m/>
    <n v="800000"/>
    <n v="2"/>
    <n v="2"/>
    <n v="2"/>
  </r>
  <r>
    <n v="319"/>
    <s v="ALBA DE MARTINEZ"/>
    <m/>
    <m/>
    <x v="2"/>
    <m/>
    <m/>
    <m/>
    <s v="CREDITO"/>
    <n v="0"/>
    <n v="0"/>
    <n v="400000"/>
    <n v="400000"/>
    <n v="0"/>
    <m/>
    <m/>
    <m/>
    <m/>
    <m/>
    <m/>
    <m/>
    <n v="800000"/>
    <n v="2"/>
    <n v="2"/>
    <n v="2"/>
  </r>
  <r>
    <n v="320"/>
    <s v="EVELIA RODRIGUEZ"/>
    <m/>
    <m/>
    <x v="43"/>
    <m/>
    <m/>
    <m/>
    <s v="CREDITO"/>
    <n v="0"/>
    <n v="0"/>
    <n v="600000"/>
    <n v="0"/>
    <n v="0"/>
    <m/>
    <m/>
    <m/>
    <m/>
    <m/>
    <m/>
    <m/>
    <n v="600000"/>
    <n v="1.5"/>
    <n v="1"/>
    <n v="2"/>
  </r>
  <r>
    <n v="321"/>
    <s v="DAVID ALEJANDRO CONTRERAS"/>
    <m/>
    <m/>
    <x v="3"/>
    <m/>
    <m/>
    <m/>
    <s v="CREDITO"/>
    <n v="0"/>
    <n v="400000"/>
    <n v="0"/>
    <n v="0"/>
    <n v="0"/>
    <m/>
    <m/>
    <m/>
    <m/>
    <m/>
    <m/>
    <m/>
    <n v="400000"/>
    <n v="1"/>
    <n v="1"/>
    <n v="1"/>
  </r>
  <r>
    <n v="322"/>
    <s v="JUAN LLANO"/>
    <n v="43868812"/>
    <n v="3148927758"/>
    <x v="0"/>
    <m/>
    <m/>
    <m/>
    <s v="CREDITO"/>
    <n v="0"/>
    <n v="0"/>
    <n v="400000"/>
    <n v="400000"/>
    <n v="0"/>
    <m/>
    <m/>
    <m/>
    <m/>
    <m/>
    <m/>
    <m/>
    <n v="800000"/>
    <n v="2"/>
    <n v="2"/>
    <n v="2"/>
  </r>
  <r>
    <n v="323"/>
    <s v="JORGE PIRAGUA"/>
    <n v="19308428"/>
    <n v="3113742824"/>
    <x v="23"/>
    <m/>
    <m/>
    <m/>
    <s v="CREDITO"/>
    <n v="0"/>
    <n v="0"/>
    <n v="0"/>
    <n v="400000"/>
    <n v="400000"/>
    <m/>
    <m/>
    <m/>
    <m/>
    <m/>
    <m/>
    <m/>
    <n v="800000"/>
    <n v="2"/>
    <n v="2"/>
    <n v="2"/>
  </r>
  <r>
    <n v="324"/>
    <s v="CLEMENCIA CADAVID"/>
    <n v="32491394"/>
    <n v="3147816504"/>
    <x v="0"/>
    <m/>
    <m/>
    <m/>
    <s v="CREDITO"/>
    <n v="0"/>
    <n v="0"/>
    <n v="0"/>
    <n v="400000"/>
    <n v="0"/>
    <m/>
    <m/>
    <m/>
    <m/>
    <m/>
    <m/>
    <m/>
    <n v="400000"/>
    <n v="1"/>
    <n v="1"/>
    <n v="1"/>
  </r>
  <r>
    <n v="325"/>
    <s v="FAMILIA DE LA TORRE"/>
    <n v="72268623"/>
    <m/>
    <x v="41"/>
    <m/>
    <m/>
    <m/>
    <s v="CREDITO"/>
    <n v="0"/>
    <n v="0"/>
    <n v="0"/>
    <n v="400000"/>
    <n v="0"/>
    <m/>
    <m/>
    <m/>
    <m/>
    <m/>
    <m/>
    <m/>
    <n v="400000"/>
    <n v="1"/>
    <n v="1"/>
    <n v="1"/>
  </r>
  <r>
    <n v="326"/>
    <s v="JOSE MARTINEZ"/>
    <n v="72309365"/>
    <m/>
    <x v="41"/>
    <m/>
    <m/>
    <m/>
    <s v="CREDITO"/>
    <n v="0"/>
    <n v="0"/>
    <n v="0"/>
    <n v="400000"/>
    <n v="0"/>
    <m/>
    <m/>
    <m/>
    <m/>
    <m/>
    <m/>
    <m/>
    <n v="400000"/>
    <n v="1"/>
    <n v="1"/>
    <n v="1"/>
  </r>
  <r>
    <n v="327"/>
    <s v="OFRE CUETO"/>
    <n v="32686445"/>
    <m/>
    <x v="41"/>
    <m/>
    <m/>
    <m/>
    <s v="CREDITO"/>
    <n v="0"/>
    <n v="0"/>
    <n v="0"/>
    <n v="100000"/>
    <n v="0"/>
    <m/>
    <m/>
    <m/>
    <m/>
    <m/>
    <m/>
    <m/>
    <n v="100000"/>
    <n v="0.25"/>
    <n v="1"/>
    <n v="1"/>
  </r>
  <r>
    <n v="328"/>
    <s v="ORLANDO RODRIGUEZ"/>
    <n v="72309256"/>
    <m/>
    <x v="41"/>
    <m/>
    <m/>
    <m/>
    <s v="CREDITO"/>
    <n v="0"/>
    <n v="0"/>
    <n v="0"/>
    <n v="60000"/>
    <n v="0"/>
    <m/>
    <m/>
    <m/>
    <m/>
    <m/>
    <m/>
    <m/>
    <n v="60000"/>
    <n v="0.15"/>
    <n v="1"/>
    <n v="1"/>
  </r>
  <r>
    <n v="329"/>
    <s v="MERY ANN CIRO CAMPO"/>
    <n v="1044427553"/>
    <m/>
    <x v="41"/>
    <m/>
    <m/>
    <m/>
    <s v="CREDITO"/>
    <n v="0"/>
    <n v="0"/>
    <n v="0"/>
    <n v="75000"/>
    <n v="0"/>
    <m/>
    <m/>
    <m/>
    <m/>
    <m/>
    <m/>
    <m/>
    <n v="75000"/>
    <n v="0.1875"/>
    <n v="1"/>
    <n v="1"/>
  </r>
  <r>
    <n v="330"/>
    <s v="NURIA PEREZ"/>
    <n v="26030830"/>
    <n v="4148690455"/>
    <x v="2"/>
    <m/>
    <m/>
    <m/>
    <m/>
    <n v="0"/>
    <n v="0"/>
    <n v="0"/>
    <n v="400000"/>
    <n v="0"/>
    <m/>
    <m/>
    <m/>
    <m/>
    <m/>
    <m/>
    <m/>
    <n v="400000"/>
    <n v="1"/>
    <n v="1"/>
    <n v="1"/>
  </r>
  <r>
    <n v="331"/>
    <s v="JOSE GEOVANI MEDINA"/>
    <n v="88269622"/>
    <n v="3135768027"/>
    <x v="1"/>
    <m/>
    <m/>
    <m/>
    <m/>
    <n v="0"/>
    <n v="0"/>
    <n v="0"/>
    <n v="400000"/>
    <n v="400000"/>
    <m/>
    <m/>
    <m/>
    <m/>
    <m/>
    <m/>
    <m/>
    <n v="800000"/>
    <n v="2"/>
    <n v="2"/>
    <n v="2"/>
  </r>
  <r>
    <n v="332"/>
    <s v="IG. EN TUBARA"/>
    <m/>
    <m/>
    <x v="69"/>
    <m/>
    <m/>
    <m/>
    <m/>
    <n v="0"/>
    <n v="0"/>
    <n v="0"/>
    <n v="150000"/>
    <n v="0"/>
    <m/>
    <m/>
    <m/>
    <m/>
    <m/>
    <m/>
    <m/>
    <n v="150000"/>
    <n v="0.375"/>
    <n v="1"/>
    <n v="1"/>
  </r>
  <r>
    <n v="333"/>
    <s v="PATRICIA ALVERNIA BAUTISTA"/>
    <n v="27705490"/>
    <n v="3133240741"/>
    <x v="9"/>
    <m/>
    <m/>
    <m/>
    <m/>
    <n v="0"/>
    <n v="0"/>
    <n v="0"/>
    <n v="800000"/>
    <n v="0"/>
    <m/>
    <m/>
    <m/>
    <m/>
    <m/>
    <m/>
    <m/>
    <n v="800000"/>
    <n v="2"/>
    <n v="1"/>
    <n v="2"/>
  </r>
  <r>
    <n v="334"/>
    <s v="GUILLERMO MARTINEZ MERCADO"/>
    <n v="72193575"/>
    <m/>
    <x v="48"/>
    <m/>
    <m/>
    <m/>
    <m/>
    <n v="0"/>
    <n v="0"/>
    <n v="0"/>
    <n v="400000"/>
    <n v="0"/>
    <m/>
    <m/>
    <m/>
    <m/>
    <m/>
    <m/>
    <m/>
    <n v="400000"/>
    <n v="1"/>
    <n v="1"/>
    <n v="1"/>
  </r>
  <r>
    <n v="335"/>
    <s v="ANLY LORENA SUAREZ"/>
    <n v="1144057934"/>
    <n v="3106434849"/>
    <x v="2"/>
    <m/>
    <m/>
    <m/>
    <m/>
    <n v="0"/>
    <n v="0"/>
    <n v="0"/>
    <n v="400000"/>
    <n v="0"/>
    <m/>
    <m/>
    <m/>
    <m/>
    <m/>
    <m/>
    <m/>
    <n v="400000"/>
    <n v="1"/>
    <n v="1"/>
    <n v="1"/>
  </r>
  <r>
    <n v="336"/>
    <s v="WILLIAM NARANJO"/>
    <n v="16784811"/>
    <n v="3232388033"/>
    <x v="70"/>
    <m/>
    <m/>
    <m/>
    <m/>
    <n v="0"/>
    <n v="0"/>
    <n v="0"/>
    <n v="400000"/>
    <n v="0"/>
    <m/>
    <m/>
    <m/>
    <m/>
    <m/>
    <m/>
    <m/>
    <n v="400000"/>
    <n v="1"/>
    <n v="1"/>
    <n v="1"/>
  </r>
  <r>
    <n v="337"/>
    <s v="MARIA NORA AGRONO"/>
    <n v="34500768"/>
    <n v="3136589048"/>
    <x v="71"/>
    <m/>
    <m/>
    <m/>
    <m/>
    <n v="0"/>
    <n v="0"/>
    <n v="0"/>
    <n v="100000"/>
    <n v="0"/>
    <m/>
    <m/>
    <m/>
    <m/>
    <m/>
    <m/>
    <m/>
    <n v="100000"/>
    <n v="0.25"/>
    <n v="1"/>
    <n v="1"/>
  </r>
  <r>
    <n v="338"/>
    <s v="MERY EDUVIGES CAMPO CABALLERO"/>
    <n v="22579381"/>
    <n v="3006140088"/>
    <x v="41"/>
    <m/>
    <m/>
    <m/>
    <m/>
    <n v="0"/>
    <n v="0"/>
    <n v="0"/>
    <n v="400000"/>
    <n v="0"/>
    <m/>
    <m/>
    <m/>
    <m/>
    <m/>
    <m/>
    <m/>
    <n v="400000"/>
    <n v="1"/>
    <n v="1"/>
    <n v="1"/>
  </r>
  <r>
    <n v="339"/>
    <s v="ELIZABETH TRUJILLO"/>
    <m/>
    <m/>
    <x v="1"/>
    <m/>
    <m/>
    <m/>
    <m/>
    <n v="0"/>
    <n v="0"/>
    <n v="0"/>
    <n v="400000"/>
    <n v="0"/>
    <m/>
    <m/>
    <m/>
    <m/>
    <m/>
    <m/>
    <m/>
    <n v="400000"/>
    <n v="1"/>
    <n v="1"/>
    <n v="1"/>
  </r>
  <r>
    <n v="340"/>
    <s v="JERRY HERRERA CASSIANI"/>
    <m/>
    <m/>
    <x v="11"/>
    <m/>
    <m/>
    <m/>
    <m/>
    <n v="0"/>
    <n v="0"/>
    <n v="0"/>
    <n v="200000"/>
    <n v="0"/>
    <m/>
    <m/>
    <m/>
    <m/>
    <m/>
    <m/>
    <m/>
    <n v="200000"/>
    <n v="0.5"/>
    <n v="1"/>
    <n v="1"/>
  </r>
  <r>
    <n v="341"/>
    <s v="HECTOR JULIAN LOPEZ"/>
    <n v="10017038"/>
    <n v="3154427396"/>
    <x v="23"/>
    <m/>
    <m/>
    <m/>
    <m/>
    <n v="0"/>
    <n v="0"/>
    <n v="0"/>
    <n v="0"/>
    <n v="400000"/>
    <m/>
    <m/>
    <m/>
    <m/>
    <m/>
    <m/>
    <m/>
    <n v="400000"/>
    <n v="1"/>
    <n v="1"/>
    <n v="1"/>
  </r>
  <r>
    <n v="342"/>
    <s v="HECTOR OSWALDO CAMARGO"/>
    <n v="13873577"/>
    <n v="3184381905"/>
    <x v="14"/>
    <m/>
    <m/>
    <m/>
    <m/>
    <n v="0"/>
    <n v="0"/>
    <n v="0"/>
    <n v="0"/>
    <n v="400000"/>
    <m/>
    <m/>
    <m/>
    <m/>
    <m/>
    <m/>
    <m/>
    <n v="400000"/>
    <n v="1"/>
    <n v="1"/>
    <n v="1"/>
  </r>
  <r>
    <n v="343"/>
    <s v="OSCAR MACHUCA"/>
    <n v="13520281"/>
    <m/>
    <x v="22"/>
    <m/>
    <m/>
    <m/>
    <m/>
    <n v="0"/>
    <n v="0"/>
    <n v="0"/>
    <n v="0"/>
    <n v="1600000"/>
    <m/>
    <m/>
    <m/>
    <m/>
    <m/>
    <m/>
    <m/>
    <n v="1600000"/>
    <n v="4"/>
    <n v="1"/>
    <n v="4"/>
  </r>
  <r>
    <n v="344"/>
    <s v="CRISTIAN BRAVO"/>
    <n v="1010132168"/>
    <n v="3162491954"/>
    <x v="46"/>
    <m/>
    <m/>
    <m/>
    <m/>
    <n v="0"/>
    <n v="0"/>
    <n v="0"/>
    <n v="0"/>
    <n v="400000"/>
    <m/>
    <m/>
    <m/>
    <m/>
    <m/>
    <m/>
    <m/>
    <n v="400000"/>
    <n v="1"/>
    <n v="1"/>
    <n v="1"/>
  </r>
  <r>
    <n v="345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46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47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48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49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0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1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2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3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4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5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6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7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8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59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60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61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  <r>
    <n v="362"/>
    <m/>
    <m/>
    <m/>
    <x v="1"/>
    <m/>
    <m/>
    <m/>
    <m/>
    <n v="0"/>
    <n v="0"/>
    <n v="0"/>
    <n v="0"/>
    <n v="0"/>
    <m/>
    <m/>
    <m/>
    <m/>
    <m/>
    <m/>
    <m/>
    <n v="0"/>
    <n v="0"/>
    <n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s v="OFRENDA JORGE LUIS BARRIOS "/>
    <m/>
    <m/>
    <m/>
    <m/>
    <m/>
    <m/>
    <s v="DEBITO"/>
    <m/>
    <m/>
    <m/>
    <m/>
    <m/>
    <m/>
    <m/>
    <m/>
    <m/>
    <m/>
    <m/>
    <m/>
  </r>
  <r>
    <x v="1"/>
    <s v="DEUDA COLPORTAJE "/>
    <m/>
    <m/>
    <m/>
    <m/>
    <m/>
    <m/>
    <s v="DEBITO"/>
    <n v="-6498740"/>
    <m/>
    <m/>
    <m/>
    <m/>
    <m/>
    <m/>
    <m/>
    <m/>
    <m/>
    <m/>
    <m/>
  </r>
  <r>
    <x v="2"/>
    <s v="APOYO CASA PAC "/>
    <m/>
    <m/>
    <m/>
    <m/>
    <n v="-12000000"/>
    <m/>
    <s v="DEBITO"/>
    <m/>
    <m/>
    <m/>
    <m/>
    <m/>
    <m/>
    <m/>
    <m/>
    <m/>
    <m/>
    <m/>
    <m/>
  </r>
  <r>
    <x v="2"/>
    <s v="APOYO CASA PAC "/>
    <m/>
    <m/>
    <m/>
    <m/>
    <n v="-5231807"/>
    <s v="BCOL AHO"/>
    <s v="DEBITO"/>
    <m/>
    <m/>
    <m/>
    <m/>
    <m/>
    <m/>
    <m/>
    <m/>
    <m/>
    <m/>
    <m/>
    <m/>
  </r>
  <r>
    <x v="2"/>
    <s v="APOYO CASA PAC "/>
    <m/>
    <m/>
    <m/>
    <m/>
    <n v="-3500000"/>
    <s v="BCOL ALHO"/>
    <s v="DEBITO"/>
    <m/>
    <m/>
    <m/>
    <m/>
    <m/>
    <m/>
    <m/>
    <m/>
    <m/>
    <m/>
    <m/>
    <m/>
  </r>
  <r>
    <x v="3"/>
    <s v="APOYO CEPPEV "/>
    <m/>
    <m/>
    <m/>
    <m/>
    <n v="0"/>
    <s v="BCOL AHO"/>
    <s v="DEBITO"/>
    <m/>
    <m/>
    <m/>
    <m/>
    <m/>
    <m/>
    <m/>
    <m/>
    <m/>
    <m/>
    <m/>
    <m/>
  </r>
  <r>
    <x v="4"/>
    <s v="APOYO HNOS. EN BRASIL"/>
    <m/>
    <m/>
    <m/>
    <m/>
    <n v="-20000000"/>
    <s v="BCOL AHO"/>
    <s v="DEBITO"/>
    <m/>
    <m/>
    <m/>
    <m/>
    <m/>
    <m/>
    <m/>
    <m/>
    <m/>
    <m/>
    <m/>
    <m/>
  </r>
  <r>
    <x v="2"/>
    <s v="APOYO PERU PAC "/>
    <m/>
    <m/>
    <m/>
    <m/>
    <m/>
    <m/>
    <s v="DEBITO"/>
    <m/>
    <m/>
    <m/>
    <m/>
    <m/>
    <m/>
    <m/>
    <m/>
    <m/>
    <m/>
    <m/>
    <m/>
  </r>
  <r>
    <x v="2"/>
    <s v="ARRIENDO CASA PAC "/>
    <m/>
    <m/>
    <m/>
    <m/>
    <n v="0"/>
    <s v="BCOL CTE"/>
    <s v="DEBITO"/>
    <m/>
    <m/>
    <m/>
    <m/>
    <m/>
    <m/>
    <m/>
    <m/>
    <m/>
    <m/>
    <m/>
    <m/>
  </r>
  <r>
    <x v="2"/>
    <s v="ARRIENDO CASA PAC "/>
    <m/>
    <m/>
    <m/>
    <m/>
    <n v="0"/>
    <m/>
    <s v="DEBITO"/>
    <m/>
    <m/>
    <m/>
    <m/>
    <m/>
    <m/>
    <m/>
    <m/>
    <m/>
    <m/>
    <m/>
    <m/>
  </r>
  <r>
    <x v="5"/>
    <s v="COMPRA CELULAR"/>
    <m/>
    <m/>
    <m/>
    <m/>
    <n v="-6700000"/>
    <s v="BCOL AHO"/>
    <s v="DEBITO"/>
    <m/>
    <m/>
    <m/>
    <m/>
    <m/>
    <m/>
    <m/>
    <m/>
    <m/>
    <m/>
    <m/>
    <m/>
  </r>
  <r>
    <x v="6"/>
    <s v="ENTREGA RESERVA PEDRO DONG "/>
    <m/>
    <m/>
    <m/>
    <m/>
    <m/>
    <m/>
    <s v="DEBITO"/>
    <m/>
    <m/>
    <m/>
    <m/>
    <m/>
    <m/>
    <m/>
    <m/>
    <m/>
    <m/>
    <m/>
    <m/>
  </r>
  <r>
    <x v="7"/>
    <s v="ENVIO EAV"/>
    <m/>
    <m/>
    <m/>
    <m/>
    <n v="-12300000"/>
    <m/>
    <s v="DEBITO"/>
    <m/>
    <m/>
    <m/>
    <m/>
    <m/>
    <m/>
    <m/>
    <m/>
    <m/>
    <m/>
    <m/>
    <m/>
  </r>
  <r>
    <x v="8"/>
    <s v="OBRA COSTA RICA "/>
    <m/>
    <m/>
    <m/>
    <m/>
    <m/>
    <m/>
    <s v="DEBITO"/>
    <m/>
    <m/>
    <m/>
    <m/>
    <m/>
    <m/>
    <m/>
    <m/>
    <m/>
    <m/>
    <m/>
    <m/>
  </r>
  <r>
    <x v="0"/>
    <s v="OFRENDA A JONES COSTA"/>
    <m/>
    <m/>
    <m/>
    <m/>
    <n v="-400000"/>
    <s v="BCOL AHO"/>
    <s v="DEBITO"/>
    <m/>
    <m/>
    <m/>
    <m/>
    <m/>
    <m/>
    <m/>
    <m/>
    <m/>
    <m/>
    <m/>
    <m/>
  </r>
  <r>
    <x v="2"/>
    <s v="PAGO DEUDA ARRIENDO PAC "/>
    <m/>
    <m/>
    <m/>
    <m/>
    <n v="0"/>
    <s v="BCOL AHO"/>
    <s v="DEBITO"/>
    <m/>
    <m/>
    <m/>
    <m/>
    <m/>
    <m/>
    <m/>
    <m/>
    <m/>
    <m/>
    <m/>
    <m/>
  </r>
  <r>
    <x v="9"/>
    <s v="VIATICOS CUBA "/>
    <m/>
    <m/>
    <m/>
    <m/>
    <m/>
    <s v="BCOL AHO"/>
    <s v="DEBITO"/>
    <m/>
    <m/>
    <m/>
    <m/>
    <m/>
    <m/>
    <m/>
    <m/>
    <m/>
    <m/>
    <m/>
    <m/>
  </r>
  <r>
    <x v="0"/>
    <s v="VIATICOS EUROPA DAVID MAESTRE"/>
    <m/>
    <m/>
    <m/>
    <m/>
    <n v="-6413915"/>
    <m/>
    <s v="DEBITO"/>
    <m/>
    <m/>
    <m/>
    <m/>
    <m/>
    <m/>
    <m/>
    <m/>
    <m/>
    <m/>
    <m/>
    <m/>
  </r>
  <r>
    <x v="0"/>
    <s v="VIATICOS JONES "/>
    <m/>
    <m/>
    <m/>
    <m/>
    <n v="0"/>
    <s v="EFECTIVO"/>
    <s v="DEBITO"/>
    <m/>
    <m/>
    <m/>
    <m/>
    <m/>
    <m/>
    <m/>
    <m/>
    <m/>
    <m/>
    <m/>
    <m/>
  </r>
  <r>
    <x v="7"/>
    <s v="VIATICOS EAV DE RESERVA PEDRO D"/>
    <m/>
    <m/>
    <m/>
    <m/>
    <m/>
    <s v="BCOL AHO"/>
    <s v="DEBITO"/>
    <m/>
    <m/>
    <m/>
    <m/>
    <m/>
    <m/>
    <m/>
    <m/>
    <m/>
    <m/>
    <m/>
    <m/>
  </r>
  <r>
    <x v="10"/>
    <s v="GASTOS IVPT"/>
    <m/>
    <m/>
    <m/>
    <m/>
    <n v="0"/>
    <s v="BCOL AHO"/>
    <s v="DEBITO"/>
    <m/>
    <m/>
    <m/>
    <m/>
    <m/>
    <m/>
    <m/>
    <m/>
    <m/>
    <m/>
    <m/>
    <m/>
  </r>
  <r>
    <x v="11"/>
    <s v="ENTREGA A DAVID MAESTRE PANAMA"/>
    <m/>
    <m/>
    <m/>
    <m/>
    <m/>
    <m/>
    <s v="DEBITO"/>
    <m/>
    <m/>
    <m/>
    <m/>
    <m/>
    <m/>
    <m/>
    <m/>
    <m/>
    <m/>
    <m/>
    <m/>
  </r>
  <r>
    <x v="12"/>
    <s v="ENTREGA A DAVID M RESERVA PEDRO"/>
    <m/>
    <m/>
    <m/>
    <m/>
    <m/>
    <m/>
    <s v="DEBITO"/>
    <m/>
    <m/>
    <m/>
    <m/>
    <m/>
    <m/>
    <m/>
    <m/>
    <m/>
    <m/>
    <m/>
    <m/>
  </r>
  <r>
    <x v="3"/>
    <s v="APOYO CENA CEPPEV"/>
    <m/>
    <m/>
    <m/>
    <m/>
    <m/>
    <m/>
    <s v="DEBITO"/>
    <m/>
    <m/>
    <m/>
    <m/>
    <m/>
    <m/>
    <m/>
    <m/>
    <m/>
    <m/>
    <m/>
    <m/>
  </r>
  <r>
    <x v="6"/>
    <s v="ENTREGA RESERVA PEDRO DONG "/>
    <m/>
    <m/>
    <m/>
    <m/>
    <m/>
    <m/>
    <s v="DEBITO"/>
    <m/>
    <m/>
    <m/>
    <m/>
    <m/>
    <m/>
    <m/>
    <m/>
    <m/>
    <m/>
    <m/>
    <m/>
  </r>
  <r>
    <x v="11"/>
    <s v="APOYO PAC PANAMA"/>
    <m/>
    <m/>
    <m/>
    <m/>
    <m/>
    <m/>
    <s v="DEBITO"/>
    <m/>
    <m/>
    <m/>
    <m/>
    <m/>
    <m/>
    <m/>
    <m/>
    <m/>
    <m/>
    <m/>
    <m/>
  </r>
  <r>
    <x v="12"/>
    <s v="ENTREGA DAVID MIRANDA RESERVA PD"/>
    <m/>
    <m/>
    <m/>
    <m/>
    <m/>
    <m/>
    <s v="DEBITO"/>
    <m/>
    <m/>
    <m/>
    <m/>
    <m/>
    <m/>
    <m/>
    <m/>
    <m/>
    <m/>
    <m/>
    <m/>
  </r>
  <r>
    <x v="12"/>
    <s v="ENTREGA DAVID MIRANDA RESERVA PD"/>
    <m/>
    <m/>
    <m/>
    <m/>
    <m/>
    <m/>
    <s v="DEBITO"/>
    <m/>
    <m/>
    <m/>
    <m/>
    <m/>
    <m/>
    <m/>
    <m/>
    <m/>
    <m/>
    <m/>
    <m/>
  </r>
  <r>
    <x v="11"/>
    <s v="APOYO PAC PANAMA"/>
    <m/>
    <m/>
    <m/>
    <m/>
    <m/>
    <m/>
    <s v="DEBITO"/>
    <m/>
    <m/>
    <m/>
    <m/>
    <m/>
    <m/>
    <m/>
    <m/>
    <m/>
    <m/>
    <m/>
    <m/>
  </r>
  <r>
    <x v="6"/>
    <s v="ENTREGA RESERVA PEDRO DONG "/>
    <m/>
    <m/>
    <m/>
    <m/>
    <m/>
    <m/>
    <s v="DEBITO"/>
    <m/>
    <m/>
    <m/>
    <m/>
    <m/>
    <m/>
    <m/>
    <m/>
    <m/>
    <m/>
    <m/>
    <m/>
  </r>
  <r>
    <x v="11"/>
    <s v="LUIS MIGUEL NARANJO APOYO PANAMA"/>
    <m/>
    <m/>
    <m/>
    <m/>
    <m/>
    <m/>
    <s v="DEBITO"/>
    <m/>
    <m/>
    <m/>
    <m/>
    <m/>
    <m/>
    <m/>
    <m/>
    <m/>
    <m/>
    <m/>
    <m/>
  </r>
  <r>
    <x v="12"/>
    <s v="VIATICOS COLPORTORES"/>
    <m/>
    <m/>
    <m/>
    <m/>
    <m/>
    <m/>
    <s v="DEBITO"/>
    <m/>
    <m/>
    <m/>
    <m/>
    <m/>
    <m/>
    <m/>
    <m/>
    <m/>
    <m/>
    <m/>
    <m/>
  </r>
  <r>
    <x v="0"/>
    <s v="APOYO LUIS GABRIEL BRASIL"/>
    <m/>
    <m/>
    <m/>
    <m/>
    <m/>
    <m/>
    <s v="DEBITO"/>
    <m/>
    <m/>
    <m/>
    <m/>
    <m/>
    <m/>
    <m/>
    <m/>
    <m/>
    <m/>
    <m/>
    <m/>
  </r>
  <r>
    <x v="13"/>
    <s v="VIATICOS ECUADOR JULIO SANCHEA"/>
    <m/>
    <m/>
    <m/>
    <m/>
    <m/>
    <m/>
    <s v="DEBITO"/>
    <m/>
    <m/>
    <m/>
    <m/>
    <m/>
    <m/>
    <m/>
    <m/>
    <m/>
    <m/>
    <m/>
    <m/>
  </r>
  <r>
    <x v="6"/>
    <s v="ENTREGA PEDRO DONG"/>
    <m/>
    <m/>
    <m/>
    <m/>
    <m/>
    <m/>
    <s v="DEBITO"/>
    <m/>
    <m/>
    <m/>
    <m/>
    <m/>
    <m/>
    <m/>
    <m/>
    <m/>
    <m/>
    <m/>
    <m/>
  </r>
  <r>
    <x v="7"/>
    <s v="ENTREGA A ESTANCIA"/>
    <m/>
    <m/>
    <m/>
    <m/>
    <m/>
    <m/>
    <s v="DEBITO"/>
    <m/>
    <m/>
    <m/>
    <m/>
    <m/>
    <m/>
    <m/>
    <m/>
    <m/>
    <m/>
    <m/>
    <m/>
  </r>
  <r>
    <x v="11"/>
    <s v="APOYO PAC PANAMA"/>
    <m/>
    <m/>
    <m/>
    <m/>
    <m/>
    <m/>
    <s v="DEBITO"/>
    <m/>
    <m/>
    <m/>
    <m/>
    <m/>
    <m/>
    <m/>
    <m/>
    <m/>
    <m/>
    <m/>
    <m/>
  </r>
  <r>
    <x v="13"/>
    <s v="JULIO SANCHEZ VIATICOS LILMA"/>
    <m/>
    <m/>
    <m/>
    <m/>
    <m/>
    <m/>
    <s v="DEBITO"/>
    <m/>
    <m/>
    <m/>
    <m/>
    <m/>
    <m/>
    <m/>
    <m/>
    <m/>
    <m/>
    <m/>
    <m/>
  </r>
  <r>
    <x v="3"/>
    <s v="APOYO CEPPEV"/>
    <m/>
    <m/>
    <m/>
    <m/>
    <m/>
    <m/>
    <s v="DEBITO"/>
    <m/>
    <m/>
    <m/>
    <m/>
    <m/>
    <m/>
    <m/>
    <m/>
    <m/>
    <m/>
    <m/>
    <m/>
  </r>
  <r>
    <x v="12"/>
    <s v="VUELOS COLPORTORES PERU"/>
    <m/>
    <m/>
    <m/>
    <m/>
    <m/>
    <m/>
    <s v="DEBITO"/>
    <m/>
    <m/>
    <m/>
    <m/>
    <m/>
    <m/>
    <m/>
    <m/>
    <m/>
    <m/>
    <m/>
    <m/>
  </r>
  <r>
    <x v="12"/>
    <s v="VUELOS COLPORTORES PANAMA"/>
    <m/>
    <m/>
    <m/>
    <m/>
    <m/>
    <m/>
    <s v="DEBITO"/>
    <m/>
    <m/>
    <m/>
    <m/>
    <m/>
    <m/>
    <m/>
    <m/>
    <m/>
    <m/>
    <m/>
    <m/>
  </r>
  <r>
    <x v="11"/>
    <s v="LUIS MIGUEL NARANJO APOYO PANAMA"/>
    <m/>
    <m/>
    <m/>
    <m/>
    <m/>
    <m/>
    <s v="DEBITO"/>
    <m/>
    <m/>
    <m/>
    <m/>
    <m/>
    <m/>
    <m/>
    <m/>
    <m/>
    <m/>
    <m/>
    <m/>
  </r>
  <r>
    <x v="3"/>
    <s v="APOYO CEPPEV BUCARAMANGA"/>
    <m/>
    <m/>
    <m/>
    <m/>
    <m/>
    <m/>
    <s v="DEBITO"/>
    <m/>
    <m/>
    <m/>
    <m/>
    <m/>
    <m/>
    <m/>
    <m/>
    <m/>
    <m/>
    <m/>
    <m/>
  </r>
  <r>
    <x v="0"/>
    <s v="DAVID MAESTRE VIATICOS ECUADOR"/>
    <m/>
    <m/>
    <m/>
    <m/>
    <m/>
    <m/>
    <s v="DEBITO"/>
    <m/>
    <m/>
    <m/>
    <m/>
    <m/>
    <m/>
    <m/>
    <m/>
    <m/>
    <m/>
    <m/>
    <m/>
  </r>
  <r>
    <x v="6"/>
    <s v="ENTREGA RESERVA PEDRO DONG "/>
    <m/>
    <m/>
    <m/>
    <m/>
    <m/>
    <m/>
    <s v="DEBITO"/>
    <m/>
    <m/>
    <m/>
    <m/>
    <m/>
    <m/>
    <m/>
    <m/>
    <m/>
    <m/>
    <m/>
    <m/>
  </r>
  <r>
    <x v="12"/>
    <s v="DAVID MIRANDA VUELOS COLPORTORES"/>
    <m/>
    <m/>
    <m/>
    <m/>
    <m/>
    <m/>
    <s v="DEBITO"/>
    <m/>
    <m/>
    <m/>
    <m/>
    <m/>
    <m/>
    <m/>
    <m/>
    <m/>
    <m/>
    <m/>
    <m/>
  </r>
  <r>
    <x v="12"/>
    <s v="LUIS MIGUEL NARANJO VUELO COLPORTOR"/>
    <m/>
    <m/>
    <m/>
    <m/>
    <m/>
    <m/>
    <s v="DEBITO"/>
    <m/>
    <m/>
    <m/>
    <m/>
    <m/>
    <m/>
    <m/>
    <m/>
    <m/>
    <m/>
    <m/>
    <m/>
  </r>
  <r>
    <x v="3"/>
    <s v="IGLESIA EN B/MANGA APOYO VANS"/>
    <m/>
    <m/>
    <m/>
    <m/>
    <m/>
    <m/>
    <s v="DEBITO"/>
    <m/>
    <m/>
    <m/>
    <m/>
    <m/>
    <m/>
    <m/>
    <m/>
    <m/>
    <m/>
    <m/>
    <m/>
  </r>
  <r>
    <x v="11"/>
    <s v="LUIS MIGUEL NARANJO APOYO PANAMA"/>
    <m/>
    <m/>
    <m/>
    <m/>
    <m/>
    <m/>
    <s v="DEBITO"/>
    <m/>
    <m/>
    <m/>
    <m/>
    <m/>
    <m/>
    <m/>
    <m/>
    <m/>
    <m/>
    <m/>
    <m/>
  </r>
  <r>
    <x v="11"/>
    <s v="LUIS MIGUEL NARANJO APOYO PANAMA"/>
    <m/>
    <m/>
    <m/>
    <m/>
    <m/>
    <m/>
    <s v="DEBITO"/>
    <m/>
    <m/>
    <m/>
    <m/>
    <m/>
    <m/>
    <m/>
    <m/>
    <m/>
    <m/>
    <m/>
    <m/>
  </r>
  <r>
    <x v="9"/>
    <s v="APOYO CUBA"/>
    <m/>
    <m/>
    <m/>
    <m/>
    <m/>
    <m/>
    <s v="DEBITO"/>
    <m/>
    <m/>
    <m/>
    <m/>
    <m/>
    <m/>
    <m/>
    <m/>
    <m/>
    <m/>
    <m/>
    <m/>
  </r>
  <r>
    <x v="5"/>
    <s v="MOVIL INVERSIONISTAS"/>
    <m/>
    <m/>
    <m/>
    <m/>
    <m/>
    <m/>
    <s v="DEBITO"/>
    <m/>
    <m/>
    <m/>
    <m/>
    <m/>
    <m/>
    <m/>
    <m/>
    <m/>
    <m/>
    <m/>
    <m/>
  </r>
  <r>
    <x v="12"/>
    <s v="DAVID MIRANDA VUELOS COLPORTORES"/>
    <m/>
    <m/>
    <m/>
    <m/>
    <m/>
    <m/>
    <s v="DEBITO"/>
    <m/>
    <m/>
    <m/>
    <m/>
    <m/>
    <m/>
    <m/>
    <m/>
    <m/>
    <m/>
    <m/>
    <m/>
  </r>
  <r>
    <x v="5"/>
    <s v="MOVIL INVERSIONISTAS"/>
    <m/>
    <m/>
    <m/>
    <m/>
    <m/>
    <m/>
    <s v="DEBITO"/>
    <n v="-100800"/>
    <m/>
    <m/>
    <m/>
    <m/>
    <m/>
    <m/>
    <m/>
    <m/>
    <m/>
    <m/>
    <m/>
  </r>
  <r>
    <x v="11"/>
    <s v="LUIS MIGUEL NARANJO APOYO PANAMA"/>
    <m/>
    <m/>
    <m/>
    <m/>
    <m/>
    <m/>
    <s v="DEBITO"/>
    <m/>
    <m/>
    <m/>
    <m/>
    <m/>
    <m/>
    <m/>
    <m/>
    <m/>
    <m/>
    <m/>
    <m/>
  </r>
  <r>
    <x v="14"/>
    <s v="IG. EN VALLEDUPAR APOYO COLPORTOR"/>
    <m/>
    <m/>
    <m/>
    <m/>
    <m/>
    <m/>
    <s v="DEBITO"/>
    <m/>
    <m/>
    <m/>
    <m/>
    <m/>
    <m/>
    <m/>
    <m/>
    <m/>
    <m/>
    <m/>
    <m/>
  </r>
  <r>
    <x v="3"/>
    <s v="IG. EN BUCARAM/APOYO"/>
    <m/>
    <m/>
    <m/>
    <m/>
    <m/>
    <m/>
    <s v="DEBITO"/>
    <m/>
    <m/>
    <m/>
    <m/>
    <m/>
    <m/>
    <m/>
    <m/>
    <m/>
    <m/>
    <m/>
    <m/>
  </r>
  <r>
    <x v="6"/>
    <s v="ENTREGA PEDRO DONG"/>
    <m/>
    <m/>
    <m/>
    <m/>
    <m/>
    <m/>
    <s v="DEBITO"/>
    <m/>
    <m/>
    <m/>
    <m/>
    <m/>
    <m/>
    <m/>
    <m/>
    <m/>
    <m/>
    <m/>
    <m/>
  </r>
  <r>
    <x v="11"/>
    <s v="TRAMITES Y APOYO PANAMA LUIS MIGUEL N"/>
    <m/>
    <m/>
    <m/>
    <m/>
    <m/>
    <m/>
    <s v="DEBITO"/>
    <n v="-7624000"/>
    <m/>
    <m/>
    <m/>
    <m/>
    <m/>
    <m/>
    <m/>
    <m/>
    <m/>
    <m/>
    <m/>
  </r>
  <r>
    <x v="15"/>
    <s v="CUOTAS PARTICIPACION BRASIL"/>
    <m/>
    <m/>
    <m/>
    <m/>
    <m/>
    <m/>
    <s v="DEBITO"/>
    <n v="0"/>
    <m/>
    <m/>
    <m/>
    <m/>
    <m/>
    <m/>
    <m/>
    <m/>
    <m/>
    <m/>
    <m/>
  </r>
  <r>
    <x v="9"/>
    <s v="OFRENDA HNOS. CUBA"/>
    <m/>
    <m/>
    <m/>
    <m/>
    <m/>
    <m/>
    <s v="DEBITO"/>
    <n v="0"/>
    <m/>
    <m/>
    <m/>
    <m/>
    <m/>
    <m/>
    <m/>
    <m/>
    <m/>
    <m/>
    <m/>
  </r>
  <r>
    <x v="12"/>
    <s v="DAVID MIRANDA VIAJES VARIOS"/>
    <m/>
    <m/>
    <m/>
    <m/>
    <m/>
    <m/>
    <s v="DEBITO"/>
    <m/>
    <n v="-4568732"/>
    <m/>
    <m/>
    <m/>
    <m/>
    <m/>
    <m/>
    <m/>
    <m/>
    <m/>
    <m/>
  </r>
  <r>
    <x v="11"/>
    <s v="LUIS MIGUEL NARANJO VIAJES APOYO PANAMA"/>
    <m/>
    <m/>
    <m/>
    <m/>
    <m/>
    <m/>
    <s v="DEBITO"/>
    <m/>
    <n v="-6176000"/>
    <m/>
    <m/>
    <m/>
    <m/>
    <m/>
    <m/>
    <m/>
    <m/>
    <m/>
    <m/>
  </r>
  <r>
    <x v="6"/>
    <s v="ENTREGA RESERVA PEDRO DONG "/>
    <m/>
    <m/>
    <m/>
    <m/>
    <m/>
    <m/>
    <s v="DEBITO"/>
    <m/>
    <n v="-60897000"/>
    <m/>
    <m/>
    <m/>
    <m/>
    <m/>
    <m/>
    <m/>
    <m/>
    <m/>
    <m/>
  </r>
  <r>
    <x v="12"/>
    <s v="DAVID MIRANDA VIATICOS VARIOS"/>
    <m/>
    <m/>
    <m/>
    <m/>
    <m/>
    <m/>
    <s v="DEBITO"/>
    <m/>
    <n v="-19035649"/>
    <m/>
    <m/>
    <m/>
    <m/>
    <m/>
    <m/>
    <m/>
    <m/>
    <m/>
    <m/>
  </r>
  <r>
    <x v="13"/>
    <s v="JULIO SANCHEZ VIATICOS PERU"/>
    <m/>
    <m/>
    <m/>
    <m/>
    <m/>
    <m/>
    <s v="DEBITO"/>
    <m/>
    <s v="-"/>
    <m/>
    <m/>
    <m/>
    <m/>
    <m/>
    <m/>
    <m/>
    <m/>
    <m/>
    <m/>
  </r>
  <r>
    <x v="5"/>
    <s v="CLARO PAGO CELULAR INVERSIONISTAS"/>
    <m/>
    <m/>
    <m/>
    <m/>
    <m/>
    <m/>
    <s v="DEBITO"/>
    <m/>
    <n v="0"/>
    <n v="-55800"/>
    <m/>
    <m/>
    <m/>
    <m/>
    <m/>
    <m/>
    <m/>
    <m/>
    <m/>
  </r>
  <r>
    <x v="11"/>
    <s v="LUIS MIGUEL NARANJO APOYO PANAMA"/>
    <m/>
    <m/>
    <m/>
    <m/>
    <m/>
    <m/>
    <s v="DEBITO"/>
    <m/>
    <m/>
    <n v="-1000000"/>
    <m/>
    <m/>
    <m/>
    <m/>
    <m/>
    <m/>
    <m/>
    <m/>
    <m/>
  </r>
  <r>
    <x v="12"/>
    <s v="DAVID MIRANDA VIATICOS VARIOS"/>
    <m/>
    <m/>
    <m/>
    <m/>
    <m/>
    <m/>
    <s v="DEBITO"/>
    <m/>
    <m/>
    <n v="-6843223"/>
    <m/>
    <m/>
    <m/>
    <m/>
    <m/>
    <m/>
    <m/>
    <m/>
    <m/>
  </r>
  <r>
    <x v="11"/>
    <s v="LUIS MIGUEL NARANJO DOCUMENTOS"/>
    <m/>
    <m/>
    <m/>
    <m/>
    <m/>
    <m/>
    <s v="DEBITO"/>
    <m/>
    <m/>
    <n v="-6858000"/>
    <m/>
    <m/>
    <m/>
    <m/>
    <m/>
    <m/>
    <m/>
    <m/>
    <m/>
  </r>
  <r>
    <x v="2"/>
    <s v="DAVID MIRANDA VEHICULO CEPPEV"/>
    <m/>
    <m/>
    <m/>
    <m/>
    <m/>
    <m/>
    <s v="DEBITO"/>
    <m/>
    <m/>
    <n v="-40000000"/>
    <m/>
    <m/>
    <m/>
    <m/>
    <m/>
    <m/>
    <m/>
    <m/>
    <m/>
  </r>
  <r>
    <x v="11"/>
    <s v="LUIS MIGUEL NARANJO APOYO PANAMA"/>
    <m/>
    <m/>
    <m/>
    <m/>
    <m/>
    <m/>
    <s v="DEBITO"/>
    <m/>
    <m/>
    <n v="1000000"/>
    <m/>
    <m/>
    <m/>
    <m/>
    <m/>
    <m/>
    <m/>
    <m/>
    <m/>
  </r>
  <r>
    <x v="11"/>
    <s v="LUIS MIGUEL NARANJO APOYO PANAMA"/>
    <m/>
    <m/>
    <m/>
    <m/>
    <m/>
    <m/>
    <s v="DEBITO"/>
    <m/>
    <m/>
    <m/>
    <n v="-1000000"/>
    <m/>
    <m/>
    <m/>
    <m/>
    <m/>
    <m/>
    <m/>
    <m/>
  </r>
  <r>
    <x v="12"/>
    <s v="DAVID MIRANDA VUELOS BRASIL, PANAMA"/>
    <m/>
    <m/>
    <m/>
    <m/>
    <m/>
    <m/>
    <s v="DEBITO"/>
    <m/>
    <m/>
    <m/>
    <n v="-18289360"/>
    <m/>
    <m/>
    <m/>
    <m/>
    <m/>
    <m/>
    <m/>
    <m/>
  </r>
  <r>
    <x v="16"/>
    <s v="ARIANA LOZANO DOCUMENTOS COLPOR-GUATEMALA"/>
    <m/>
    <m/>
    <m/>
    <m/>
    <m/>
    <m/>
    <s v="DEBITO"/>
    <m/>
    <m/>
    <m/>
    <n v="-5535000"/>
    <m/>
    <m/>
    <m/>
    <m/>
    <m/>
    <m/>
    <m/>
    <m/>
  </r>
  <r>
    <x v="6"/>
    <s v="ENTREGA RESERVA PEDRO DONG "/>
    <m/>
    <m/>
    <m/>
    <m/>
    <m/>
    <m/>
    <s v="DEBITO"/>
    <m/>
    <m/>
    <m/>
    <n v="-33600000"/>
    <m/>
    <m/>
    <m/>
    <m/>
    <m/>
    <m/>
    <m/>
    <m/>
  </r>
  <r>
    <x v="5"/>
    <s v="MOVIL INVERSIONISTAS"/>
    <m/>
    <m/>
    <m/>
    <m/>
    <m/>
    <m/>
    <s v="DEBITO"/>
    <m/>
    <m/>
    <m/>
    <n v="-46300"/>
    <m/>
    <m/>
    <m/>
    <m/>
    <m/>
    <m/>
    <m/>
    <m/>
  </r>
  <r>
    <x v="12"/>
    <s v="ANTONIO SAGBINI VUELOS CHILE BOGOTA"/>
    <m/>
    <m/>
    <m/>
    <m/>
    <m/>
    <m/>
    <s v="DEBITO"/>
    <m/>
    <m/>
    <m/>
    <n v="-6886290"/>
    <m/>
    <m/>
    <m/>
    <m/>
    <m/>
    <m/>
    <m/>
    <m/>
  </r>
  <r>
    <x v="12"/>
    <s v="DAVID MIRANDA VUELOS OBRA"/>
    <m/>
    <m/>
    <m/>
    <m/>
    <m/>
    <m/>
    <s v="DEBITO"/>
    <m/>
    <m/>
    <m/>
    <n v="-3460000"/>
    <m/>
    <m/>
    <m/>
    <m/>
    <m/>
    <m/>
    <m/>
    <m/>
  </r>
  <r>
    <x v="11"/>
    <s v="LUIS MIGUEL NARANJO APOYO PANAMA"/>
    <m/>
    <m/>
    <m/>
    <m/>
    <m/>
    <m/>
    <s v="DEBITO"/>
    <m/>
    <m/>
    <m/>
    <n v="-1000000"/>
    <m/>
    <m/>
    <m/>
    <m/>
    <m/>
    <m/>
    <m/>
    <m/>
  </r>
  <r>
    <x v="5"/>
    <s v="MOVIL INVERSIONISTAS"/>
    <m/>
    <m/>
    <m/>
    <m/>
    <m/>
    <m/>
    <s v="DEBITO"/>
    <m/>
    <m/>
    <m/>
    <m/>
    <n v="-55300"/>
    <m/>
    <m/>
    <m/>
    <m/>
    <m/>
    <m/>
    <m/>
  </r>
  <r>
    <x v="6"/>
    <s v="ENTREGA RESERVA PEDRO DONG "/>
    <m/>
    <m/>
    <m/>
    <m/>
    <m/>
    <m/>
    <s v="DEBITO"/>
    <m/>
    <m/>
    <m/>
    <m/>
    <n v="-67327516"/>
    <m/>
    <m/>
    <m/>
    <m/>
    <m/>
    <m/>
    <m/>
  </r>
  <r>
    <x v="11"/>
    <s v="LUIS MIGUEL NARANJO APOYO PANAMA"/>
    <m/>
    <m/>
    <m/>
    <m/>
    <m/>
    <m/>
    <s v="DEBITO"/>
    <m/>
    <m/>
    <m/>
    <m/>
    <m/>
    <n v="-1000000"/>
    <m/>
    <m/>
    <m/>
    <m/>
    <m/>
    <m/>
  </r>
  <r>
    <x v="5"/>
    <s v="MOVIL INVERSIONISTAS"/>
    <m/>
    <m/>
    <m/>
    <m/>
    <m/>
    <m/>
    <s v="DEBITO"/>
    <m/>
    <m/>
    <m/>
    <m/>
    <m/>
    <n v="-46300"/>
    <m/>
    <m/>
    <m/>
    <m/>
    <m/>
    <m/>
  </r>
  <r>
    <x v="12"/>
    <s v="DAVID MIRANDA VUELOS VARIOS OBRA"/>
    <m/>
    <m/>
    <m/>
    <m/>
    <m/>
    <m/>
    <s v="DEBITO"/>
    <m/>
    <m/>
    <m/>
    <m/>
    <m/>
    <n v="-9219069"/>
    <m/>
    <m/>
    <m/>
    <m/>
    <m/>
    <m/>
  </r>
  <r>
    <x v="11"/>
    <s v="LUIS MIGUEL NARANJO APOYO PANAMA"/>
    <m/>
    <m/>
    <m/>
    <m/>
    <m/>
    <m/>
    <s v="DEBITO"/>
    <m/>
    <m/>
    <m/>
    <m/>
    <m/>
    <n v="-17920422"/>
    <m/>
    <m/>
    <m/>
    <m/>
    <m/>
    <m/>
  </r>
  <r>
    <x v="6"/>
    <s v="ENTREGA RESERVA PEDRO DONG "/>
    <m/>
    <m/>
    <m/>
    <m/>
    <m/>
    <m/>
    <s v="DEBITO"/>
    <m/>
    <m/>
    <m/>
    <m/>
    <m/>
    <n v="-37882873"/>
    <m/>
    <m/>
    <m/>
    <m/>
    <m/>
    <m/>
  </r>
  <r>
    <x v="11"/>
    <s v="VUELOS PANAMA JULIO SANCHEZ"/>
    <m/>
    <m/>
    <m/>
    <m/>
    <m/>
    <m/>
    <s v="DEBITO"/>
    <m/>
    <m/>
    <m/>
    <m/>
    <m/>
    <n v="-5699280"/>
    <m/>
    <m/>
    <m/>
    <m/>
    <m/>
    <m/>
  </r>
  <r>
    <x v="11"/>
    <s v="LUIS MIGUEL NARANJO APOYO PANAMA"/>
    <m/>
    <m/>
    <m/>
    <m/>
    <m/>
    <m/>
    <s v="DEBITO"/>
    <m/>
    <m/>
    <m/>
    <m/>
    <m/>
    <n v="-3475000"/>
    <m/>
    <m/>
    <m/>
    <m/>
    <m/>
    <m/>
  </r>
  <r>
    <x v="11"/>
    <s v="LUILS MIGUEL NARANJO APOYO PANAMA"/>
    <m/>
    <m/>
    <m/>
    <m/>
    <m/>
    <m/>
    <s v="DEBITO"/>
    <m/>
    <m/>
    <m/>
    <m/>
    <m/>
    <m/>
    <n v="-1000000"/>
    <m/>
    <m/>
    <m/>
    <m/>
    <m/>
  </r>
  <r>
    <x v="4"/>
    <s v="IVPT OFRENDA GENESIS"/>
    <m/>
    <m/>
    <m/>
    <m/>
    <m/>
    <m/>
    <s v="DEBITO"/>
    <m/>
    <m/>
    <m/>
    <m/>
    <m/>
    <m/>
    <n v="-15487675"/>
    <m/>
    <m/>
    <m/>
    <m/>
    <m/>
  </r>
  <r>
    <x v="6"/>
    <s v="ENTREGA RESERVA PEDRO DONG "/>
    <m/>
    <m/>
    <m/>
    <m/>
    <m/>
    <m/>
    <s v="DEBITO"/>
    <m/>
    <m/>
    <m/>
    <m/>
    <m/>
    <m/>
    <n v="-41493250"/>
    <m/>
    <m/>
    <m/>
    <m/>
    <m/>
  </r>
  <r>
    <x v="12"/>
    <s v="DAVID MIRANDA VUELOS QUITO"/>
    <m/>
    <m/>
    <m/>
    <m/>
    <m/>
    <m/>
    <s v="DEBITO"/>
    <m/>
    <m/>
    <m/>
    <m/>
    <m/>
    <m/>
    <n v="-1879708"/>
    <m/>
    <m/>
    <m/>
    <m/>
    <m/>
  </r>
  <r>
    <x v="5"/>
    <s v="MOVIL INVERSIONISTAS"/>
    <m/>
    <m/>
    <m/>
    <m/>
    <m/>
    <m/>
    <s v="DEBITO"/>
    <m/>
    <m/>
    <m/>
    <m/>
    <m/>
    <m/>
    <n v="-55300"/>
    <m/>
    <m/>
    <m/>
    <m/>
    <m/>
  </r>
  <r>
    <x v="17"/>
    <s v="EMANUEL FLORES VALENCIA APOYO"/>
    <m/>
    <m/>
    <m/>
    <m/>
    <m/>
    <m/>
    <s v="DEBITO"/>
    <m/>
    <m/>
    <m/>
    <m/>
    <m/>
    <m/>
    <n v="-5000000"/>
    <m/>
    <m/>
    <m/>
    <m/>
    <m/>
  </r>
  <r>
    <x v="17"/>
    <s v="APOYO A CONFINES"/>
    <m/>
    <m/>
    <m/>
    <m/>
    <m/>
    <m/>
    <s v="DEBITO"/>
    <m/>
    <m/>
    <m/>
    <m/>
    <m/>
    <m/>
    <m/>
    <n v="-4000000"/>
    <m/>
    <m/>
    <m/>
    <m/>
  </r>
  <r>
    <x v="11"/>
    <s v="LUIS MIGUEL NARANJO APOYO PANAMA"/>
    <m/>
    <m/>
    <m/>
    <m/>
    <m/>
    <m/>
    <s v="DEBITO"/>
    <m/>
    <m/>
    <m/>
    <m/>
    <m/>
    <m/>
    <m/>
    <n v="-9661190"/>
    <m/>
    <m/>
    <m/>
    <m/>
  </r>
  <r>
    <x v="12"/>
    <s v="DAVID MIRANDA VUELOS"/>
    <m/>
    <m/>
    <m/>
    <m/>
    <m/>
    <m/>
    <s v="DEBITO"/>
    <m/>
    <m/>
    <m/>
    <m/>
    <m/>
    <m/>
    <m/>
    <n v="-1861000"/>
    <m/>
    <m/>
    <m/>
    <m/>
  </r>
  <r>
    <x v="6"/>
    <s v="ENTREGA FONDO PEDRO DONG"/>
    <m/>
    <m/>
    <m/>
    <m/>
    <m/>
    <m/>
    <s v="DEBITO"/>
    <m/>
    <m/>
    <m/>
    <m/>
    <m/>
    <m/>
    <m/>
    <n v="-39128787"/>
    <m/>
    <m/>
    <m/>
    <m/>
  </r>
  <r>
    <x v="4"/>
    <s v="ENTREGA APOYO CENTRO CONVENCIONES IVPT"/>
    <m/>
    <m/>
    <m/>
    <m/>
    <m/>
    <m/>
    <s v="DEBITO"/>
    <m/>
    <m/>
    <m/>
    <m/>
    <m/>
    <m/>
    <m/>
    <n v="-5718695"/>
    <m/>
    <m/>
    <m/>
    <m/>
  </r>
  <r>
    <x v="18"/>
    <s v="APOYO VARIOS OBRA COLOMBIA"/>
    <m/>
    <m/>
    <m/>
    <m/>
    <m/>
    <m/>
    <s v="DEBITO"/>
    <m/>
    <m/>
    <m/>
    <m/>
    <m/>
    <m/>
    <m/>
    <n v="-9000000"/>
    <m/>
    <m/>
    <m/>
    <m/>
  </r>
  <r>
    <x v="5"/>
    <s v="MOVIL INVERSIONISTAS"/>
    <m/>
    <m/>
    <m/>
    <m/>
    <m/>
    <m/>
    <s v="DEBITO"/>
    <m/>
    <m/>
    <m/>
    <m/>
    <m/>
    <m/>
    <m/>
    <n v="-46300"/>
    <m/>
    <m/>
    <m/>
    <m/>
  </r>
  <r>
    <x v="3"/>
    <s v="APYO PERFECCIONAMIENTO CEPPEV"/>
    <m/>
    <m/>
    <m/>
    <m/>
    <m/>
    <m/>
    <s v="DEBITO"/>
    <m/>
    <m/>
    <m/>
    <m/>
    <m/>
    <m/>
    <m/>
    <n v="-5000000"/>
    <m/>
    <m/>
    <m/>
    <m/>
  </r>
  <r>
    <x v="19"/>
    <m/>
    <m/>
    <m/>
    <m/>
    <m/>
    <m/>
    <m/>
    <s v="DEBITO"/>
    <m/>
    <m/>
    <m/>
    <m/>
    <m/>
    <m/>
    <m/>
    <m/>
    <m/>
    <m/>
    <m/>
    <m/>
  </r>
  <r>
    <x v="19"/>
    <m/>
    <m/>
    <m/>
    <m/>
    <m/>
    <m/>
    <m/>
    <s v="DEBITO"/>
    <m/>
    <m/>
    <m/>
    <m/>
    <m/>
    <m/>
    <m/>
    <m/>
    <m/>
    <m/>
    <m/>
    <m/>
  </r>
  <r>
    <x v="19"/>
    <m/>
    <m/>
    <m/>
    <m/>
    <m/>
    <m/>
    <m/>
    <s v="DEBITO"/>
    <m/>
    <m/>
    <m/>
    <m/>
    <m/>
    <m/>
    <m/>
    <m/>
    <m/>
    <m/>
    <m/>
    <m/>
  </r>
  <r>
    <x v="19"/>
    <m/>
    <m/>
    <m/>
    <m/>
    <m/>
    <m/>
    <m/>
    <s v="DEBITO"/>
    <m/>
    <m/>
    <m/>
    <m/>
    <m/>
    <m/>
    <m/>
    <m/>
    <m/>
    <m/>
    <m/>
    <m/>
  </r>
  <r>
    <x v="19"/>
    <m/>
    <m/>
    <m/>
    <m/>
    <m/>
    <m/>
    <m/>
    <s v="DEBITO"/>
    <m/>
    <m/>
    <m/>
    <m/>
    <m/>
    <m/>
    <m/>
    <m/>
    <m/>
    <m/>
    <m/>
    <m/>
  </r>
  <r>
    <x v="19"/>
    <m/>
    <m/>
    <m/>
    <m/>
    <m/>
    <m/>
    <m/>
    <s v="DEBITO"/>
    <m/>
    <m/>
    <m/>
    <m/>
    <m/>
    <m/>
    <m/>
    <m/>
    <m/>
    <m/>
    <m/>
    <m/>
  </r>
  <r>
    <x v="19"/>
    <m/>
    <m/>
    <m/>
    <m/>
    <m/>
    <m/>
    <m/>
    <s v="DEBITO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6A5BA-250D-450D-932C-0F868BAD4662}" name="TablaDinámica2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6:B94" firstHeaderRow="1" firstDataRow="1" firstDataCol="1"/>
  <pivotFields count="26">
    <pivotField showAll="0"/>
    <pivotField showAll="0"/>
    <pivotField showAll="0"/>
    <pivotField showAll="0"/>
    <pivotField axis="axisRow" showAll="0">
      <items count="71">
        <item x="54"/>
        <item m="1" x="69"/>
        <item x="36"/>
        <item x="13"/>
        <item x="44"/>
        <item x="2"/>
        <item x="14"/>
        <item x="15"/>
        <item x="53"/>
        <item x="37"/>
        <item x="16"/>
        <item x="61"/>
        <item x="51"/>
        <item x="41"/>
        <item x="17"/>
        <item x="57"/>
        <item x="5"/>
        <item x="6"/>
        <item x="12"/>
        <item x="56"/>
        <item x="18"/>
        <item x="3"/>
        <item x="42"/>
        <item x="19"/>
        <item x="20"/>
        <item x="21"/>
        <item x="8"/>
        <item x="22"/>
        <item x="0"/>
        <item x="45"/>
        <item x="38"/>
        <item x="59"/>
        <item x="7"/>
        <item x="58"/>
        <item x="10"/>
        <item x="9"/>
        <item x="23"/>
        <item x="62"/>
        <item x="43"/>
        <item x="24"/>
        <item x="25"/>
        <item x="52"/>
        <item x="26"/>
        <item x="63"/>
        <item x="11"/>
        <item x="39"/>
        <item x="64"/>
        <item x="27"/>
        <item x="28"/>
        <item x="29"/>
        <item x="55"/>
        <item x="35"/>
        <item x="50"/>
        <item x="30"/>
        <item x="31"/>
        <item x="32"/>
        <item x="34"/>
        <item x="33"/>
        <item x="49"/>
        <item x="48"/>
        <item x="40"/>
        <item x="1"/>
        <item x="65"/>
        <item m="1" x="68"/>
        <item x="4"/>
        <item m="1" x="67"/>
        <item x="46"/>
        <item x="47"/>
        <item x="60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68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4"/>
    </i>
    <i>
      <x v="66"/>
    </i>
    <i>
      <x v="67"/>
    </i>
    <i>
      <x v="68"/>
    </i>
    <i>
      <x v="69"/>
    </i>
    <i t="grand">
      <x/>
    </i>
  </rowItems>
  <colItems count="1">
    <i/>
  </colItems>
  <dataFields count="1">
    <dataField name="Cuenta de Cuotas_Enteras" fld="25" subtotal="count" baseField="0" baseItem="0"/>
  </dataFields>
  <formats count="1">
    <format dxfId="4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08162E-678C-4BCF-80A2-FCC915807F3B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LASIFICACION GASTOS">
  <location ref="H7:T23" firstHeaderRow="0" firstDataRow="1" firstDataCol="1"/>
  <pivotFields count="21">
    <pivotField axis="axisRow" showAll="0">
      <items count="17">
        <item x="4"/>
        <item x="3"/>
        <item x="8"/>
        <item x="9"/>
        <item x="1"/>
        <item x="7"/>
        <item x="5"/>
        <item x="10"/>
        <item x="13"/>
        <item x="0"/>
        <item x="2"/>
        <item x="11"/>
        <item x="6"/>
        <item x="12"/>
        <item h="1" x="1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" fld="9" baseField="0" baseItem="0"/>
    <dataField name="Suma de FEBRERO" fld="10" baseField="0" baseItem="0"/>
    <dataField name="Suma de MARZO" fld="11" baseField="0" baseItem="0"/>
    <dataField name="Suma de ABRIL " fld="12" baseField="0" baseItem="0"/>
    <dataField name="Suma de MAYO" fld="13" baseField="0" baseItem="0"/>
    <dataField name="Suma de JUNIO" fld="14" baseField="0" baseItem="0"/>
    <dataField name="Suma de JULIO" fld="15" baseField="0" baseItem="0"/>
    <dataField name="Suma de AGOSTO" fld="16" baseField="0" baseItem="0"/>
    <dataField name="Suma de SEPTIEMBRE" fld="17" baseField="0" baseItem="0"/>
    <dataField name="Suma de OCTUBRE" fld="18" baseField="0" baseItem="0"/>
    <dataField name="Suma de NOVIEMBRE" fld="19" baseField="0" baseItem="0"/>
    <dataField name="Suma de DICIEMBRE" fld="20" baseField="0" baseItem="0"/>
  </dataFields>
  <formats count="9">
    <format dxfId="57">
      <pivotArea outline="0" collapsedLevelsAreSubtotals="1" fieldPosition="0"/>
    </format>
    <format dxfId="56">
      <pivotArea dataOnly="0" labelOnly="1" fieldPosition="0">
        <references count="1">
          <reference field="0" count="0"/>
        </references>
      </pivotArea>
    </format>
    <format dxfId="55">
      <pivotArea field="0" type="button" dataOnly="0" labelOnly="1" outline="0" axis="axisRow" fieldPosition="0"/>
    </format>
    <format dxfId="54">
      <pivotArea field="0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2">
      <pivotArea field="0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1101F-EDFB-4EB5-A15A-53E05175519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LASIFICACION GASTOS">
  <location ref="H7:T23" firstHeaderRow="0" firstDataRow="1" firstDataCol="1"/>
  <pivotFields count="21">
    <pivotField axis="axisRow" showAll="0">
      <items count="21">
        <item x="4"/>
        <item x="3"/>
        <item x="8"/>
        <item x="9"/>
        <item x="1"/>
        <item x="7"/>
        <item x="5"/>
        <item x="10"/>
        <item x="13"/>
        <item x="0"/>
        <item x="2"/>
        <item x="11"/>
        <item x="6"/>
        <item x="12"/>
        <item h="1" x="19"/>
        <item x="14"/>
        <item h="1" x="15"/>
        <item h="1" x="16"/>
        <item h="1" x="17"/>
        <item h="1"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" fld="9" baseField="0" baseItem="0"/>
    <dataField name="Suma de FEBRERO" fld="10" baseField="0" baseItem="0"/>
    <dataField name="Suma de MARZO" fld="11" baseField="0" baseItem="0"/>
    <dataField name="Suma de ABRIL " fld="12" baseField="0" baseItem="0"/>
    <dataField name="Suma de MAYO" fld="13" baseField="0" baseItem="0"/>
    <dataField name="Suma de JUNIO" fld="14" baseField="0" baseItem="0"/>
    <dataField name="Suma de JULIO" fld="15" baseField="0" baseItem="0"/>
    <dataField name="Suma de AGOSTO" fld="16" baseField="0" baseItem="0"/>
    <dataField name="Suma de SEPTIEMBRE" fld="17" baseField="0" baseItem="0"/>
    <dataField name="Suma de OCTUBRE" fld="18" baseField="0" baseItem="0"/>
    <dataField name="Suma de NOVIEMBRE" fld="19" baseField="0" baseItem="0"/>
    <dataField name="Suma de DICIEMBRE" fld="20" baseField="0" baseItem="0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field="0" type="button" dataOnly="0" labelOnly="1" outline="0" axis="axisRow" fieldPosition="0"/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0469D-549D-4F80-BA77-76DB442075C2}" name="TablaDinámica2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6:D99" firstHeaderRow="0" firstDataRow="1" firstDataCol="1"/>
  <pivotFields count="25">
    <pivotField showAll="0"/>
    <pivotField showAll="0"/>
    <pivotField showAll="0"/>
    <pivotField showAll="0"/>
    <pivotField axis="axisRow" showAll="0">
      <items count="79">
        <item x="49"/>
        <item x="35"/>
        <item x="12"/>
        <item x="42"/>
        <item x="2"/>
        <item x="13"/>
        <item x="14"/>
        <item x="48"/>
        <item x="36"/>
        <item x="15"/>
        <item x="57"/>
        <item x="47"/>
        <item x="39"/>
        <item x="16"/>
        <item x="52"/>
        <item x="5"/>
        <item x="6"/>
        <item x="11"/>
        <item x="51"/>
        <item x="17"/>
        <item x="3"/>
        <item x="40"/>
        <item x="18"/>
        <item x="19"/>
        <item x="20"/>
        <item x="7"/>
        <item x="21"/>
        <item x="0"/>
        <item m="1" x="77"/>
        <item x="37"/>
        <item x="55"/>
        <item x="22"/>
        <item x="53"/>
        <item x="9"/>
        <item x="8"/>
        <item x="23"/>
        <item x="58"/>
        <item x="4"/>
        <item x="24"/>
        <item x="61"/>
        <item x="25"/>
        <item x="59"/>
        <item x="10"/>
        <item x="38"/>
        <item x="60"/>
        <item x="26"/>
        <item x="27"/>
        <item x="28"/>
        <item x="50"/>
        <item x="34"/>
        <item x="46"/>
        <item x="29"/>
        <item x="30"/>
        <item x="31"/>
        <item x="33"/>
        <item x="32"/>
        <item x="45"/>
        <item x="54"/>
        <item x="1"/>
        <item x="62"/>
        <item m="1" x="74"/>
        <item m="1" x="72"/>
        <item m="1" x="76"/>
        <item m="1" x="75"/>
        <item x="43"/>
        <item x="56"/>
        <item x="63"/>
        <item x="41"/>
        <item x="64"/>
        <item x="65"/>
        <item x="66"/>
        <item x="67"/>
        <item x="68"/>
        <item m="1" x="73"/>
        <item x="69"/>
        <item x="70"/>
        <item x="71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Cuotas_Enteras" fld="24" baseField="0" baseItem="0" numFmtId="1"/>
    <dataField name="Suma de ABRIL " fld="12" baseField="0" baseItem="0"/>
    <dataField name="Suma de MAYO" fld="13" baseField="0" baseItem="0"/>
  </dataFields>
  <formats count="39">
    <format dxfId="47">
      <pivotArea collapsedLevelsAreSubtotals="1" fieldPosition="0">
        <references count="1">
          <reference field="4" count="0"/>
        </references>
      </pivotArea>
    </format>
    <format dxfId="46">
      <pivotArea collapsedLevelsAreSubtotals="1" fieldPosition="0">
        <references count="1">
          <reference field="4" count="5">
            <x v="25"/>
            <x v="26"/>
            <x v="27"/>
            <x v="29"/>
            <x v="30"/>
          </reference>
        </references>
      </pivotArea>
    </format>
    <format dxfId="45">
      <pivotArea collapsedLevelsAreSubtotals="1" fieldPosition="0">
        <references count="1">
          <reference field="4" count="6">
            <x v="32"/>
            <x v="33"/>
            <x v="34"/>
            <x v="35"/>
            <x v="36"/>
            <x v="37"/>
          </reference>
        </references>
      </pivotArea>
    </format>
    <format dxfId="44">
      <pivotArea collapsedLevelsAreSubtotals="1" fieldPosition="0">
        <references count="1">
          <reference field="4" count="1">
            <x v="39"/>
          </reference>
        </references>
      </pivotArea>
    </format>
    <format dxfId="43">
      <pivotArea collapsedLevelsAreSubtotals="1" fieldPosition="0">
        <references count="1">
          <reference field="4" count="4">
            <x v="41"/>
            <x v="42"/>
            <x v="43"/>
            <x v="44"/>
          </reference>
        </references>
      </pivotArea>
    </format>
    <format dxfId="42">
      <pivotArea collapsedLevelsAreSubtotals="1" fieldPosition="0">
        <references count="1">
          <reference field="4" count="1">
            <x v="46"/>
          </reference>
        </references>
      </pivotArea>
    </format>
    <format dxfId="41">
      <pivotArea collapsedLevelsAreSubtotals="1" fieldPosition="0">
        <references count="1">
          <reference field="4" count="1">
            <x v="48"/>
          </reference>
        </references>
      </pivotArea>
    </format>
    <format dxfId="40">
      <pivotArea collapsedLevelsAreSubtotals="1" fieldPosition="0">
        <references count="1">
          <reference field="4" count="5">
            <x v="50"/>
            <x v="51"/>
            <x v="52"/>
            <x v="53"/>
            <x v="54"/>
          </reference>
        </references>
      </pivotArea>
    </format>
    <format dxfId="39">
      <pivotArea collapsedLevelsAreSubtotals="1" fieldPosition="0">
        <references count="1">
          <reference field="4" count="2">
            <x v="57"/>
            <x v="58"/>
          </reference>
        </references>
      </pivotArea>
    </format>
    <format dxfId="38">
      <pivotArea collapsedLevelsAreSubtotals="1" fieldPosition="0">
        <references count="1">
          <reference field="4" count="6">
            <x v="1"/>
            <x v="2"/>
            <x v="3"/>
            <x v="4"/>
            <x v="5"/>
            <x v="6"/>
          </reference>
        </references>
      </pivotArea>
    </format>
    <format dxfId="37">
      <pivotArea collapsedLevelsAreSubtotals="1" fieldPosition="0">
        <references count="1">
          <reference field="4" count="1">
            <x v="8"/>
          </reference>
        </references>
      </pivotArea>
    </format>
    <format dxfId="36">
      <pivotArea collapsedLevelsAreSubtotals="1" fieldPosition="0">
        <references count="1">
          <reference field="4" count="3">
            <x v="10"/>
            <x v="11"/>
            <x v="12"/>
          </reference>
        </references>
      </pivotArea>
    </format>
    <format dxfId="35">
      <pivotArea collapsedLevelsAreSubtotals="1" fieldPosition="0">
        <references count="1">
          <reference field="4" count="2">
            <x v="14"/>
            <x v="15"/>
          </reference>
        </references>
      </pivotArea>
    </format>
    <format dxfId="34">
      <pivotArea collapsedLevelsAreSubtotals="1" fieldPosition="0">
        <references count="1">
          <reference field="4" count="5">
            <x v="17"/>
            <x v="18"/>
            <x v="19"/>
            <x v="20"/>
            <x v="21"/>
          </reference>
        </references>
      </pivotArea>
    </format>
    <format dxfId="33">
      <pivotArea collapsedLevelsAreSubtotals="1" fieldPosition="0">
        <references count="1">
          <reference field="4" count="1">
            <x v="23"/>
          </reference>
        </references>
      </pivotArea>
    </format>
    <format dxfId="32">
      <pivotArea collapsedLevelsAreSubtotals="1" fieldPosition="0">
        <references count="1">
          <reference field="4" count="5">
            <x v="25"/>
            <x v="26"/>
            <x v="27"/>
            <x v="28"/>
            <x v="29"/>
          </reference>
        </references>
      </pivotArea>
    </format>
    <format dxfId="31">
      <pivotArea collapsedLevelsAreSubtotals="1" fieldPosition="0">
        <references count="1">
          <reference field="4" count="6">
            <x v="31"/>
            <x v="32"/>
            <x v="33"/>
            <x v="34"/>
            <x v="35"/>
            <x v="36"/>
          </reference>
        </references>
      </pivotArea>
    </format>
    <format dxfId="30">
      <pivotArea collapsedLevelsAreSubtotals="1" fieldPosition="0">
        <references count="1">
          <reference field="4" count="1">
            <x v="38"/>
          </reference>
        </references>
      </pivotArea>
    </format>
    <format dxfId="29">
      <pivotArea collapsedLevelsAreSubtotals="1" fieldPosition="0">
        <references count="1">
          <reference field="4" count="4">
            <x v="40"/>
            <x v="41"/>
            <x v="42"/>
            <x v="43"/>
          </reference>
        </references>
      </pivotArea>
    </format>
    <format dxfId="28">
      <pivotArea collapsedLevelsAreSubtotals="1" fieldPosition="0">
        <references count="1">
          <reference field="4" count="1">
            <x v="45"/>
          </reference>
        </references>
      </pivotArea>
    </format>
    <format dxfId="27">
      <pivotArea collapsedLevelsAreSubtotals="1" fieldPosition="0">
        <references count="1">
          <reference field="4" count="1">
            <x v="47"/>
          </reference>
        </references>
      </pivotArea>
    </format>
    <format dxfId="26">
      <pivotArea collapsedLevelsAreSubtotals="1" fieldPosition="0">
        <references count="1">
          <reference field="4" count="5">
            <x v="49"/>
            <x v="50"/>
            <x v="51"/>
            <x v="52"/>
            <x v="53"/>
          </reference>
        </references>
      </pivotArea>
    </format>
    <format dxfId="25">
      <pivotArea collapsedLevelsAreSubtotals="1" fieldPosition="0">
        <references count="1">
          <reference field="4" count="1">
            <x v="56"/>
          </reference>
        </references>
      </pivotArea>
    </format>
    <format dxfId="24">
      <pivotArea collapsedLevelsAreSubtotals="1" fieldPosition="0">
        <references count="1">
          <reference field="4" count="7">
            <x v="58"/>
            <x v="59"/>
            <x v="61"/>
            <x v="63"/>
            <x v="64"/>
            <x v="65"/>
            <x v="66"/>
          </reference>
        </references>
      </pivotArea>
    </format>
    <format dxfId="23">
      <pivotArea grandRow="1" outline="0" collapsedLevelsAreSubtotals="1" fieldPosition="0"/>
    </format>
    <format dxfId="22">
      <pivotArea collapsedLevelsAreSubtotals="1" fieldPosition="0">
        <references count="2">
          <reference field="4294967294" count="2" selected="0">
            <x v="1"/>
            <x v="2"/>
          </reference>
          <reference field="4" count="6">
            <x v="1"/>
            <x v="2"/>
            <x v="3"/>
            <x v="4"/>
            <x v="5"/>
            <x v="6"/>
          </reference>
        </references>
      </pivotArea>
    </format>
    <format dxfId="21">
      <pivotArea collapsedLevelsAreSubtotals="1" fieldPosition="0">
        <references count="2">
          <reference field="4294967294" count="2" selected="0">
            <x v="1"/>
            <x v="2"/>
          </reference>
          <reference field="4" count="1">
            <x v="8"/>
          </reference>
        </references>
      </pivotArea>
    </format>
    <format dxfId="20">
      <pivotArea collapsedLevelsAreSubtotals="1" fieldPosition="0">
        <references count="2">
          <reference field="4294967294" count="2" selected="0">
            <x v="1"/>
            <x v="2"/>
          </reference>
          <reference field="4" count="3">
            <x v="10"/>
            <x v="11"/>
            <x v="12"/>
          </reference>
        </references>
      </pivotArea>
    </format>
    <format dxfId="19">
      <pivotArea collapsedLevelsAreSubtotals="1" fieldPosition="0">
        <references count="2">
          <reference field="4294967294" count="2" selected="0">
            <x v="1"/>
            <x v="2"/>
          </reference>
          <reference field="4" count="2">
            <x v="14"/>
            <x v="15"/>
          </reference>
        </references>
      </pivotArea>
    </format>
    <format dxfId="18">
      <pivotArea collapsedLevelsAreSubtotals="1" fieldPosition="0">
        <references count="2">
          <reference field="4294967294" count="2" selected="0">
            <x v="1"/>
            <x v="2"/>
          </reference>
          <reference field="4" count="5">
            <x v="17"/>
            <x v="18"/>
            <x v="19"/>
            <x v="20"/>
            <x v="21"/>
          </reference>
        </references>
      </pivotArea>
    </format>
    <format dxfId="17">
      <pivotArea collapsedLevelsAreSubtotals="1" fieldPosition="0">
        <references count="2">
          <reference field="4294967294" count="2" selected="0">
            <x v="1"/>
            <x v="2"/>
          </reference>
          <reference field="4" count="1">
            <x v="23"/>
          </reference>
        </references>
      </pivotArea>
    </format>
    <format dxfId="16">
      <pivotArea collapsedLevelsAreSubtotals="1" fieldPosition="0">
        <references count="2">
          <reference field="4294967294" count="2" selected="0">
            <x v="1"/>
            <x v="2"/>
          </reference>
          <reference field="4" count="13">
            <x v="25"/>
            <x v="26"/>
            <x v="27"/>
            <x v="29"/>
            <x v="30"/>
            <x v="31"/>
            <x v="32"/>
            <x v="33"/>
            <x v="34"/>
            <x v="35"/>
            <x v="36"/>
            <x v="37"/>
            <x v="38"/>
          </reference>
        </references>
      </pivotArea>
    </format>
    <format dxfId="15">
      <pivotArea collapsedLevelsAreSubtotals="1" fieldPosition="0">
        <references count="2">
          <reference field="4294967294" count="2" selected="0">
            <x v="1"/>
            <x v="2"/>
          </reference>
          <reference field="4" count="1">
            <x v="40"/>
          </reference>
        </references>
      </pivotArea>
    </format>
    <format dxfId="14">
      <pivotArea collapsedLevelsAreSubtotals="1" fieldPosition="0">
        <references count="2">
          <reference field="4294967294" count="2" selected="0">
            <x v="1"/>
            <x v="2"/>
          </reference>
          <reference field="4" count="6">
            <x v="42"/>
            <x v="43"/>
            <x v="44"/>
            <x v="45"/>
            <x v="46"/>
            <x v="47"/>
          </reference>
        </references>
      </pivotArea>
    </format>
    <format dxfId="13">
      <pivotArea collapsedLevelsAreSubtotals="1" fieldPosition="0">
        <references count="2">
          <reference field="4294967294" count="2" selected="0">
            <x v="1"/>
            <x v="2"/>
          </reference>
          <reference field="4" count="7">
            <x v="49"/>
            <x v="50"/>
            <x v="51"/>
            <x v="52"/>
            <x v="53"/>
            <x v="54"/>
            <x v="55"/>
          </reference>
        </references>
      </pivotArea>
    </format>
    <format dxfId="12">
      <pivotArea collapsedLevelsAreSubtotals="1" fieldPosition="0">
        <references count="2">
          <reference field="4294967294" count="2" selected="0">
            <x v="1"/>
            <x v="2"/>
          </reference>
          <reference field="4" count="3">
            <x v="58"/>
            <x v="59"/>
            <x v="64"/>
          </reference>
        </references>
      </pivotArea>
    </format>
    <format dxfId="11">
      <pivotArea collapsedLevelsAreSubtotals="1" fieldPosition="0">
        <references count="2">
          <reference field="4294967294" count="2" selected="0">
            <x v="1"/>
            <x v="2"/>
          </reference>
          <reference field="4" count="4">
            <x v="74"/>
            <x v="75"/>
            <x v="76"/>
            <x v="77"/>
          </reference>
        </references>
      </pivotArea>
    </format>
    <format dxfId="10">
      <pivotArea field="4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8"/>
  <sheetViews>
    <sheetView zoomScale="80" zoomScaleNormal="80" workbookViewId="0">
      <pane ySplit="1" topLeftCell="A4" activePane="bottomLeft" state="frozen"/>
      <selection pane="bottomLeft" activeCell="V4" sqref="V4"/>
    </sheetView>
  </sheetViews>
  <sheetFormatPr baseColWidth="10" defaultColWidth="9.140625" defaultRowHeight="15"/>
  <cols>
    <col min="1" max="1" width="7.42578125" customWidth="1"/>
    <col min="2" max="2" width="35.7109375" customWidth="1"/>
    <col min="3" max="3" width="14.42578125" customWidth="1"/>
    <col min="4" max="4" width="14" customWidth="1"/>
    <col min="5" max="5" width="17.7109375" customWidth="1"/>
    <col min="6" max="6" width="8" customWidth="1"/>
    <col min="7" max="7" width="14.42578125" customWidth="1"/>
    <col min="8" max="8" width="12.7109375" customWidth="1"/>
    <col min="9" max="9" width="14.5703125" customWidth="1"/>
    <col min="10" max="11" width="15.28515625" hidden="1" customWidth="1"/>
    <col min="12" max="12" width="16.42578125" hidden="1" customWidth="1"/>
    <col min="13" max="17" width="15.28515625" hidden="1" customWidth="1"/>
    <col min="18" max="18" width="15.7109375" hidden="1" customWidth="1"/>
    <col min="19" max="22" width="15.28515625" customWidth="1"/>
    <col min="23" max="23" width="16.42578125" bestFit="1" customWidth="1"/>
    <col min="24" max="24" width="18.7109375" bestFit="1" customWidth="1"/>
    <col min="25" max="25" width="19" bestFit="1" customWidth="1"/>
    <col min="26" max="26" width="17.140625" customWidth="1"/>
    <col min="27" max="27" width="16.7109375" customWidth="1"/>
  </cols>
  <sheetData>
    <row r="1" spans="1:26">
      <c r="H1" s="1"/>
    </row>
    <row r="3" spans="1:26" ht="18.75">
      <c r="H3" s="1"/>
      <c r="J3" s="130">
        <v>2025</v>
      </c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</row>
    <row r="4" spans="1:26">
      <c r="A4" s="11" t="s">
        <v>0</v>
      </c>
      <c r="B4" s="11" t="s">
        <v>1</v>
      </c>
      <c r="C4" s="11" t="s">
        <v>204</v>
      </c>
      <c r="D4" s="11" t="s">
        <v>205</v>
      </c>
      <c r="E4" s="11" t="s">
        <v>117</v>
      </c>
      <c r="F4" s="11" t="s">
        <v>2</v>
      </c>
      <c r="G4" s="11" t="s">
        <v>207</v>
      </c>
      <c r="H4" s="11" t="s">
        <v>3</v>
      </c>
      <c r="I4" s="11" t="s">
        <v>114</v>
      </c>
      <c r="J4" s="11" t="s">
        <v>118</v>
      </c>
      <c r="K4" s="11" t="s">
        <v>119</v>
      </c>
      <c r="L4" s="11" t="s">
        <v>120</v>
      </c>
      <c r="M4" s="11" t="s">
        <v>121</v>
      </c>
      <c r="N4" s="11" t="s">
        <v>185</v>
      </c>
      <c r="O4" s="11" t="s">
        <v>196</v>
      </c>
      <c r="P4" s="11" t="s">
        <v>222</v>
      </c>
      <c r="Q4" s="11" t="s">
        <v>244</v>
      </c>
      <c r="R4" s="11" t="s">
        <v>266</v>
      </c>
      <c r="S4" s="11" t="s">
        <v>277</v>
      </c>
      <c r="T4" s="11" t="s">
        <v>301</v>
      </c>
      <c r="U4" s="11" t="s">
        <v>302</v>
      </c>
      <c r="V4" s="11" t="s">
        <v>118</v>
      </c>
      <c r="W4" s="11" t="s">
        <v>292</v>
      </c>
      <c r="X4" s="11" t="s">
        <v>293</v>
      </c>
      <c r="Y4" s="11" t="s">
        <v>294</v>
      </c>
      <c r="Z4" s="11" t="s">
        <v>295</v>
      </c>
    </row>
    <row r="5" spans="1:26">
      <c r="A5" s="12">
        <v>1</v>
      </c>
      <c r="B5" s="12" t="s">
        <v>14</v>
      </c>
      <c r="C5" s="12">
        <v>9289920</v>
      </c>
      <c r="D5" s="12"/>
      <c r="E5" s="12" t="s">
        <v>561</v>
      </c>
      <c r="F5" s="12">
        <v>1</v>
      </c>
      <c r="G5" s="13">
        <v>859000</v>
      </c>
      <c r="H5" s="14" t="s">
        <v>4</v>
      </c>
      <c r="I5" s="15" t="s">
        <v>116</v>
      </c>
      <c r="J5" s="37"/>
      <c r="K5" s="37"/>
      <c r="L5" s="37"/>
      <c r="M5" s="37"/>
      <c r="N5" s="37">
        <v>800000</v>
      </c>
      <c r="O5" s="37"/>
      <c r="P5" s="37"/>
      <c r="Q5" s="37"/>
      <c r="R5" s="37">
        <v>400000</v>
      </c>
      <c r="S5" s="37">
        <v>0</v>
      </c>
      <c r="T5" s="37">
        <v>0</v>
      </c>
      <c r="U5" s="37">
        <v>0</v>
      </c>
      <c r="V5" s="37">
        <f>VLOOKUP(B5,'[1]INV. 2026'!$B:$J,9,0)</f>
        <v>0</v>
      </c>
      <c r="W5" s="59">
        <f>SUM(J5:V5)</f>
        <v>1200000</v>
      </c>
      <c r="X5" s="60">
        <f t="shared" ref="X5:X68" si="0">W5/400000</f>
        <v>3</v>
      </c>
      <c r="Y5" s="60">
        <f>COUNTIF(J5:V5,"&gt;0")</f>
        <v>2</v>
      </c>
      <c r="Z5" s="60">
        <f t="shared" ref="Z5:Z68" si="1">ROUNDUP(X5,0)</f>
        <v>3</v>
      </c>
    </row>
    <row r="6" spans="1:26">
      <c r="A6" s="12">
        <v>2</v>
      </c>
      <c r="B6" s="12" t="s">
        <v>190</v>
      </c>
      <c r="C6" s="12"/>
      <c r="D6" s="12"/>
      <c r="E6" s="12"/>
      <c r="F6" s="12"/>
      <c r="G6" s="13"/>
      <c r="H6" s="14"/>
      <c r="I6" s="15" t="s">
        <v>116</v>
      </c>
      <c r="J6" s="37"/>
      <c r="K6" s="37"/>
      <c r="L6" s="37"/>
      <c r="M6" s="38"/>
      <c r="N6" s="37">
        <v>100000</v>
      </c>
      <c r="O6" s="37"/>
      <c r="P6" s="37"/>
      <c r="Q6" s="37"/>
      <c r="R6" s="37">
        <v>0</v>
      </c>
      <c r="S6" s="37">
        <v>0</v>
      </c>
      <c r="T6" s="37">
        <v>0</v>
      </c>
      <c r="U6" s="37">
        <v>0</v>
      </c>
      <c r="V6" s="37">
        <f>VLOOKUP(B6,'[1]INV. 2026'!$B:$J,9,0)</f>
        <v>0</v>
      </c>
      <c r="W6" s="59">
        <f t="shared" ref="W6:W69" si="2">SUM(J6:V6)</f>
        <v>100000</v>
      </c>
      <c r="X6" s="60">
        <f t="shared" si="0"/>
        <v>0.25</v>
      </c>
      <c r="Y6" s="60">
        <f t="shared" ref="Y6:Y69" si="3">COUNTIF(J6:V6,"&gt;0")</f>
        <v>1</v>
      </c>
      <c r="Z6" s="60">
        <f t="shared" si="1"/>
        <v>1</v>
      </c>
    </row>
    <row r="7" spans="1:26">
      <c r="A7" s="12">
        <v>3</v>
      </c>
      <c r="B7" s="16" t="s">
        <v>88</v>
      </c>
      <c r="C7" s="16"/>
      <c r="D7" s="16"/>
      <c r="E7" s="12" t="s">
        <v>257</v>
      </c>
      <c r="F7" s="16"/>
      <c r="G7" s="17">
        <v>200000</v>
      </c>
      <c r="H7" s="18" t="s">
        <v>5</v>
      </c>
      <c r="I7" s="15" t="s">
        <v>116</v>
      </c>
      <c r="J7" s="37"/>
      <c r="K7" s="37"/>
      <c r="L7" s="37"/>
      <c r="M7" s="37"/>
      <c r="N7" s="37"/>
      <c r="O7" s="37"/>
      <c r="P7" s="37"/>
      <c r="Q7" s="37"/>
      <c r="R7" s="37">
        <v>0</v>
      </c>
      <c r="S7" s="37">
        <v>0</v>
      </c>
      <c r="T7" s="37">
        <v>0</v>
      </c>
      <c r="U7" s="37">
        <v>0</v>
      </c>
      <c r="V7" s="37">
        <f>VLOOKUP(B7,'[1]INV. 2026'!$B:$J,9,0)</f>
        <v>0</v>
      </c>
      <c r="W7" s="59">
        <f t="shared" si="2"/>
        <v>0</v>
      </c>
      <c r="X7" s="60">
        <f t="shared" si="0"/>
        <v>0</v>
      </c>
      <c r="Y7" s="60">
        <f t="shared" si="3"/>
        <v>0</v>
      </c>
      <c r="Z7" s="60">
        <f t="shared" si="1"/>
        <v>0</v>
      </c>
    </row>
    <row r="8" spans="1:26">
      <c r="A8" s="12">
        <v>4</v>
      </c>
      <c r="B8" s="16" t="s">
        <v>101</v>
      </c>
      <c r="C8" s="16"/>
      <c r="D8" s="16"/>
      <c r="E8" s="12" t="s">
        <v>257</v>
      </c>
      <c r="F8" s="16"/>
      <c r="G8" s="17">
        <v>0</v>
      </c>
      <c r="H8" s="18" t="s">
        <v>5</v>
      </c>
      <c r="I8" s="15" t="s">
        <v>116</v>
      </c>
      <c r="J8" s="37"/>
      <c r="K8" s="39">
        <v>100000</v>
      </c>
      <c r="L8" s="37"/>
      <c r="M8" s="37"/>
      <c r="N8" s="37"/>
      <c r="O8" s="37"/>
      <c r="P8" s="37"/>
      <c r="Q8" s="37"/>
      <c r="R8" s="37">
        <v>0</v>
      </c>
      <c r="S8" s="37">
        <v>0</v>
      </c>
      <c r="T8" s="37">
        <v>0</v>
      </c>
      <c r="U8" s="37">
        <v>0</v>
      </c>
      <c r="V8" s="37">
        <f>VLOOKUP(B8,'[1]INV. 2026'!$B:$J,9,0)</f>
        <v>0</v>
      </c>
      <c r="W8" s="59">
        <f t="shared" si="2"/>
        <v>100000</v>
      </c>
      <c r="X8" s="60">
        <f t="shared" si="0"/>
        <v>0.25</v>
      </c>
      <c r="Y8" s="60">
        <f t="shared" si="3"/>
        <v>1</v>
      </c>
      <c r="Z8" s="60">
        <f t="shared" si="1"/>
        <v>1</v>
      </c>
    </row>
    <row r="9" spans="1:26">
      <c r="A9" s="12">
        <v>5</v>
      </c>
      <c r="B9" s="16" t="s">
        <v>98</v>
      </c>
      <c r="C9" s="16">
        <v>1114621012</v>
      </c>
      <c r="D9" s="16">
        <v>3207945735</v>
      </c>
      <c r="E9" s="12" t="s">
        <v>257</v>
      </c>
      <c r="F9" s="16"/>
      <c r="G9" s="17">
        <v>1000000</v>
      </c>
      <c r="H9" s="18" t="s">
        <v>4</v>
      </c>
      <c r="I9" s="15" t="s">
        <v>116</v>
      </c>
      <c r="J9" s="37">
        <v>400000</v>
      </c>
      <c r="K9" s="37"/>
      <c r="L9" s="37"/>
      <c r="M9" s="37"/>
      <c r="N9" s="37"/>
      <c r="O9" s="37"/>
      <c r="P9" s="37"/>
      <c r="Q9" s="37"/>
      <c r="R9" s="37">
        <v>0</v>
      </c>
      <c r="S9" s="37">
        <v>0</v>
      </c>
      <c r="T9" s="37">
        <v>200000</v>
      </c>
      <c r="U9" s="37">
        <v>400000</v>
      </c>
      <c r="V9" s="37">
        <f>VLOOKUP(B9,'[1]INV. 2026'!$B:$J,9,0)</f>
        <v>0</v>
      </c>
      <c r="W9" s="59">
        <f t="shared" si="2"/>
        <v>1000000</v>
      </c>
      <c r="X9" s="60">
        <f t="shared" si="0"/>
        <v>2.5</v>
      </c>
      <c r="Y9" s="60">
        <f t="shared" si="3"/>
        <v>3</v>
      </c>
      <c r="Z9" s="60">
        <f t="shared" si="1"/>
        <v>3</v>
      </c>
    </row>
    <row r="10" spans="1:26">
      <c r="A10" s="12">
        <v>6</v>
      </c>
      <c r="B10" s="16" t="s">
        <v>91</v>
      </c>
      <c r="C10" s="16">
        <v>1035855590</v>
      </c>
      <c r="D10" s="16"/>
      <c r="E10" s="12" t="s">
        <v>562</v>
      </c>
      <c r="F10" s="16"/>
      <c r="G10" s="17">
        <v>200000</v>
      </c>
      <c r="H10" s="18" t="s">
        <v>4</v>
      </c>
      <c r="I10" s="15" t="s">
        <v>116</v>
      </c>
      <c r="J10" s="37"/>
      <c r="K10" s="37"/>
      <c r="L10" s="37"/>
      <c r="M10" s="37"/>
      <c r="N10" s="37"/>
      <c r="O10" s="37"/>
      <c r="P10" s="37">
        <v>100000</v>
      </c>
      <c r="Q10" s="37"/>
      <c r="R10" s="37">
        <v>0</v>
      </c>
      <c r="S10" s="37">
        <v>0</v>
      </c>
      <c r="T10" s="37">
        <v>400000</v>
      </c>
      <c r="U10" s="37">
        <v>400000</v>
      </c>
      <c r="V10" s="37">
        <f>VLOOKUP(B10,'[1]INV. 2026'!$B:$J,9,0)</f>
        <v>0</v>
      </c>
      <c r="W10" s="59">
        <f t="shared" si="2"/>
        <v>900000</v>
      </c>
      <c r="X10" s="60">
        <f t="shared" si="0"/>
        <v>2.25</v>
      </c>
      <c r="Y10" s="60">
        <f t="shared" si="3"/>
        <v>3</v>
      </c>
      <c r="Z10" s="60">
        <f t="shared" si="1"/>
        <v>3</v>
      </c>
    </row>
    <row r="11" spans="1:26">
      <c r="A11" s="12">
        <v>7</v>
      </c>
      <c r="B11" s="12" t="s">
        <v>188</v>
      </c>
      <c r="C11" s="12">
        <v>1077465696</v>
      </c>
      <c r="D11" s="12">
        <v>3207593131</v>
      </c>
      <c r="E11" s="12" t="s">
        <v>563</v>
      </c>
      <c r="F11" s="12"/>
      <c r="G11" s="13"/>
      <c r="H11" s="14"/>
      <c r="I11" s="15" t="s">
        <v>116</v>
      </c>
      <c r="J11" s="37"/>
      <c r="K11" s="37"/>
      <c r="L11" s="37"/>
      <c r="M11" s="38"/>
      <c r="N11" s="37">
        <v>400000</v>
      </c>
      <c r="O11" s="37"/>
      <c r="P11" s="37"/>
      <c r="Q11" s="37">
        <v>400000</v>
      </c>
      <c r="R11" s="37">
        <v>0</v>
      </c>
      <c r="S11" s="37">
        <v>0</v>
      </c>
      <c r="T11" s="37">
        <v>0</v>
      </c>
      <c r="U11" s="37">
        <v>800000</v>
      </c>
      <c r="V11" s="37">
        <f>VLOOKUP(B11,'[1]INV. 2026'!$B:$J,9,0)</f>
        <v>0</v>
      </c>
      <c r="W11" s="59">
        <f t="shared" si="2"/>
        <v>1600000</v>
      </c>
      <c r="X11" s="60">
        <f t="shared" si="0"/>
        <v>4</v>
      </c>
      <c r="Y11" s="60">
        <f t="shared" si="3"/>
        <v>3</v>
      </c>
      <c r="Z11" s="60">
        <f t="shared" si="1"/>
        <v>4</v>
      </c>
    </row>
    <row r="12" spans="1:26">
      <c r="A12" s="12">
        <v>8</v>
      </c>
      <c r="B12" s="12" t="s">
        <v>214</v>
      </c>
      <c r="C12" s="12"/>
      <c r="D12" s="12"/>
      <c r="E12" s="12"/>
      <c r="F12" s="12"/>
      <c r="G12" s="13"/>
      <c r="H12" s="14"/>
      <c r="I12" s="15" t="s">
        <v>116</v>
      </c>
      <c r="J12" s="37"/>
      <c r="K12" s="37"/>
      <c r="L12" s="37"/>
      <c r="M12" s="38"/>
      <c r="N12" s="37"/>
      <c r="O12" s="37">
        <v>1000000</v>
      </c>
      <c r="P12" s="37"/>
      <c r="Q12" s="37"/>
      <c r="R12" s="37">
        <v>0</v>
      </c>
      <c r="S12" s="37">
        <v>0</v>
      </c>
      <c r="T12" s="37">
        <v>0</v>
      </c>
      <c r="U12" s="37">
        <v>0</v>
      </c>
      <c r="V12" s="37">
        <f>VLOOKUP(B12,'[1]INV. 2026'!$B:$J,9,0)</f>
        <v>0</v>
      </c>
      <c r="W12" s="59">
        <f t="shared" si="2"/>
        <v>1000000</v>
      </c>
      <c r="X12" s="60">
        <f t="shared" si="0"/>
        <v>2.5</v>
      </c>
      <c r="Y12" s="60">
        <f t="shared" si="3"/>
        <v>1</v>
      </c>
      <c r="Z12" s="60">
        <f t="shared" si="1"/>
        <v>3</v>
      </c>
    </row>
    <row r="13" spans="1:26">
      <c r="A13" s="12">
        <v>9</v>
      </c>
      <c r="B13" s="12" t="s">
        <v>193</v>
      </c>
      <c r="C13" s="12"/>
      <c r="D13" s="12"/>
      <c r="E13" s="12" t="s">
        <v>257</v>
      </c>
      <c r="F13" s="12"/>
      <c r="G13" s="13"/>
      <c r="H13" s="14"/>
      <c r="I13" s="15" t="s">
        <v>116</v>
      </c>
      <c r="J13" s="37"/>
      <c r="K13" s="37"/>
      <c r="L13" s="37"/>
      <c r="M13" s="38"/>
      <c r="N13" s="37">
        <v>380000</v>
      </c>
      <c r="O13" s="37">
        <v>200000</v>
      </c>
      <c r="P13" s="37"/>
      <c r="Q13" s="37"/>
      <c r="R13" s="37">
        <v>0</v>
      </c>
      <c r="S13" s="37">
        <v>0</v>
      </c>
      <c r="T13" s="37">
        <v>0</v>
      </c>
      <c r="U13" s="37">
        <v>0</v>
      </c>
      <c r="V13" s="37">
        <f>VLOOKUP(B13,'[1]INV. 2026'!$B:$J,9,0)</f>
        <v>0</v>
      </c>
      <c r="W13" s="59">
        <f t="shared" si="2"/>
        <v>580000</v>
      </c>
      <c r="X13" s="60">
        <f t="shared" si="0"/>
        <v>1.45</v>
      </c>
      <c r="Y13" s="60">
        <f t="shared" si="3"/>
        <v>2</v>
      </c>
      <c r="Z13" s="60">
        <f t="shared" si="1"/>
        <v>2</v>
      </c>
    </row>
    <row r="14" spans="1:26">
      <c r="A14" s="12">
        <v>10</v>
      </c>
      <c r="B14" s="12" t="s">
        <v>15</v>
      </c>
      <c r="C14" s="12"/>
      <c r="D14" s="12"/>
      <c r="E14" s="12"/>
      <c r="F14" s="12">
        <v>3</v>
      </c>
      <c r="G14" s="13">
        <v>1200000</v>
      </c>
      <c r="H14" s="14" t="s">
        <v>4</v>
      </c>
      <c r="I14" s="15" t="s">
        <v>116</v>
      </c>
      <c r="J14" s="37"/>
      <c r="K14" s="37"/>
      <c r="L14" s="37"/>
      <c r="M14" s="37"/>
      <c r="N14" s="37"/>
      <c r="O14" s="37"/>
      <c r="P14" s="37"/>
      <c r="Q14" s="37"/>
      <c r="R14" s="37">
        <v>0</v>
      </c>
      <c r="S14" s="37">
        <v>0</v>
      </c>
      <c r="T14" s="37">
        <v>400000</v>
      </c>
      <c r="U14" s="37">
        <v>0</v>
      </c>
      <c r="V14" s="37">
        <f>VLOOKUP(B14,'[1]INV. 2026'!$B:$J,9,0)</f>
        <v>0</v>
      </c>
      <c r="W14" s="59">
        <f t="shared" si="2"/>
        <v>400000</v>
      </c>
      <c r="X14" s="60">
        <f t="shared" si="0"/>
        <v>1</v>
      </c>
      <c r="Y14" s="60">
        <f t="shared" si="3"/>
        <v>1</v>
      </c>
      <c r="Z14" s="60">
        <f t="shared" si="1"/>
        <v>1</v>
      </c>
    </row>
    <row r="15" spans="1:26">
      <c r="A15" s="12">
        <v>11</v>
      </c>
      <c r="B15" s="16" t="s">
        <v>92</v>
      </c>
      <c r="C15" s="16"/>
      <c r="D15" s="16"/>
      <c r="E15" s="12"/>
      <c r="F15" s="16"/>
      <c r="G15" s="17">
        <v>1500000</v>
      </c>
      <c r="H15" s="18" t="s">
        <v>4</v>
      </c>
      <c r="I15" s="15" t="s">
        <v>116</v>
      </c>
      <c r="J15" s="37"/>
      <c r="K15" s="37"/>
      <c r="L15" s="37"/>
      <c r="M15" s="37"/>
      <c r="N15" s="37"/>
      <c r="O15" s="37"/>
      <c r="P15" s="37"/>
      <c r="Q15" s="37"/>
      <c r="R15" s="37">
        <v>0</v>
      </c>
      <c r="S15" s="37">
        <v>0</v>
      </c>
      <c r="T15" s="37">
        <v>0</v>
      </c>
      <c r="U15" s="37">
        <v>0</v>
      </c>
      <c r="V15" s="37">
        <f>VLOOKUP(B15,'[1]INV. 2026'!$B:$J,9,0)</f>
        <v>0</v>
      </c>
      <c r="W15" s="59">
        <f t="shared" si="2"/>
        <v>0</v>
      </c>
      <c r="X15" s="60">
        <f t="shared" si="0"/>
        <v>0</v>
      </c>
      <c r="Y15" s="60">
        <f t="shared" si="3"/>
        <v>0</v>
      </c>
      <c r="Z15" s="60">
        <f t="shared" si="1"/>
        <v>0</v>
      </c>
    </row>
    <row r="16" spans="1:26">
      <c r="A16" s="12">
        <v>12</v>
      </c>
      <c r="B16" s="16" t="s">
        <v>71</v>
      </c>
      <c r="C16" s="16"/>
      <c r="D16" s="16"/>
      <c r="E16" s="12" t="s">
        <v>346</v>
      </c>
      <c r="F16" s="16"/>
      <c r="G16" s="17">
        <v>820000</v>
      </c>
      <c r="H16" s="18" t="s">
        <v>4</v>
      </c>
      <c r="I16" s="15" t="s">
        <v>116</v>
      </c>
      <c r="J16" s="37"/>
      <c r="K16" s="37"/>
      <c r="L16" s="37">
        <v>400000</v>
      </c>
      <c r="M16" s="37"/>
      <c r="N16" s="37"/>
      <c r="O16" s="37"/>
      <c r="P16" s="37"/>
      <c r="Q16" s="37">
        <v>400000</v>
      </c>
      <c r="R16" s="37">
        <v>400000</v>
      </c>
      <c r="S16" s="37">
        <v>400000</v>
      </c>
      <c r="T16" s="37">
        <v>0</v>
      </c>
      <c r="U16" s="37">
        <v>400000</v>
      </c>
      <c r="V16" s="37">
        <f>VLOOKUP(B16,'[1]INV. 2026'!$B:$J,9,0)</f>
        <v>400000</v>
      </c>
      <c r="W16" s="59">
        <f t="shared" si="2"/>
        <v>2400000</v>
      </c>
      <c r="X16" s="60">
        <f t="shared" si="0"/>
        <v>6</v>
      </c>
      <c r="Y16" s="60">
        <f t="shared" si="3"/>
        <v>6</v>
      </c>
      <c r="Z16" s="60">
        <f t="shared" si="1"/>
        <v>6</v>
      </c>
    </row>
    <row r="17" spans="1:26">
      <c r="A17" s="12">
        <v>13</v>
      </c>
      <c r="B17" s="12" t="s">
        <v>139</v>
      </c>
      <c r="C17" s="12">
        <v>1095846194</v>
      </c>
      <c r="D17" s="12">
        <v>3022962452</v>
      </c>
      <c r="E17" s="12" t="s">
        <v>257</v>
      </c>
      <c r="F17" s="12"/>
      <c r="G17" s="13"/>
      <c r="H17" s="14" t="s">
        <v>4</v>
      </c>
      <c r="I17" s="15" t="s">
        <v>116</v>
      </c>
      <c r="J17" s="37"/>
      <c r="K17" s="37"/>
      <c r="L17" s="37">
        <v>400000</v>
      </c>
      <c r="M17" s="37"/>
      <c r="N17" s="37">
        <v>200000</v>
      </c>
      <c r="O17" s="37"/>
      <c r="P17" s="37"/>
      <c r="Q17" s="37"/>
      <c r="R17" s="37">
        <v>0</v>
      </c>
      <c r="S17" s="37">
        <v>0</v>
      </c>
      <c r="T17" s="37">
        <v>400000</v>
      </c>
      <c r="U17" s="37">
        <v>0</v>
      </c>
      <c r="V17" s="37">
        <f>VLOOKUP(B17,'[1]INV. 2026'!$B:$J,9,0)</f>
        <v>0</v>
      </c>
      <c r="W17" s="59">
        <f t="shared" si="2"/>
        <v>1000000</v>
      </c>
      <c r="X17" s="60">
        <f t="shared" si="0"/>
        <v>2.5</v>
      </c>
      <c r="Y17" s="60">
        <f t="shared" si="3"/>
        <v>3</v>
      </c>
      <c r="Z17" s="60">
        <f t="shared" si="1"/>
        <v>3</v>
      </c>
    </row>
    <row r="18" spans="1:26">
      <c r="A18" s="12">
        <v>14</v>
      </c>
      <c r="B18" s="12" t="s">
        <v>17</v>
      </c>
      <c r="C18" s="12"/>
      <c r="D18" s="12"/>
      <c r="E18" s="12" t="s">
        <v>257</v>
      </c>
      <c r="F18" s="12">
        <v>1</v>
      </c>
      <c r="G18" s="13">
        <v>1320000</v>
      </c>
      <c r="H18" s="14" t="s">
        <v>5</v>
      </c>
      <c r="I18" s="15" t="s">
        <v>116</v>
      </c>
      <c r="J18" s="37">
        <v>400000</v>
      </c>
      <c r="K18" s="37">
        <v>424000</v>
      </c>
      <c r="L18" s="37">
        <v>425000</v>
      </c>
      <c r="M18" s="37">
        <v>450000</v>
      </c>
      <c r="N18" s="37">
        <v>400000</v>
      </c>
      <c r="O18" s="37">
        <v>400000</v>
      </c>
      <c r="P18" s="37">
        <v>400000</v>
      </c>
      <c r="Q18" s="37">
        <v>400000</v>
      </c>
      <c r="R18" s="37">
        <v>400000</v>
      </c>
      <c r="S18" s="37">
        <v>400000</v>
      </c>
      <c r="T18" s="37">
        <v>400000</v>
      </c>
      <c r="U18" s="37">
        <v>400000</v>
      </c>
      <c r="V18" s="37">
        <f>VLOOKUP(B18,'[1]INV. 2026'!$B:$J,9,0)</f>
        <v>400000</v>
      </c>
      <c r="W18" s="59">
        <f t="shared" si="2"/>
        <v>5299000</v>
      </c>
      <c r="X18" s="60">
        <f t="shared" si="0"/>
        <v>13.2475</v>
      </c>
      <c r="Y18" s="60">
        <f t="shared" si="3"/>
        <v>13</v>
      </c>
      <c r="Z18" s="60">
        <f t="shared" si="1"/>
        <v>14</v>
      </c>
    </row>
    <row r="19" spans="1:26">
      <c r="A19" s="12">
        <v>15</v>
      </c>
      <c r="B19" s="12" t="s">
        <v>16</v>
      </c>
      <c r="C19" s="12"/>
      <c r="D19" s="12"/>
      <c r="E19" s="12" t="s">
        <v>257</v>
      </c>
      <c r="F19" s="12">
        <v>1</v>
      </c>
      <c r="G19" s="13">
        <v>1200000</v>
      </c>
      <c r="H19" s="14" t="s">
        <v>5</v>
      </c>
      <c r="I19" s="15" t="s">
        <v>116</v>
      </c>
      <c r="J19" s="37"/>
      <c r="K19" s="37">
        <v>400000</v>
      </c>
      <c r="L19" s="37">
        <v>400000</v>
      </c>
      <c r="M19" s="37">
        <v>400000</v>
      </c>
      <c r="N19" s="37">
        <v>400000</v>
      </c>
      <c r="O19" s="37"/>
      <c r="P19" s="37">
        <v>400000</v>
      </c>
      <c r="Q19" s="37">
        <v>400000</v>
      </c>
      <c r="R19" s="37">
        <v>0</v>
      </c>
      <c r="S19" s="37">
        <v>400000</v>
      </c>
      <c r="T19" s="37">
        <v>400000</v>
      </c>
      <c r="U19" s="37">
        <v>400000</v>
      </c>
      <c r="V19" s="37">
        <f>VLOOKUP(B19,'[1]INV. 2026'!$B:$J,9,0)</f>
        <v>0</v>
      </c>
      <c r="W19" s="59">
        <f t="shared" si="2"/>
        <v>3600000</v>
      </c>
      <c r="X19" s="60">
        <f t="shared" si="0"/>
        <v>9</v>
      </c>
      <c r="Y19" s="60">
        <f t="shared" si="3"/>
        <v>9</v>
      </c>
      <c r="Z19" s="60">
        <f t="shared" si="1"/>
        <v>9</v>
      </c>
    </row>
    <row r="20" spans="1:26">
      <c r="A20" s="12">
        <v>16</v>
      </c>
      <c r="B20" s="16" t="s">
        <v>106</v>
      </c>
      <c r="C20" s="16">
        <v>14797460</v>
      </c>
      <c r="D20" s="16">
        <v>3160438302</v>
      </c>
      <c r="E20" s="12" t="s">
        <v>343</v>
      </c>
      <c r="F20" s="16"/>
      <c r="G20" s="17">
        <v>0</v>
      </c>
      <c r="H20" s="18" t="s">
        <v>4</v>
      </c>
      <c r="I20" s="15" t="s">
        <v>116</v>
      </c>
      <c r="J20" s="37">
        <v>400000</v>
      </c>
      <c r="K20" s="37">
        <v>400000</v>
      </c>
      <c r="L20" s="37">
        <v>400000</v>
      </c>
      <c r="M20" s="37">
        <v>400000</v>
      </c>
      <c r="N20" s="37">
        <v>400000</v>
      </c>
      <c r="O20" s="37">
        <v>400000</v>
      </c>
      <c r="P20" s="37">
        <v>400000</v>
      </c>
      <c r="Q20" s="37">
        <v>400000</v>
      </c>
      <c r="R20" s="37">
        <v>450000</v>
      </c>
      <c r="S20" s="37">
        <v>650000</v>
      </c>
      <c r="T20" s="37">
        <v>0</v>
      </c>
      <c r="U20" s="37">
        <v>900000</v>
      </c>
      <c r="V20" s="37">
        <f>VLOOKUP(B20,'[1]INV. 2026'!$B:$J,9,0)</f>
        <v>0</v>
      </c>
      <c r="W20" s="59">
        <f t="shared" si="2"/>
        <v>5200000</v>
      </c>
      <c r="X20" s="60">
        <f t="shared" si="0"/>
        <v>13</v>
      </c>
      <c r="Y20" s="60">
        <f t="shared" si="3"/>
        <v>11</v>
      </c>
      <c r="Z20" s="60">
        <f t="shared" si="1"/>
        <v>13</v>
      </c>
    </row>
    <row r="21" spans="1:26">
      <c r="A21" s="12">
        <v>17</v>
      </c>
      <c r="B21" s="16" t="s">
        <v>111</v>
      </c>
      <c r="C21" s="16"/>
      <c r="D21" s="16"/>
      <c r="E21" s="12"/>
      <c r="F21" s="16"/>
      <c r="G21" s="17">
        <v>0</v>
      </c>
      <c r="H21" s="18" t="s">
        <v>4</v>
      </c>
      <c r="I21" s="15" t="s">
        <v>116</v>
      </c>
      <c r="J21" s="37"/>
      <c r="K21" s="37"/>
      <c r="L21" s="37">
        <v>100000</v>
      </c>
      <c r="M21" s="37"/>
      <c r="N21" s="37"/>
      <c r="O21" s="37"/>
      <c r="P21" s="37"/>
      <c r="Q21" s="37"/>
      <c r="R21" s="37">
        <v>0</v>
      </c>
      <c r="S21" s="37">
        <v>0</v>
      </c>
      <c r="T21" s="37">
        <v>0</v>
      </c>
      <c r="U21" s="37">
        <v>0</v>
      </c>
      <c r="V21" s="37">
        <f>VLOOKUP(B21,'[1]INV. 2026'!$B:$J,9,0)</f>
        <v>0</v>
      </c>
      <c r="W21" s="59">
        <f t="shared" si="2"/>
        <v>100000</v>
      </c>
      <c r="X21" s="60">
        <f t="shared" si="0"/>
        <v>0.25</v>
      </c>
      <c r="Y21" s="60">
        <f t="shared" si="3"/>
        <v>1</v>
      </c>
      <c r="Z21" s="60">
        <f t="shared" si="1"/>
        <v>1</v>
      </c>
    </row>
    <row r="22" spans="1:26">
      <c r="A22" s="12">
        <v>18</v>
      </c>
      <c r="B22" s="12" t="s">
        <v>18</v>
      </c>
      <c r="C22" s="12">
        <v>79333423</v>
      </c>
      <c r="D22" s="12">
        <v>3166268412</v>
      </c>
      <c r="E22" s="12" t="s">
        <v>257</v>
      </c>
      <c r="F22" s="12">
        <v>3</v>
      </c>
      <c r="G22" s="13">
        <v>4000000</v>
      </c>
      <c r="H22" s="14" t="s">
        <v>5</v>
      </c>
      <c r="I22" s="15" t="s">
        <v>116</v>
      </c>
      <c r="J22" s="37">
        <v>800000</v>
      </c>
      <c r="K22" s="37">
        <v>2000000</v>
      </c>
      <c r="L22" s="37">
        <v>1200000</v>
      </c>
      <c r="M22" s="37">
        <v>1600000</v>
      </c>
      <c r="N22" s="37">
        <v>1200000</v>
      </c>
      <c r="O22" s="37">
        <v>1600000</v>
      </c>
      <c r="P22" s="37">
        <v>1700000</v>
      </c>
      <c r="Q22" s="37">
        <v>1200000</v>
      </c>
      <c r="R22" s="37">
        <v>1600000</v>
      </c>
      <c r="S22" s="37">
        <v>2000000</v>
      </c>
      <c r="T22" s="37">
        <v>2400000</v>
      </c>
      <c r="U22" s="37">
        <v>1600000</v>
      </c>
      <c r="V22" s="37">
        <f>VLOOKUP(B22,'[1]INV. 2026'!$B:$J,9,0)</f>
        <v>1200000</v>
      </c>
      <c r="W22" s="59">
        <f t="shared" si="2"/>
        <v>20100000</v>
      </c>
      <c r="X22" s="60">
        <f t="shared" si="0"/>
        <v>50.25</v>
      </c>
      <c r="Y22" s="60">
        <f t="shared" si="3"/>
        <v>13</v>
      </c>
      <c r="Z22" s="60">
        <f t="shared" si="1"/>
        <v>51</v>
      </c>
    </row>
    <row r="23" spans="1:26">
      <c r="A23" s="12">
        <v>19</v>
      </c>
      <c r="B23" s="12" t="s">
        <v>133</v>
      </c>
      <c r="C23" s="12"/>
      <c r="D23" s="12"/>
      <c r="E23" s="12"/>
      <c r="F23" s="12"/>
      <c r="G23" s="13">
        <v>0</v>
      </c>
      <c r="H23" s="14" t="s">
        <v>4</v>
      </c>
      <c r="I23" s="15" t="s">
        <v>116</v>
      </c>
      <c r="J23" s="37"/>
      <c r="K23" s="37"/>
      <c r="L23" s="37">
        <v>400000</v>
      </c>
      <c r="M23" s="37"/>
      <c r="N23" s="37">
        <v>400000</v>
      </c>
      <c r="O23" s="37"/>
      <c r="P23" s="37"/>
      <c r="Q23" s="37"/>
      <c r="R23" s="37">
        <v>0</v>
      </c>
      <c r="S23" s="37">
        <v>0</v>
      </c>
      <c r="T23" s="37">
        <v>0</v>
      </c>
      <c r="U23" s="37">
        <v>0</v>
      </c>
      <c r="V23" s="37">
        <f>VLOOKUP(B23,'[1]INV. 2026'!$B:$J,9,0)</f>
        <v>0</v>
      </c>
      <c r="W23" s="59">
        <f t="shared" si="2"/>
        <v>800000</v>
      </c>
      <c r="X23" s="60">
        <f t="shared" si="0"/>
        <v>2</v>
      </c>
      <c r="Y23" s="60">
        <f t="shared" si="3"/>
        <v>2</v>
      </c>
      <c r="Z23" s="60">
        <f t="shared" si="1"/>
        <v>2</v>
      </c>
    </row>
    <row r="24" spans="1:26">
      <c r="A24" s="12">
        <v>20</v>
      </c>
      <c r="B24" s="12" t="s">
        <v>19</v>
      </c>
      <c r="C24" s="12"/>
      <c r="D24" s="12"/>
      <c r="E24" s="12" t="s">
        <v>578</v>
      </c>
      <c r="F24" s="12">
        <v>1</v>
      </c>
      <c r="G24" s="13">
        <v>1200000</v>
      </c>
      <c r="H24" s="14" t="s">
        <v>4</v>
      </c>
      <c r="I24" s="15" t="s">
        <v>116</v>
      </c>
      <c r="J24" s="37"/>
      <c r="K24" s="37"/>
      <c r="L24" s="37"/>
      <c r="M24" s="37"/>
      <c r="N24" s="37"/>
      <c r="O24" s="37"/>
      <c r="P24" s="37"/>
      <c r="Q24" s="37"/>
      <c r="R24" s="37">
        <v>0</v>
      </c>
      <c r="S24" s="37">
        <v>0</v>
      </c>
      <c r="T24" s="37">
        <v>0</v>
      </c>
      <c r="U24" s="37">
        <v>0</v>
      </c>
      <c r="V24" s="37">
        <f>VLOOKUP(B24,'[1]INV. 2026'!$B:$J,9,0)</f>
        <v>400000</v>
      </c>
      <c r="W24" s="59">
        <f t="shared" si="2"/>
        <v>400000</v>
      </c>
      <c r="X24" s="60">
        <f t="shared" si="0"/>
        <v>1</v>
      </c>
      <c r="Y24" s="60">
        <f t="shared" si="3"/>
        <v>1</v>
      </c>
      <c r="Z24" s="60">
        <f t="shared" si="1"/>
        <v>1</v>
      </c>
    </row>
    <row r="25" spans="1:26">
      <c r="A25" s="12">
        <v>21</v>
      </c>
      <c r="B25" s="16" t="s">
        <v>103</v>
      </c>
      <c r="C25" s="16"/>
      <c r="D25" s="16"/>
      <c r="E25" s="12"/>
      <c r="F25" s="16"/>
      <c r="G25" s="17">
        <v>0</v>
      </c>
      <c r="H25" s="18" t="s">
        <v>4</v>
      </c>
      <c r="I25" s="15" t="s">
        <v>116</v>
      </c>
      <c r="J25" s="37"/>
      <c r="K25" s="37">
        <v>200000</v>
      </c>
      <c r="L25" s="37"/>
      <c r="M25" s="37"/>
      <c r="N25" s="37"/>
      <c r="O25" s="37"/>
      <c r="P25" s="37"/>
      <c r="Q25" s="37"/>
      <c r="R25" s="37">
        <v>0</v>
      </c>
      <c r="S25" s="37">
        <v>0</v>
      </c>
      <c r="T25" s="37">
        <v>0</v>
      </c>
      <c r="U25" s="37">
        <v>0</v>
      </c>
      <c r="V25" s="37">
        <f>VLOOKUP(B25,'[1]INV. 2026'!$B:$J,9,0)</f>
        <v>0</v>
      </c>
      <c r="W25" s="59">
        <f t="shared" si="2"/>
        <v>200000</v>
      </c>
      <c r="X25" s="60">
        <f t="shared" si="0"/>
        <v>0.5</v>
      </c>
      <c r="Y25" s="60">
        <f t="shared" si="3"/>
        <v>1</v>
      </c>
      <c r="Z25" s="60">
        <f t="shared" si="1"/>
        <v>1</v>
      </c>
    </row>
    <row r="26" spans="1:26">
      <c r="A26" s="12">
        <v>22</v>
      </c>
      <c r="B26" s="19" t="s">
        <v>74</v>
      </c>
      <c r="C26" s="19"/>
      <c r="D26" s="19"/>
      <c r="E26" s="12"/>
      <c r="F26" s="12"/>
      <c r="G26" s="13">
        <v>1200000</v>
      </c>
      <c r="H26" s="14" t="s">
        <v>4</v>
      </c>
      <c r="I26" s="15" t="s">
        <v>116</v>
      </c>
      <c r="J26" s="37"/>
      <c r="K26" s="37">
        <v>200000</v>
      </c>
      <c r="L26" s="37"/>
      <c r="M26" s="37">
        <v>400000</v>
      </c>
      <c r="N26" s="37">
        <v>200000</v>
      </c>
      <c r="O26" s="37"/>
      <c r="P26" s="37">
        <v>400000</v>
      </c>
      <c r="Q26" s="37"/>
      <c r="R26" s="37">
        <v>0</v>
      </c>
      <c r="S26" s="37">
        <v>0</v>
      </c>
      <c r="T26" s="37">
        <v>0</v>
      </c>
      <c r="U26" s="37">
        <v>0</v>
      </c>
      <c r="V26" s="37">
        <f>VLOOKUP(B26,'[1]INV. 2026'!$B:$J,9,0)</f>
        <v>0</v>
      </c>
      <c r="W26" s="59">
        <f t="shared" si="2"/>
        <v>1200000</v>
      </c>
      <c r="X26" s="60">
        <f t="shared" si="0"/>
        <v>3</v>
      </c>
      <c r="Y26" s="60">
        <f t="shared" si="3"/>
        <v>4</v>
      </c>
      <c r="Z26" s="60">
        <f t="shared" si="1"/>
        <v>3</v>
      </c>
    </row>
    <row r="27" spans="1:26">
      <c r="A27" s="12">
        <v>23</v>
      </c>
      <c r="B27" s="12" t="s">
        <v>20</v>
      </c>
      <c r="C27" s="12"/>
      <c r="D27" s="12"/>
      <c r="E27" s="12" t="s">
        <v>257</v>
      </c>
      <c r="F27" s="12">
        <v>1</v>
      </c>
      <c r="G27" s="13">
        <v>400000</v>
      </c>
      <c r="H27" s="14" t="s">
        <v>4</v>
      </c>
      <c r="I27" s="15" t="s">
        <v>116</v>
      </c>
      <c r="J27" s="37">
        <v>400000</v>
      </c>
      <c r="K27" s="37">
        <v>0</v>
      </c>
      <c r="L27" s="37">
        <v>400000</v>
      </c>
      <c r="M27" s="37"/>
      <c r="N27" s="37">
        <v>400000</v>
      </c>
      <c r="O27" s="37"/>
      <c r="P27" s="37">
        <v>800000</v>
      </c>
      <c r="Q27" s="37">
        <v>400000</v>
      </c>
      <c r="R27" s="37">
        <v>400000</v>
      </c>
      <c r="S27" s="37">
        <v>400000</v>
      </c>
      <c r="T27" s="37">
        <v>400000</v>
      </c>
      <c r="U27" s="37">
        <v>400000</v>
      </c>
      <c r="V27" s="37">
        <f>VLOOKUP(B27,'[1]INV. 2026'!$B:$J,9,0)</f>
        <v>0</v>
      </c>
      <c r="W27" s="59">
        <f t="shared" si="2"/>
        <v>4000000</v>
      </c>
      <c r="X27" s="60">
        <f t="shared" si="0"/>
        <v>10</v>
      </c>
      <c r="Y27" s="60">
        <f t="shared" si="3"/>
        <v>9</v>
      </c>
      <c r="Z27" s="60">
        <f t="shared" si="1"/>
        <v>10</v>
      </c>
    </row>
    <row r="28" spans="1:26">
      <c r="A28" s="12">
        <v>24</v>
      </c>
      <c r="B28" s="12" t="s">
        <v>44</v>
      </c>
      <c r="C28" s="12"/>
      <c r="D28" s="12"/>
      <c r="E28" s="12" t="s">
        <v>257</v>
      </c>
      <c r="F28" s="12">
        <v>1</v>
      </c>
      <c r="G28" s="13">
        <v>240000</v>
      </c>
      <c r="H28" s="14" t="s">
        <v>5</v>
      </c>
      <c r="I28" s="15" t="s">
        <v>116</v>
      </c>
      <c r="J28" s="37"/>
      <c r="K28" s="37"/>
      <c r="L28" s="37"/>
      <c r="M28" s="37"/>
      <c r="N28" s="37"/>
      <c r="O28" s="37"/>
      <c r="P28" s="37"/>
      <c r="Q28" s="37"/>
      <c r="R28" s="37">
        <v>0</v>
      </c>
      <c r="S28" s="37">
        <v>0</v>
      </c>
      <c r="T28" s="37">
        <v>0</v>
      </c>
      <c r="U28" s="37">
        <v>0</v>
      </c>
      <c r="V28" s="37">
        <f>VLOOKUP(B28,'[1]INV. 2026'!$B:$J,9,0)</f>
        <v>0</v>
      </c>
      <c r="W28" s="59">
        <f t="shared" si="2"/>
        <v>0</v>
      </c>
      <c r="X28" s="60">
        <f t="shared" si="0"/>
        <v>0</v>
      </c>
      <c r="Y28" s="60">
        <f t="shared" si="3"/>
        <v>0</v>
      </c>
      <c r="Z28" s="60">
        <f t="shared" si="1"/>
        <v>0</v>
      </c>
    </row>
    <row r="29" spans="1:26">
      <c r="A29" s="12">
        <v>25</v>
      </c>
      <c r="B29" s="12" t="s">
        <v>42</v>
      </c>
      <c r="C29" s="12">
        <v>60362206</v>
      </c>
      <c r="D29" s="12">
        <v>3165652640</v>
      </c>
      <c r="E29" s="12" t="s">
        <v>239</v>
      </c>
      <c r="F29" s="12">
        <v>1</v>
      </c>
      <c r="G29" s="13">
        <v>200000</v>
      </c>
      <c r="H29" s="14" t="s">
        <v>8</v>
      </c>
      <c r="I29" s="15" t="s">
        <v>116</v>
      </c>
      <c r="J29" s="37"/>
      <c r="K29" s="37"/>
      <c r="L29" s="37"/>
      <c r="M29" s="37"/>
      <c r="N29" s="37"/>
      <c r="O29" s="37"/>
      <c r="P29" s="37"/>
      <c r="Q29" s="37"/>
      <c r="R29" s="37">
        <v>0</v>
      </c>
      <c r="S29" s="37">
        <v>0</v>
      </c>
      <c r="T29" s="37">
        <v>400000</v>
      </c>
      <c r="U29" s="37">
        <v>400000</v>
      </c>
      <c r="V29" s="37">
        <f>VLOOKUP(B29,'[1]INV. 2026'!$B:$J,9,0)</f>
        <v>0</v>
      </c>
      <c r="W29" s="59">
        <f t="shared" si="2"/>
        <v>800000</v>
      </c>
      <c r="X29" s="60">
        <f t="shared" si="0"/>
        <v>2</v>
      </c>
      <c r="Y29" s="60">
        <f t="shared" si="3"/>
        <v>2</v>
      </c>
      <c r="Z29" s="60">
        <f t="shared" si="1"/>
        <v>2</v>
      </c>
    </row>
    <row r="30" spans="1:26">
      <c r="A30" s="12">
        <v>26</v>
      </c>
      <c r="B30" s="16" t="s">
        <v>76</v>
      </c>
      <c r="C30" s="16"/>
      <c r="D30" s="16"/>
      <c r="E30" s="12" t="s">
        <v>257</v>
      </c>
      <c r="F30" s="16"/>
      <c r="G30" s="17">
        <v>100000</v>
      </c>
      <c r="H30" s="18" t="s">
        <v>5</v>
      </c>
      <c r="I30" s="15" t="s">
        <v>116</v>
      </c>
      <c r="J30" s="37"/>
      <c r="K30" s="37"/>
      <c r="L30" s="37"/>
      <c r="M30" s="37"/>
      <c r="N30" s="37"/>
      <c r="O30" s="37"/>
      <c r="P30" s="37"/>
      <c r="Q30" s="37"/>
      <c r="R30" s="37">
        <v>0</v>
      </c>
      <c r="S30" s="37">
        <v>0</v>
      </c>
      <c r="T30" s="37">
        <v>0</v>
      </c>
      <c r="U30" s="37">
        <v>0</v>
      </c>
      <c r="V30" s="37">
        <f>VLOOKUP(B30,'[1]INV. 2026'!$B:$J,9,0)</f>
        <v>0</v>
      </c>
      <c r="W30" s="59">
        <f t="shared" si="2"/>
        <v>0</v>
      </c>
      <c r="X30" s="60">
        <f t="shared" si="0"/>
        <v>0</v>
      </c>
      <c r="Y30" s="60">
        <f t="shared" si="3"/>
        <v>0</v>
      </c>
      <c r="Z30" s="60">
        <f t="shared" si="1"/>
        <v>0</v>
      </c>
    </row>
    <row r="31" spans="1:26">
      <c r="A31" s="12">
        <v>27</v>
      </c>
      <c r="B31" s="12" t="s">
        <v>40</v>
      </c>
      <c r="C31" s="12">
        <v>88230239</v>
      </c>
      <c r="D31" s="12">
        <v>3123933769</v>
      </c>
      <c r="E31" s="12" t="s">
        <v>441</v>
      </c>
      <c r="F31" s="12">
        <v>1</v>
      </c>
      <c r="G31" s="13">
        <v>2860000</v>
      </c>
      <c r="H31" s="14" t="s">
        <v>8</v>
      </c>
      <c r="I31" s="15" t="s">
        <v>116</v>
      </c>
      <c r="J31" s="37">
        <v>830000</v>
      </c>
      <c r="K31" s="37">
        <v>830000</v>
      </c>
      <c r="L31" s="37"/>
      <c r="M31" s="37">
        <v>830000</v>
      </c>
      <c r="N31" s="37">
        <v>830000</v>
      </c>
      <c r="O31" s="37"/>
      <c r="P31" s="37">
        <v>830000</v>
      </c>
      <c r="Q31" s="37"/>
      <c r="R31" s="37">
        <v>830000</v>
      </c>
      <c r="S31" s="37">
        <v>0</v>
      </c>
      <c r="T31" s="37">
        <v>605000</v>
      </c>
      <c r="U31" s="37">
        <v>1600000</v>
      </c>
      <c r="V31" s="37">
        <f>VLOOKUP(B31,'[1]INV. 2026'!$B:$J,9,0)</f>
        <v>1600000</v>
      </c>
      <c r="W31" s="59">
        <f t="shared" si="2"/>
        <v>8785000</v>
      </c>
      <c r="X31" s="60">
        <f t="shared" si="0"/>
        <v>21.962499999999999</v>
      </c>
      <c r="Y31" s="60">
        <f t="shared" si="3"/>
        <v>9</v>
      </c>
      <c r="Z31" s="60">
        <f t="shared" si="1"/>
        <v>22</v>
      </c>
    </row>
    <row r="32" spans="1:26">
      <c r="A32" s="12">
        <v>28</v>
      </c>
      <c r="B32" s="16" t="s">
        <v>72</v>
      </c>
      <c r="C32" s="16"/>
      <c r="D32" s="16"/>
      <c r="E32" s="12" t="s">
        <v>257</v>
      </c>
      <c r="F32" s="16"/>
      <c r="G32" s="17">
        <v>450000</v>
      </c>
      <c r="H32" s="18" t="s">
        <v>5</v>
      </c>
      <c r="I32" s="15" t="s">
        <v>116</v>
      </c>
      <c r="J32" s="37"/>
      <c r="K32" s="37"/>
      <c r="L32" s="37"/>
      <c r="M32" s="37"/>
      <c r="N32" s="37"/>
      <c r="O32" s="37"/>
      <c r="P32" s="37"/>
      <c r="Q32" s="37"/>
      <c r="R32" s="37">
        <v>0</v>
      </c>
      <c r="S32" s="37">
        <v>0</v>
      </c>
      <c r="T32" s="37">
        <v>0</v>
      </c>
      <c r="U32" s="37">
        <v>0</v>
      </c>
      <c r="V32" s="37">
        <f>VLOOKUP(B32,'[1]INV. 2026'!$B:$J,9,0)</f>
        <v>0</v>
      </c>
      <c r="W32" s="59">
        <f t="shared" si="2"/>
        <v>0</v>
      </c>
      <c r="X32" s="60">
        <f t="shared" si="0"/>
        <v>0</v>
      </c>
      <c r="Y32" s="60">
        <f t="shared" si="3"/>
        <v>0</v>
      </c>
      <c r="Z32" s="60">
        <f t="shared" si="1"/>
        <v>0</v>
      </c>
    </row>
    <row r="33" spans="1:26">
      <c r="A33" s="12">
        <v>29</v>
      </c>
      <c r="B33" s="12" t="s">
        <v>21</v>
      </c>
      <c r="C33" s="12"/>
      <c r="D33" s="12"/>
      <c r="E33" s="12"/>
      <c r="F33" s="12">
        <v>1</v>
      </c>
      <c r="G33" s="13">
        <v>0</v>
      </c>
      <c r="H33" s="13" t="s">
        <v>13</v>
      </c>
      <c r="I33" s="15" t="s">
        <v>116</v>
      </c>
      <c r="J33" s="37"/>
      <c r="K33" s="37"/>
      <c r="L33" s="37"/>
      <c r="M33" s="37"/>
      <c r="N33" s="37"/>
      <c r="O33" s="37"/>
      <c r="P33" s="37"/>
      <c r="Q33" s="37"/>
      <c r="R33" s="37">
        <v>0</v>
      </c>
      <c r="S33" s="37">
        <v>0</v>
      </c>
      <c r="T33" s="37">
        <v>0</v>
      </c>
      <c r="U33" s="37">
        <v>0</v>
      </c>
      <c r="V33" s="37">
        <f>VLOOKUP(B33,'[1]INV. 2026'!$B:$J,9,0)</f>
        <v>0</v>
      </c>
      <c r="W33" s="59">
        <f t="shared" si="2"/>
        <v>0</v>
      </c>
      <c r="X33" s="60">
        <f t="shared" si="0"/>
        <v>0</v>
      </c>
      <c r="Y33" s="60">
        <f t="shared" si="3"/>
        <v>0</v>
      </c>
      <c r="Z33" s="60">
        <f t="shared" si="1"/>
        <v>0</v>
      </c>
    </row>
    <row r="34" spans="1:26">
      <c r="A34" s="12">
        <v>30</v>
      </c>
      <c r="B34" s="16" t="s">
        <v>53</v>
      </c>
      <c r="C34" s="16"/>
      <c r="D34" s="16"/>
      <c r="E34" s="12" t="s">
        <v>257</v>
      </c>
      <c r="F34" s="12"/>
      <c r="G34" s="17">
        <v>400000</v>
      </c>
      <c r="H34" s="14" t="s">
        <v>4</v>
      </c>
      <c r="I34" s="15" t="s">
        <v>116</v>
      </c>
      <c r="J34" s="37"/>
      <c r="K34" s="37"/>
      <c r="L34" s="37"/>
      <c r="M34" s="37"/>
      <c r="N34" s="37"/>
      <c r="O34" s="37"/>
      <c r="P34" s="37"/>
      <c r="Q34" s="37"/>
      <c r="R34" s="37">
        <v>0</v>
      </c>
      <c r="S34" s="37">
        <v>0</v>
      </c>
      <c r="T34" s="37">
        <v>0</v>
      </c>
      <c r="U34" s="37">
        <v>0</v>
      </c>
      <c r="V34" s="37">
        <f>VLOOKUP(B34,'[1]INV. 2026'!$B:$J,9,0)</f>
        <v>0</v>
      </c>
      <c r="W34" s="59">
        <f t="shared" si="2"/>
        <v>0</v>
      </c>
      <c r="X34" s="60">
        <f t="shared" si="0"/>
        <v>0</v>
      </c>
      <c r="Y34" s="60">
        <f t="shared" si="3"/>
        <v>0</v>
      </c>
      <c r="Z34" s="60">
        <f t="shared" si="1"/>
        <v>0</v>
      </c>
    </row>
    <row r="35" spans="1:26">
      <c r="A35" s="12">
        <v>31</v>
      </c>
      <c r="B35" s="12" t="s">
        <v>22</v>
      </c>
      <c r="C35" s="12">
        <v>23963745</v>
      </c>
      <c r="D35" s="12">
        <v>3142385522</v>
      </c>
      <c r="E35" s="12" t="s">
        <v>257</v>
      </c>
      <c r="F35" s="12">
        <v>2</v>
      </c>
      <c r="G35" s="13">
        <v>4400000</v>
      </c>
      <c r="H35" s="14" t="s">
        <v>6</v>
      </c>
      <c r="I35" s="15" t="s">
        <v>116</v>
      </c>
      <c r="J35" s="37">
        <v>1200000</v>
      </c>
      <c r="K35" s="37">
        <v>0</v>
      </c>
      <c r="L35" s="37">
        <v>1200000</v>
      </c>
      <c r="M35" s="37">
        <v>1200000</v>
      </c>
      <c r="N35" s="37"/>
      <c r="O35" s="37">
        <v>1200000</v>
      </c>
      <c r="P35" s="37">
        <v>1600000</v>
      </c>
      <c r="Q35" s="37">
        <v>2000000</v>
      </c>
      <c r="R35" s="37">
        <v>0</v>
      </c>
      <c r="S35" s="37">
        <v>2000000</v>
      </c>
      <c r="T35" s="37">
        <v>3200000</v>
      </c>
      <c r="U35" s="37">
        <v>3600000</v>
      </c>
      <c r="V35" s="37">
        <f>VLOOKUP(B35,'[1]INV. 2026'!$B:$J,9,0)</f>
        <v>3600000</v>
      </c>
      <c r="W35" s="59">
        <f t="shared" si="2"/>
        <v>20800000</v>
      </c>
      <c r="X35" s="60">
        <f t="shared" si="0"/>
        <v>52</v>
      </c>
      <c r="Y35" s="60">
        <f t="shared" si="3"/>
        <v>10</v>
      </c>
      <c r="Z35" s="60">
        <f t="shared" si="1"/>
        <v>52</v>
      </c>
    </row>
    <row r="36" spans="1:26">
      <c r="A36" s="12">
        <v>32</v>
      </c>
      <c r="B36" s="16" t="s">
        <v>102</v>
      </c>
      <c r="C36" s="16"/>
      <c r="D36" s="16"/>
      <c r="E36" s="12" t="s">
        <v>257</v>
      </c>
      <c r="F36" s="16"/>
      <c r="G36" s="17">
        <v>0</v>
      </c>
      <c r="H36" s="18" t="s">
        <v>5</v>
      </c>
      <c r="I36" s="15" t="s">
        <v>116</v>
      </c>
      <c r="J36" s="37"/>
      <c r="K36" s="37">
        <v>200000</v>
      </c>
      <c r="L36" s="37"/>
      <c r="M36" s="37"/>
      <c r="N36" s="37"/>
      <c r="O36" s="37"/>
      <c r="P36" s="37"/>
      <c r="Q36" s="37">
        <v>400000</v>
      </c>
      <c r="R36" s="37">
        <v>400000</v>
      </c>
      <c r="S36" s="37">
        <v>400000</v>
      </c>
      <c r="T36" s="37">
        <v>400000</v>
      </c>
      <c r="U36" s="37">
        <v>400000</v>
      </c>
      <c r="V36" s="37">
        <f>VLOOKUP(B36,'[1]INV. 2026'!$B:$J,9,0)</f>
        <v>400000</v>
      </c>
      <c r="W36" s="59">
        <f t="shared" si="2"/>
        <v>2600000</v>
      </c>
      <c r="X36" s="60">
        <f t="shared" si="0"/>
        <v>6.5</v>
      </c>
      <c r="Y36" s="60">
        <f t="shared" si="3"/>
        <v>7</v>
      </c>
      <c r="Z36" s="60">
        <f t="shared" si="1"/>
        <v>7</v>
      </c>
    </row>
    <row r="37" spans="1:26">
      <c r="A37" s="12">
        <v>33</v>
      </c>
      <c r="B37" s="12" t="s">
        <v>23</v>
      </c>
      <c r="C37" s="12">
        <v>13177594</v>
      </c>
      <c r="D37" s="12">
        <v>3107951023</v>
      </c>
      <c r="E37" s="12" t="s">
        <v>344</v>
      </c>
      <c r="F37" s="12">
        <v>1</v>
      </c>
      <c r="G37" s="13">
        <v>0</v>
      </c>
      <c r="H37" s="13" t="s">
        <v>13</v>
      </c>
      <c r="I37" s="15" t="s">
        <v>116</v>
      </c>
      <c r="J37" s="37"/>
      <c r="K37" s="37"/>
      <c r="L37" s="37"/>
      <c r="M37" s="37"/>
      <c r="N37" s="37"/>
      <c r="O37" s="37"/>
      <c r="P37" s="37"/>
      <c r="Q37" s="37"/>
      <c r="R37" s="37">
        <v>400000</v>
      </c>
      <c r="S37" s="37">
        <v>400000</v>
      </c>
      <c r="T37" s="37">
        <v>0</v>
      </c>
      <c r="U37" s="37">
        <v>0</v>
      </c>
      <c r="V37" s="37">
        <f>VLOOKUP(B37,'[1]INV. 2026'!$B:$J,9,0)</f>
        <v>0</v>
      </c>
      <c r="W37" s="59">
        <f t="shared" si="2"/>
        <v>800000</v>
      </c>
      <c r="X37" s="60">
        <f t="shared" si="0"/>
        <v>2</v>
      </c>
      <c r="Y37" s="60">
        <f t="shared" si="3"/>
        <v>2</v>
      </c>
      <c r="Z37" s="60">
        <f t="shared" si="1"/>
        <v>2</v>
      </c>
    </row>
    <row r="38" spans="1:26">
      <c r="A38" s="12">
        <v>34</v>
      </c>
      <c r="B38" s="16" t="s">
        <v>96</v>
      </c>
      <c r="C38" s="16"/>
      <c r="D38" s="16"/>
      <c r="E38" s="12"/>
      <c r="F38" s="16"/>
      <c r="G38" s="17">
        <v>400000</v>
      </c>
      <c r="H38" s="18" t="s">
        <v>4</v>
      </c>
      <c r="I38" s="15" t="s">
        <v>116</v>
      </c>
      <c r="J38" s="37"/>
      <c r="K38" s="37">
        <v>400000</v>
      </c>
      <c r="L38" s="37"/>
      <c r="M38" s="37">
        <v>400000</v>
      </c>
      <c r="N38" s="37"/>
      <c r="O38" s="37"/>
      <c r="P38" s="37"/>
      <c r="Q38" s="37"/>
      <c r="R38" s="37">
        <v>0</v>
      </c>
      <c r="S38" s="37">
        <v>0</v>
      </c>
      <c r="T38" s="37">
        <v>0</v>
      </c>
      <c r="U38" s="37">
        <v>0</v>
      </c>
      <c r="V38" s="37">
        <f>VLOOKUP(B38,'[1]INV. 2026'!$B:$J,9,0)</f>
        <v>0</v>
      </c>
      <c r="W38" s="59">
        <f t="shared" si="2"/>
        <v>800000</v>
      </c>
      <c r="X38" s="60">
        <f t="shared" si="0"/>
        <v>2</v>
      </c>
      <c r="Y38" s="60">
        <f t="shared" si="3"/>
        <v>2</v>
      </c>
      <c r="Z38" s="60">
        <f t="shared" si="1"/>
        <v>2</v>
      </c>
    </row>
    <row r="39" spans="1:26">
      <c r="A39" s="12">
        <v>35</v>
      </c>
      <c r="B39" s="16" t="s">
        <v>84</v>
      </c>
      <c r="C39" s="16">
        <v>4803428</v>
      </c>
      <c r="D39" s="16">
        <v>3009838761</v>
      </c>
      <c r="E39" s="12" t="s">
        <v>230</v>
      </c>
      <c r="F39" s="16"/>
      <c r="G39" s="17">
        <v>800000</v>
      </c>
      <c r="H39" s="18" t="s">
        <v>4</v>
      </c>
      <c r="I39" s="15" t="s">
        <v>116</v>
      </c>
      <c r="J39" s="37"/>
      <c r="K39" s="37">
        <v>400000</v>
      </c>
      <c r="L39" s="37"/>
      <c r="M39" s="37">
        <v>400000</v>
      </c>
      <c r="N39" s="37">
        <v>400000</v>
      </c>
      <c r="O39" s="37"/>
      <c r="P39" s="37"/>
      <c r="Q39" s="37"/>
      <c r="R39" s="37">
        <v>800000</v>
      </c>
      <c r="S39" s="37">
        <v>0</v>
      </c>
      <c r="T39" s="37">
        <v>1600000</v>
      </c>
      <c r="U39" s="37">
        <v>0</v>
      </c>
      <c r="V39" s="37">
        <f>VLOOKUP(B39,'[1]INV. 2026'!$B:$J,9,0)</f>
        <v>0</v>
      </c>
      <c r="W39" s="59">
        <f t="shared" si="2"/>
        <v>3600000</v>
      </c>
      <c r="X39" s="60">
        <f t="shared" si="0"/>
        <v>9</v>
      </c>
      <c r="Y39" s="60">
        <f t="shared" si="3"/>
        <v>5</v>
      </c>
      <c r="Z39" s="60">
        <f t="shared" si="1"/>
        <v>9</v>
      </c>
    </row>
    <row r="40" spans="1:26">
      <c r="A40" s="12">
        <v>36</v>
      </c>
      <c r="B40" s="16" t="s">
        <v>86</v>
      </c>
      <c r="C40" s="16">
        <v>93206783</v>
      </c>
      <c r="D40" s="16">
        <v>3125188563</v>
      </c>
      <c r="E40" s="12" t="s">
        <v>230</v>
      </c>
      <c r="F40" s="16"/>
      <c r="G40" s="17">
        <v>800000</v>
      </c>
      <c r="H40" s="18" t="s">
        <v>4</v>
      </c>
      <c r="I40" s="15" t="s">
        <v>116</v>
      </c>
      <c r="J40" s="37">
        <v>400000</v>
      </c>
      <c r="K40" s="37">
        <v>400000</v>
      </c>
      <c r="L40" s="37"/>
      <c r="M40" s="37">
        <v>400000</v>
      </c>
      <c r="N40" s="37">
        <v>400000</v>
      </c>
      <c r="O40" s="37">
        <v>400000</v>
      </c>
      <c r="P40" s="37">
        <v>400000</v>
      </c>
      <c r="Q40" s="37">
        <v>400000</v>
      </c>
      <c r="R40" s="37">
        <v>800000</v>
      </c>
      <c r="S40" s="37">
        <v>800000</v>
      </c>
      <c r="T40" s="37">
        <v>800000</v>
      </c>
      <c r="U40" s="37">
        <v>0</v>
      </c>
      <c r="V40" s="37">
        <f>VLOOKUP(B40,'[1]INV. 2026'!$B:$J,9,0)</f>
        <v>0</v>
      </c>
      <c r="W40" s="59">
        <f t="shared" si="2"/>
        <v>5200000</v>
      </c>
      <c r="X40" s="60">
        <f t="shared" si="0"/>
        <v>13</v>
      </c>
      <c r="Y40" s="60">
        <f t="shared" si="3"/>
        <v>10</v>
      </c>
      <c r="Z40" s="60">
        <f t="shared" si="1"/>
        <v>13</v>
      </c>
    </row>
    <row r="41" spans="1:26">
      <c r="A41" s="12">
        <v>37</v>
      </c>
      <c r="B41" s="16" t="s">
        <v>58</v>
      </c>
      <c r="C41" s="16">
        <v>72147202</v>
      </c>
      <c r="D41" s="16">
        <v>3126317467</v>
      </c>
      <c r="E41" s="12" t="s">
        <v>345</v>
      </c>
      <c r="F41" s="12"/>
      <c r="G41" s="17">
        <v>1200000</v>
      </c>
      <c r="H41" s="14" t="s">
        <v>8</v>
      </c>
      <c r="I41" s="15" t="s">
        <v>116</v>
      </c>
      <c r="J41" s="37"/>
      <c r="K41" s="37"/>
      <c r="L41" s="37">
        <v>800000</v>
      </c>
      <c r="M41" s="37">
        <v>400000</v>
      </c>
      <c r="N41" s="37"/>
      <c r="O41" s="37">
        <v>400000</v>
      </c>
      <c r="P41" s="37"/>
      <c r="Q41" s="37"/>
      <c r="R41" s="37">
        <v>0</v>
      </c>
      <c r="S41" s="37">
        <v>800000</v>
      </c>
      <c r="T41" s="37">
        <v>400000</v>
      </c>
      <c r="U41" s="37">
        <v>400000</v>
      </c>
      <c r="V41" s="37">
        <f>VLOOKUP(B41,'[1]INV. 2026'!$B:$J,9,0)</f>
        <v>0</v>
      </c>
      <c r="W41" s="59">
        <f t="shared" si="2"/>
        <v>3200000</v>
      </c>
      <c r="X41" s="60">
        <f t="shared" si="0"/>
        <v>8</v>
      </c>
      <c r="Y41" s="60">
        <f t="shared" si="3"/>
        <v>6</v>
      </c>
      <c r="Z41" s="60">
        <f t="shared" si="1"/>
        <v>8</v>
      </c>
    </row>
    <row r="42" spans="1:26">
      <c r="A42" s="12">
        <v>38</v>
      </c>
      <c r="B42" s="16" t="s">
        <v>62</v>
      </c>
      <c r="C42" s="16"/>
      <c r="D42" s="16"/>
      <c r="E42" s="12" t="s">
        <v>159</v>
      </c>
      <c r="F42" s="12"/>
      <c r="G42" s="17">
        <v>2812000</v>
      </c>
      <c r="H42" s="14" t="s">
        <v>4</v>
      </c>
      <c r="I42" s="15" t="s">
        <v>116</v>
      </c>
      <c r="J42" s="37">
        <v>1030000</v>
      </c>
      <c r="K42" s="37">
        <v>1020000</v>
      </c>
      <c r="L42" s="37"/>
      <c r="M42" s="37"/>
      <c r="N42" s="37">
        <v>1020000</v>
      </c>
      <c r="O42" s="37"/>
      <c r="P42" s="37"/>
      <c r="Q42" s="37">
        <v>640000</v>
      </c>
      <c r="R42" s="37">
        <v>0</v>
      </c>
      <c r="S42" s="37">
        <v>0</v>
      </c>
      <c r="T42" s="37">
        <v>0</v>
      </c>
      <c r="U42" s="37">
        <v>0</v>
      </c>
      <c r="V42" s="37">
        <f>VLOOKUP(B42,'[1]INV. 2026'!$B:$J,9,0)</f>
        <v>0</v>
      </c>
      <c r="W42" s="59">
        <f t="shared" si="2"/>
        <v>3710000</v>
      </c>
      <c r="X42" s="60">
        <f t="shared" si="0"/>
        <v>9.2750000000000004</v>
      </c>
      <c r="Y42" s="60">
        <f t="shared" si="3"/>
        <v>4</v>
      </c>
      <c r="Z42" s="60">
        <f t="shared" si="1"/>
        <v>10</v>
      </c>
    </row>
    <row r="43" spans="1:26">
      <c r="A43" s="12">
        <v>39</v>
      </c>
      <c r="B43" s="16" t="s">
        <v>69</v>
      </c>
      <c r="C43" s="16">
        <v>8742974</v>
      </c>
      <c r="D43" s="16">
        <v>317889812</v>
      </c>
      <c r="E43" s="12" t="s">
        <v>442</v>
      </c>
      <c r="F43" s="16"/>
      <c r="G43" s="17">
        <v>5200000</v>
      </c>
      <c r="H43" s="18" t="s">
        <v>4</v>
      </c>
      <c r="I43" s="15" t="s">
        <v>116</v>
      </c>
      <c r="J43" s="37">
        <v>4000000</v>
      </c>
      <c r="K43" s="37"/>
      <c r="L43" s="37">
        <v>2000000</v>
      </c>
      <c r="M43" s="37">
        <v>2000000</v>
      </c>
      <c r="N43" s="37"/>
      <c r="O43" s="37">
        <v>1600000</v>
      </c>
      <c r="P43" s="37">
        <v>903000</v>
      </c>
      <c r="Q43" s="37"/>
      <c r="R43" s="37">
        <v>3310000</v>
      </c>
      <c r="S43" s="37">
        <v>0</v>
      </c>
      <c r="T43" s="37">
        <v>800000</v>
      </c>
      <c r="U43" s="37">
        <v>395000</v>
      </c>
      <c r="V43" s="37">
        <f>VLOOKUP(B43,'[1]INV. 2026'!$B:$J,9,0)</f>
        <v>2085000</v>
      </c>
      <c r="W43" s="59">
        <f t="shared" si="2"/>
        <v>17093000</v>
      </c>
      <c r="X43" s="60">
        <f t="shared" si="0"/>
        <v>42.732500000000002</v>
      </c>
      <c r="Y43" s="60">
        <f t="shared" si="3"/>
        <v>9</v>
      </c>
      <c r="Z43" s="60">
        <f t="shared" si="1"/>
        <v>43</v>
      </c>
    </row>
    <row r="44" spans="1:26">
      <c r="A44" s="12">
        <v>40</v>
      </c>
      <c r="B44" s="16" t="s">
        <v>94</v>
      </c>
      <c r="C44" s="16"/>
      <c r="D44" s="16"/>
      <c r="E44" s="12" t="s">
        <v>160</v>
      </c>
      <c r="F44" s="16"/>
      <c r="G44" s="17">
        <v>0</v>
      </c>
      <c r="H44" s="18" t="s">
        <v>4</v>
      </c>
      <c r="I44" s="15" t="s">
        <v>116</v>
      </c>
      <c r="J44" s="37">
        <v>400000</v>
      </c>
      <c r="K44" s="37"/>
      <c r="L44" s="37"/>
      <c r="M44" s="37"/>
      <c r="N44" s="37"/>
      <c r="O44" s="37"/>
      <c r="P44" s="37"/>
      <c r="Q44" s="37"/>
      <c r="R44" s="37">
        <v>200000</v>
      </c>
      <c r="S44" s="37">
        <v>0</v>
      </c>
      <c r="T44" s="37">
        <v>0</v>
      </c>
      <c r="U44" s="37">
        <v>0</v>
      </c>
      <c r="V44" s="37">
        <f>VLOOKUP(B44,'[1]INV. 2026'!$B:$J,9,0)</f>
        <v>0</v>
      </c>
      <c r="W44" s="59">
        <f t="shared" si="2"/>
        <v>600000</v>
      </c>
      <c r="X44" s="60">
        <f t="shared" si="0"/>
        <v>1.5</v>
      </c>
      <c r="Y44" s="60">
        <f t="shared" si="3"/>
        <v>2</v>
      </c>
      <c r="Z44" s="60">
        <f t="shared" si="1"/>
        <v>2</v>
      </c>
    </row>
    <row r="45" spans="1:26">
      <c r="A45" s="12">
        <v>41</v>
      </c>
      <c r="B45" s="16" t="s">
        <v>161</v>
      </c>
      <c r="C45" s="16">
        <v>900379577</v>
      </c>
      <c r="D45" s="16">
        <v>31844096518</v>
      </c>
      <c r="E45" s="12" t="s">
        <v>565</v>
      </c>
      <c r="F45" s="16"/>
      <c r="G45" s="17"/>
      <c r="H45" s="18"/>
      <c r="I45" s="15" t="s">
        <v>116</v>
      </c>
      <c r="J45" s="37"/>
      <c r="K45" s="37"/>
      <c r="L45" s="37"/>
      <c r="M45" s="37">
        <v>400000</v>
      </c>
      <c r="N45" s="37">
        <v>400000</v>
      </c>
      <c r="O45" s="37"/>
      <c r="P45" s="37">
        <v>800000</v>
      </c>
      <c r="Q45" s="37">
        <v>525000</v>
      </c>
      <c r="R45" s="37">
        <v>4000000</v>
      </c>
      <c r="S45" s="37">
        <v>6400000</v>
      </c>
      <c r="T45" s="37">
        <v>7200000</v>
      </c>
      <c r="U45" s="37">
        <v>0</v>
      </c>
      <c r="V45" s="37">
        <f>VLOOKUP(B45,'[1]INV. 2026'!$B:$J,9,0)</f>
        <v>0</v>
      </c>
      <c r="W45" s="59">
        <f t="shared" si="2"/>
        <v>19725000</v>
      </c>
      <c r="X45" s="60">
        <f t="shared" si="0"/>
        <v>49.3125</v>
      </c>
      <c r="Y45" s="60">
        <f t="shared" si="3"/>
        <v>7</v>
      </c>
      <c r="Z45" s="60">
        <f t="shared" si="1"/>
        <v>50</v>
      </c>
    </row>
    <row r="46" spans="1:26">
      <c r="A46" s="12">
        <v>42</v>
      </c>
      <c r="B46" s="12" t="s">
        <v>46</v>
      </c>
      <c r="C46" s="12"/>
      <c r="D46" s="12"/>
      <c r="E46" s="12" t="s">
        <v>162</v>
      </c>
      <c r="F46" s="12">
        <v>1</v>
      </c>
      <c r="G46" s="13">
        <v>400000</v>
      </c>
      <c r="H46" s="14" t="s">
        <v>4</v>
      </c>
      <c r="I46" s="15" t="s">
        <v>116</v>
      </c>
      <c r="J46" s="37">
        <v>120000</v>
      </c>
      <c r="K46" s="37">
        <v>165000</v>
      </c>
      <c r="L46" s="37">
        <v>860000</v>
      </c>
      <c r="M46" s="37"/>
      <c r="N46" s="37">
        <v>200000</v>
      </c>
      <c r="O46" s="37"/>
      <c r="P46" s="37"/>
      <c r="Q46" s="37">
        <v>100000</v>
      </c>
      <c r="R46" s="37">
        <v>1100000</v>
      </c>
      <c r="S46" s="37">
        <v>1150000</v>
      </c>
      <c r="T46" s="37">
        <v>0</v>
      </c>
      <c r="U46" s="37">
        <v>0</v>
      </c>
      <c r="V46" s="37">
        <f>VLOOKUP(B46,'[1]INV. 2026'!$B:$J,9,0)</f>
        <v>0</v>
      </c>
      <c r="W46" s="59">
        <f t="shared" si="2"/>
        <v>3695000</v>
      </c>
      <c r="X46" s="60">
        <f t="shared" si="0"/>
        <v>9.2375000000000007</v>
      </c>
      <c r="Y46" s="60">
        <f t="shared" si="3"/>
        <v>7</v>
      </c>
      <c r="Z46" s="60">
        <f t="shared" si="1"/>
        <v>10</v>
      </c>
    </row>
    <row r="47" spans="1:26">
      <c r="A47" s="12">
        <v>43</v>
      </c>
      <c r="B47" s="12" t="s">
        <v>130</v>
      </c>
      <c r="C47" s="12"/>
      <c r="D47" s="12"/>
      <c r="E47" s="12" t="s">
        <v>180</v>
      </c>
      <c r="F47" s="12">
        <v>1</v>
      </c>
      <c r="G47" s="13">
        <v>2137600</v>
      </c>
      <c r="H47" s="14" t="s">
        <v>8</v>
      </c>
      <c r="I47" s="15" t="s">
        <v>116</v>
      </c>
      <c r="J47" s="37"/>
      <c r="K47" s="37"/>
      <c r="L47" s="37"/>
      <c r="M47" s="37"/>
      <c r="N47" s="37">
        <v>800000</v>
      </c>
      <c r="O47" s="37"/>
      <c r="P47" s="37">
        <v>3600000</v>
      </c>
      <c r="Q47" s="37"/>
      <c r="R47" s="37">
        <v>0</v>
      </c>
      <c r="S47" s="37">
        <v>6400000</v>
      </c>
      <c r="T47" s="37">
        <v>0</v>
      </c>
      <c r="U47" s="37">
        <v>0</v>
      </c>
      <c r="V47" s="37">
        <f>VLOOKUP(B47,'[1]INV. 2026'!$B:$J,9,0)</f>
        <v>0</v>
      </c>
      <c r="W47" s="59">
        <f t="shared" si="2"/>
        <v>10800000</v>
      </c>
      <c r="X47" s="60">
        <f t="shared" si="0"/>
        <v>27</v>
      </c>
      <c r="Y47" s="60">
        <f t="shared" si="3"/>
        <v>3</v>
      </c>
      <c r="Z47" s="60">
        <f t="shared" si="1"/>
        <v>27</v>
      </c>
    </row>
    <row r="48" spans="1:26">
      <c r="A48" s="12">
        <v>44</v>
      </c>
      <c r="B48" s="12" t="s">
        <v>131</v>
      </c>
      <c r="C48" s="12">
        <v>16354014</v>
      </c>
      <c r="D48" s="12">
        <v>3133884161</v>
      </c>
      <c r="E48" s="12" t="s">
        <v>346</v>
      </c>
      <c r="F48" s="12">
        <v>1</v>
      </c>
      <c r="G48" s="13">
        <v>2840000</v>
      </c>
      <c r="H48" s="14" t="s">
        <v>8</v>
      </c>
      <c r="I48" s="15" t="s">
        <v>116</v>
      </c>
      <c r="J48" s="37">
        <v>400000</v>
      </c>
      <c r="K48" s="37">
        <v>400000</v>
      </c>
      <c r="L48" s="37">
        <v>800000</v>
      </c>
      <c r="M48" s="37">
        <v>400000</v>
      </c>
      <c r="N48" s="37">
        <v>800000</v>
      </c>
      <c r="O48" s="37">
        <v>1600000</v>
      </c>
      <c r="P48" s="37">
        <v>1600000</v>
      </c>
      <c r="Q48" s="37">
        <v>2000000</v>
      </c>
      <c r="R48" s="37">
        <v>2400000</v>
      </c>
      <c r="S48" s="37">
        <v>1200000</v>
      </c>
      <c r="T48" s="37">
        <v>1600000</v>
      </c>
      <c r="U48" s="37">
        <v>900000</v>
      </c>
      <c r="V48" s="37">
        <f>VLOOKUP(B48,'[1]INV. 2026'!$B:$J,9,0)</f>
        <v>800000</v>
      </c>
      <c r="W48" s="59">
        <f t="shared" si="2"/>
        <v>14900000</v>
      </c>
      <c r="X48" s="60">
        <f t="shared" si="0"/>
        <v>37.25</v>
      </c>
      <c r="Y48" s="60">
        <f t="shared" si="3"/>
        <v>13</v>
      </c>
      <c r="Z48" s="60">
        <f t="shared" si="1"/>
        <v>38</v>
      </c>
    </row>
    <row r="49" spans="1:26">
      <c r="A49" s="12">
        <v>45</v>
      </c>
      <c r="B49" s="16" t="s">
        <v>77</v>
      </c>
      <c r="C49" s="16"/>
      <c r="D49" s="16"/>
      <c r="E49" s="12" t="s">
        <v>163</v>
      </c>
      <c r="F49" s="16"/>
      <c r="G49" s="17">
        <v>800000</v>
      </c>
      <c r="H49" s="18" t="s">
        <v>4</v>
      </c>
      <c r="I49" s="15" t="s">
        <v>116</v>
      </c>
      <c r="J49" s="37"/>
      <c r="K49" s="37"/>
      <c r="L49" s="37"/>
      <c r="M49" s="37">
        <v>400000</v>
      </c>
      <c r="N49" s="37"/>
      <c r="O49" s="37"/>
      <c r="P49" s="37">
        <v>350000</v>
      </c>
      <c r="Q49" s="37">
        <v>400000</v>
      </c>
      <c r="R49" s="37">
        <v>400000</v>
      </c>
      <c r="S49" s="37">
        <v>0</v>
      </c>
      <c r="T49" s="37">
        <v>0</v>
      </c>
      <c r="U49" s="37">
        <v>350000</v>
      </c>
      <c r="V49" s="37">
        <f>VLOOKUP(B49,'[1]INV. 2026'!$B:$J,9,0)</f>
        <v>0</v>
      </c>
      <c r="W49" s="59">
        <f t="shared" si="2"/>
        <v>1900000</v>
      </c>
      <c r="X49" s="60">
        <f t="shared" si="0"/>
        <v>4.75</v>
      </c>
      <c r="Y49" s="60">
        <f t="shared" si="3"/>
        <v>5</v>
      </c>
      <c r="Z49" s="60">
        <f t="shared" si="1"/>
        <v>5</v>
      </c>
    </row>
    <row r="50" spans="1:26">
      <c r="A50" s="12">
        <v>46</v>
      </c>
      <c r="B50" s="16" t="s">
        <v>79</v>
      </c>
      <c r="C50" s="16">
        <v>900299699</v>
      </c>
      <c r="D50" s="16">
        <v>3214118979</v>
      </c>
      <c r="E50" s="12" t="s">
        <v>257</v>
      </c>
      <c r="F50" s="16"/>
      <c r="G50" s="17">
        <v>3200000</v>
      </c>
      <c r="H50" s="18" t="s">
        <v>10</v>
      </c>
      <c r="I50" s="15" t="s">
        <v>116</v>
      </c>
      <c r="J50" s="37">
        <v>800000</v>
      </c>
      <c r="K50" s="37">
        <v>800000</v>
      </c>
      <c r="L50" s="37">
        <v>800000</v>
      </c>
      <c r="M50" s="37">
        <v>800000</v>
      </c>
      <c r="N50" s="37">
        <v>2000000</v>
      </c>
      <c r="O50" s="37">
        <v>800000</v>
      </c>
      <c r="P50" s="37">
        <v>800000</v>
      </c>
      <c r="Q50" s="37">
        <v>800000</v>
      </c>
      <c r="R50" s="37">
        <v>3600000</v>
      </c>
      <c r="S50" s="37">
        <v>800000</v>
      </c>
      <c r="T50" s="37">
        <v>800000</v>
      </c>
      <c r="U50" s="37">
        <v>800000</v>
      </c>
      <c r="V50" s="37">
        <f>VLOOKUP(B50,'[1]INV. 2026'!$B:$J,9,0)</f>
        <v>800000</v>
      </c>
      <c r="W50" s="59">
        <f t="shared" si="2"/>
        <v>14400000</v>
      </c>
      <c r="X50" s="60">
        <f t="shared" si="0"/>
        <v>36</v>
      </c>
      <c r="Y50" s="60">
        <f t="shared" si="3"/>
        <v>13</v>
      </c>
      <c r="Z50" s="60">
        <f t="shared" si="1"/>
        <v>36</v>
      </c>
    </row>
    <row r="51" spans="1:26">
      <c r="A51" s="12">
        <v>47</v>
      </c>
      <c r="B51" s="16" t="s">
        <v>54</v>
      </c>
      <c r="C51" s="16"/>
      <c r="D51" s="16"/>
      <c r="E51" s="12" t="s">
        <v>564</v>
      </c>
      <c r="F51" s="12"/>
      <c r="G51" s="17">
        <v>220000</v>
      </c>
      <c r="H51" s="14" t="s">
        <v>8</v>
      </c>
      <c r="I51" s="15" t="s">
        <v>116</v>
      </c>
      <c r="J51" s="37"/>
      <c r="K51" s="37"/>
      <c r="L51" s="37"/>
      <c r="M51" s="37"/>
      <c r="N51" s="37"/>
      <c r="O51" s="37"/>
      <c r="P51" s="37"/>
      <c r="Q51" s="37"/>
      <c r="R51" s="37">
        <v>0</v>
      </c>
      <c r="S51" s="37">
        <v>0</v>
      </c>
      <c r="T51" s="37">
        <v>0</v>
      </c>
      <c r="U51" s="37">
        <v>0</v>
      </c>
      <c r="V51" s="37">
        <f>VLOOKUP(B51,'[1]INV. 2026'!$B:$J,9,0)</f>
        <v>0</v>
      </c>
      <c r="W51" s="59">
        <f t="shared" si="2"/>
        <v>0</v>
      </c>
      <c r="X51" s="60">
        <f t="shared" si="0"/>
        <v>0</v>
      </c>
      <c r="Y51" s="60">
        <f t="shared" si="3"/>
        <v>0</v>
      </c>
      <c r="Z51" s="60">
        <f t="shared" si="1"/>
        <v>0</v>
      </c>
    </row>
    <row r="52" spans="1:26">
      <c r="A52" s="12">
        <v>48</v>
      </c>
      <c r="B52" s="16" t="s">
        <v>122</v>
      </c>
      <c r="C52" s="16"/>
      <c r="D52" s="16"/>
      <c r="E52" s="12" t="s">
        <v>562</v>
      </c>
      <c r="F52" s="16"/>
      <c r="G52" s="17">
        <v>400000</v>
      </c>
      <c r="H52" s="18" t="s">
        <v>4</v>
      </c>
      <c r="I52" s="15" t="s">
        <v>116</v>
      </c>
      <c r="J52" s="37"/>
      <c r="K52" s="37">
        <v>400000</v>
      </c>
      <c r="L52" s="37">
        <v>400000</v>
      </c>
      <c r="M52" s="37">
        <v>400000</v>
      </c>
      <c r="N52" s="37">
        <v>1200000</v>
      </c>
      <c r="O52" s="37">
        <v>1200000</v>
      </c>
      <c r="P52" s="37">
        <v>2000000</v>
      </c>
      <c r="Q52" s="37">
        <v>1600000</v>
      </c>
      <c r="R52" s="37">
        <v>2800000</v>
      </c>
      <c r="S52" s="37">
        <v>0</v>
      </c>
      <c r="T52" s="37">
        <v>1600000</v>
      </c>
      <c r="U52" s="37">
        <v>1600000</v>
      </c>
      <c r="V52" s="37">
        <f>VLOOKUP(B52,'[1]INV. 2026'!$B:$J,9,0)</f>
        <v>0</v>
      </c>
      <c r="W52" s="59">
        <f t="shared" si="2"/>
        <v>13200000</v>
      </c>
      <c r="X52" s="60">
        <f t="shared" si="0"/>
        <v>33</v>
      </c>
      <c r="Y52" s="60">
        <f t="shared" si="3"/>
        <v>10</v>
      </c>
      <c r="Z52" s="60">
        <f t="shared" si="1"/>
        <v>33</v>
      </c>
    </row>
    <row r="53" spans="1:26">
      <c r="A53" s="12">
        <v>49</v>
      </c>
      <c r="B53" s="16" t="s">
        <v>61</v>
      </c>
      <c r="C53" s="16"/>
      <c r="D53" s="16"/>
      <c r="E53" s="12" t="s">
        <v>164</v>
      </c>
      <c r="F53" s="12"/>
      <c r="G53" s="17">
        <v>1450000</v>
      </c>
      <c r="H53" s="14" t="s">
        <v>4</v>
      </c>
      <c r="I53" s="15" t="s">
        <v>116</v>
      </c>
      <c r="J53" s="37"/>
      <c r="K53" s="37"/>
      <c r="L53" s="37"/>
      <c r="M53" s="37"/>
      <c r="N53" s="37">
        <v>1600000</v>
      </c>
      <c r="O53" s="37"/>
      <c r="P53" s="37"/>
      <c r="Q53" s="37"/>
      <c r="R53" s="37">
        <v>0</v>
      </c>
      <c r="S53" s="37">
        <v>0</v>
      </c>
      <c r="T53" s="37">
        <v>0</v>
      </c>
      <c r="U53" s="37">
        <v>0</v>
      </c>
      <c r="V53" s="37">
        <f>VLOOKUP(B53,'[1]INV. 2026'!$B:$J,9,0)</f>
        <v>0</v>
      </c>
      <c r="W53" s="59">
        <f t="shared" si="2"/>
        <v>1600000</v>
      </c>
      <c r="X53" s="60">
        <f t="shared" si="0"/>
        <v>4</v>
      </c>
      <c r="Y53" s="60">
        <f t="shared" si="3"/>
        <v>1</v>
      </c>
      <c r="Z53" s="60">
        <f t="shared" si="1"/>
        <v>4</v>
      </c>
    </row>
    <row r="54" spans="1:26">
      <c r="A54" s="12">
        <v>50</v>
      </c>
      <c r="B54" s="16" t="s">
        <v>123</v>
      </c>
      <c r="C54" s="16">
        <v>11809146</v>
      </c>
      <c r="D54" s="16">
        <v>3136811706</v>
      </c>
      <c r="E54" s="12" t="s">
        <v>174</v>
      </c>
      <c r="F54" s="16"/>
      <c r="G54" s="17">
        <v>845000</v>
      </c>
      <c r="H54" s="18" t="s">
        <v>4</v>
      </c>
      <c r="I54" s="15" t="s">
        <v>116</v>
      </c>
      <c r="J54" s="37">
        <v>500000</v>
      </c>
      <c r="K54" s="37"/>
      <c r="L54" s="37">
        <v>400000</v>
      </c>
      <c r="M54" s="37">
        <v>800000</v>
      </c>
      <c r="N54" s="37">
        <v>1200000</v>
      </c>
      <c r="O54" s="37"/>
      <c r="P54" s="37"/>
      <c r="Q54" s="37">
        <v>2400000</v>
      </c>
      <c r="R54" s="37">
        <v>0</v>
      </c>
      <c r="S54" s="37">
        <v>0</v>
      </c>
      <c r="T54" s="37">
        <v>1200000</v>
      </c>
      <c r="U54" s="37">
        <v>2400000</v>
      </c>
      <c r="V54" s="37">
        <f>VLOOKUP(B54,'[1]INV. 2026'!$B:$J,9,0)</f>
        <v>800000</v>
      </c>
      <c r="W54" s="59">
        <f t="shared" si="2"/>
        <v>9700000</v>
      </c>
      <c r="X54" s="60">
        <f t="shared" si="0"/>
        <v>24.25</v>
      </c>
      <c r="Y54" s="60">
        <f t="shared" si="3"/>
        <v>8</v>
      </c>
      <c r="Z54" s="60">
        <f t="shared" si="1"/>
        <v>25</v>
      </c>
    </row>
    <row r="55" spans="1:26">
      <c r="A55" s="12">
        <v>51</v>
      </c>
      <c r="B55" s="16" t="s">
        <v>90</v>
      </c>
      <c r="C55" s="16"/>
      <c r="D55" s="16"/>
      <c r="E55" s="12" t="s">
        <v>165</v>
      </c>
      <c r="F55" s="16"/>
      <c r="G55" s="17">
        <v>800000</v>
      </c>
      <c r="H55" s="18" t="s">
        <v>4</v>
      </c>
      <c r="I55" s="15" t="s">
        <v>116</v>
      </c>
      <c r="J55" s="37"/>
      <c r="K55" s="37"/>
      <c r="L55" s="37"/>
      <c r="M55" s="37"/>
      <c r="N55" s="37">
        <v>400000</v>
      </c>
      <c r="O55" s="37"/>
      <c r="P55" s="37"/>
      <c r="Q55" s="37">
        <v>400000</v>
      </c>
      <c r="R55" s="37">
        <v>0</v>
      </c>
      <c r="S55" s="37">
        <v>0</v>
      </c>
      <c r="T55" s="37">
        <v>0</v>
      </c>
      <c r="U55" s="37">
        <v>0</v>
      </c>
      <c r="V55" s="37">
        <f>VLOOKUP(B55,'[1]INV. 2026'!$B:$J,9,0)</f>
        <v>400000</v>
      </c>
      <c r="W55" s="59">
        <f t="shared" si="2"/>
        <v>1200000</v>
      </c>
      <c r="X55" s="60">
        <f t="shared" si="0"/>
        <v>3</v>
      </c>
      <c r="Y55" s="60">
        <f t="shared" si="3"/>
        <v>3</v>
      </c>
      <c r="Z55" s="60">
        <f t="shared" si="1"/>
        <v>3</v>
      </c>
    </row>
    <row r="56" spans="1:26">
      <c r="A56" s="12">
        <v>52</v>
      </c>
      <c r="B56" s="12" t="s">
        <v>47</v>
      </c>
      <c r="C56" s="12"/>
      <c r="D56" s="12"/>
      <c r="E56" s="12" t="s">
        <v>166</v>
      </c>
      <c r="F56" s="12">
        <v>1</v>
      </c>
      <c r="G56" s="13">
        <v>850000</v>
      </c>
      <c r="H56" s="14" t="s">
        <v>8</v>
      </c>
      <c r="I56" s="15" t="s">
        <v>116</v>
      </c>
      <c r="J56" s="37"/>
      <c r="K56" s="37">
        <v>80000</v>
      </c>
      <c r="L56" s="37"/>
      <c r="M56" s="37">
        <v>120000</v>
      </c>
      <c r="N56" s="37">
        <v>105000</v>
      </c>
      <c r="O56" s="37">
        <v>110000</v>
      </c>
      <c r="P56" s="37">
        <v>550000</v>
      </c>
      <c r="Q56" s="37">
        <v>150000</v>
      </c>
      <c r="R56" s="37">
        <v>110000</v>
      </c>
      <c r="S56" s="37">
        <v>0</v>
      </c>
      <c r="T56" s="37">
        <v>210000</v>
      </c>
      <c r="U56" s="37">
        <v>0</v>
      </c>
      <c r="V56" s="37">
        <f>VLOOKUP(B56,'[1]INV. 2026'!$B:$J,9,0)</f>
        <v>400000</v>
      </c>
      <c r="W56" s="59">
        <f t="shared" si="2"/>
        <v>1835000</v>
      </c>
      <c r="X56" s="60">
        <f t="shared" si="0"/>
        <v>4.5875000000000004</v>
      </c>
      <c r="Y56" s="60">
        <f t="shared" si="3"/>
        <v>9</v>
      </c>
      <c r="Z56" s="60">
        <f t="shared" si="1"/>
        <v>5</v>
      </c>
    </row>
    <row r="57" spans="1:26">
      <c r="A57" s="12">
        <v>53</v>
      </c>
      <c r="B57" s="16" t="s">
        <v>223</v>
      </c>
      <c r="C57" s="20"/>
      <c r="D57" s="20"/>
      <c r="E57" s="12" t="s">
        <v>561</v>
      </c>
      <c r="F57" s="20"/>
      <c r="G57" s="21"/>
      <c r="H57" s="22"/>
      <c r="I57" s="15" t="s">
        <v>116</v>
      </c>
      <c r="J57" s="40"/>
      <c r="K57" s="40"/>
      <c r="L57" s="40"/>
      <c r="M57" s="40"/>
      <c r="N57" s="40"/>
      <c r="O57" s="40"/>
      <c r="P57" s="39">
        <v>800000</v>
      </c>
      <c r="Q57" s="37">
        <v>1200000</v>
      </c>
      <c r="R57" s="37">
        <v>0</v>
      </c>
      <c r="S57" s="37">
        <v>0</v>
      </c>
      <c r="T57" s="37">
        <v>800000</v>
      </c>
      <c r="U57" s="37">
        <v>0</v>
      </c>
      <c r="V57" s="37">
        <f>VLOOKUP(B57,'[1]INV. 2026'!$B:$J,9,0)</f>
        <v>0</v>
      </c>
      <c r="W57" s="59">
        <f t="shared" si="2"/>
        <v>2800000</v>
      </c>
      <c r="X57" s="60">
        <f t="shared" si="0"/>
        <v>7</v>
      </c>
      <c r="Y57" s="60">
        <f t="shared" si="3"/>
        <v>3</v>
      </c>
      <c r="Z57" s="60">
        <f t="shared" si="1"/>
        <v>7</v>
      </c>
    </row>
    <row r="58" spans="1:26">
      <c r="A58" s="12">
        <v>54</v>
      </c>
      <c r="B58" s="16" t="s">
        <v>124</v>
      </c>
      <c r="C58" s="16"/>
      <c r="D58" s="16"/>
      <c r="E58" s="12" t="s">
        <v>175</v>
      </c>
      <c r="F58" s="16"/>
      <c r="G58" s="17">
        <v>400000</v>
      </c>
      <c r="H58" s="18" t="s">
        <v>4</v>
      </c>
      <c r="I58" s="15" t="s">
        <v>116</v>
      </c>
      <c r="J58" s="37">
        <v>400000</v>
      </c>
      <c r="K58" s="37"/>
      <c r="L58" s="37"/>
      <c r="M58" s="37">
        <v>1200000</v>
      </c>
      <c r="N58" s="37"/>
      <c r="O58" s="37">
        <v>2400000</v>
      </c>
      <c r="P58" s="37">
        <v>1200000</v>
      </c>
      <c r="Q58" s="37">
        <v>1200000</v>
      </c>
      <c r="R58" s="37">
        <v>2400000</v>
      </c>
      <c r="S58" s="37">
        <v>0</v>
      </c>
      <c r="T58" s="37">
        <v>0</v>
      </c>
      <c r="U58" s="37">
        <v>0</v>
      </c>
      <c r="V58" s="37">
        <f>VLOOKUP(B58,'[1]INV. 2026'!$B:$J,9,0)</f>
        <v>600000</v>
      </c>
      <c r="W58" s="59">
        <f t="shared" si="2"/>
        <v>9400000</v>
      </c>
      <c r="X58" s="60">
        <f t="shared" si="0"/>
        <v>23.5</v>
      </c>
      <c r="Y58" s="60">
        <f t="shared" si="3"/>
        <v>7</v>
      </c>
      <c r="Z58" s="60">
        <f t="shared" si="1"/>
        <v>24</v>
      </c>
    </row>
    <row r="59" spans="1:26">
      <c r="A59" s="12">
        <v>55</v>
      </c>
      <c r="B59" s="16" t="s">
        <v>75</v>
      </c>
      <c r="C59" s="16" t="s">
        <v>534</v>
      </c>
      <c r="D59" s="16"/>
      <c r="E59" s="12" t="s">
        <v>168</v>
      </c>
      <c r="F59" s="16"/>
      <c r="G59" s="17">
        <v>2800000</v>
      </c>
      <c r="H59" s="18" t="s">
        <v>4</v>
      </c>
      <c r="I59" s="15" t="s">
        <v>116</v>
      </c>
      <c r="J59" s="37">
        <v>800000</v>
      </c>
      <c r="K59" s="37">
        <v>800000</v>
      </c>
      <c r="L59" s="37">
        <v>800000</v>
      </c>
      <c r="M59" s="37">
        <v>800000</v>
      </c>
      <c r="N59" s="37"/>
      <c r="O59" s="37"/>
      <c r="P59" s="37">
        <v>1600000</v>
      </c>
      <c r="Q59" s="37">
        <v>1200000</v>
      </c>
      <c r="R59" s="37">
        <v>0</v>
      </c>
      <c r="S59" s="37">
        <v>1200000</v>
      </c>
      <c r="T59" s="37">
        <v>800000</v>
      </c>
      <c r="U59" s="37">
        <v>400000</v>
      </c>
      <c r="V59" s="37">
        <f>VLOOKUP(B59,'[1]INV. 2026'!$B:$J,9,0)</f>
        <v>0</v>
      </c>
      <c r="W59" s="59">
        <f t="shared" si="2"/>
        <v>8400000</v>
      </c>
      <c r="X59" s="60">
        <f t="shared" si="0"/>
        <v>21</v>
      </c>
      <c r="Y59" s="60">
        <f t="shared" si="3"/>
        <v>9</v>
      </c>
      <c r="Z59" s="60">
        <f t="shared" si="1"/>
        <v>21</v>
      </c>
    </row>
    <row r="60" spans="1:26">
      <c r="A60" s="12">
        <v>56</v>
      </c>
      <c r="B60" s="12" t="s">
        <v>125</v>
      </c>
      <c r="C60" s="12"/>
      <c r="D60" s="12"/>
      <c r="E60" s="12" t="s">
        <v>176</v>
      </c>
      <c r="F60" s="12">
        <v>2</v>
      </c>
      <c r="G60" s="13">
        <v>2800000</v>
      </c>
      <c r="H60" s="14" t="s">
        <v>8</v>
      </c>
      <c r="I60" s="15" t="s">
        <v>116</v>
      </c>
      <c r="J60" s="37">
        <v>400000</v>
      </c>
      <c r="K60" s="37">
        <v>400000</v>
      </c>
      <c r="L60" s="37">
        <v>800000</v>
      </c>
      <c r="M60" s="37">
        <v>1200000</v>
      </c>
      <c r="N60" s="37">
        <v>1200000</v>
      </c>
      <c r="O60" s="37">
        <v>1200000</v>
      </c>
      <c r="P60" s="37">
        <v>800000</v>
      </c>
      <c r="Q60" s="37">
        <v>800000</v>
      </c>
      <c r="R60" s="37">
        <v>1200000</v>
      </c>
      <c r="S60" s="37">
        <v>1200000</v>
      </c>
      <c r="T60" s="37">
        <v>2000000</v>
      </c>
      <c r="U60" s="37">
        <v>800000</v>
      </c>
      <c r="V60" s="37">
        <f>VLOOKUP(B60,'[1]INV. 2026'!$B:$J,9,0)</f>
        <v>0</v>
      </c>
      <c r="W60" s="59">
        <f t="shared" si="2"/>
        <v>12000000</v>
      </c>
      <c r="X60" s="60">
        <f t="shared" si="0"/>
        <v>30</v>
      </c>
      <c r="Y60" s="60">
        <f t="shared" si="3"/>
        <v>12</v>
      </c>
      <c r="Z60" s="60">
        <f t="shared" si="1"/>
        <v>30</v>
      </c>
    </row>
    <row r="61" spans="1:26">
      <c r="A61" s="12">
        <v>57</v>
      </c>
      <c r="B61" s="16" t="s">
        <v>126</v>
      </c>
      <c r="C61" s="16">
        <v>900371129</v>
      </c>
      <c r="D61" s="16">
        <v>3216464514</v>
      </c>
      <c r="E61" s="12" t="s">
        <v>347</v>
      </c>
      <c r="F61" s="12"/>
      <c r="G61" s="17">
        <v>400000</v>
      </c>
      <c r="H61" s="14" t="s">
        <v>4</v>
      </c>
      <c r="I61" s="15" t="s">
        <v>116</v>
      </c>
      <c r="J61" s="37"/>
      <c r="K61" s="37"/>
      <c r="L61" s="37">
        <v>800000</v>
      </c>
      <c r="M61" s="37"/>
      <c r="N61" s="37"/>
      <c r="O61" s="37"/>
      <c r="P61" s="37"/>
      <c r="Q61" s="37"/>
      <c r="R61" s="37">
        <v>0</v>
      </c>
      <c r="S61" s="37">
        <v>800000</v>
      </c>
      <c r="T61" s="37">
        <v>0</v>
      </c>
      <c r="U61" s="37">
        <v>0</v>
      </c>
      <c r="V61" s="37">
        <f>VLOOKUP(B61,'[1]INV. 2026'!$B:$J,9,0)</f>
        <v>0</v>
      </c>
      <c r="W61" s="59">
        <f t="shared" si="2"/>
        <v>1600000</v>
      </c>
      <c r="X61" s="60">
        <f t="shared" si="0"/>
        <v>4</v>
      </c>
      <c r="Y61" s="60">
        <f t="shared" si="3"/>
        <v>2</v>
      </c>
      <c r="Z61" s="60">
        <f t="shared" si="1"/>
        <v>4</v>
      </c>
    </row>
    <row r="62" spans="1:26">
      <c r="A62" s="12">
        <v>58</v>
      </c>
      <c r="B62" s="12" t="s">
        <v>145</v>
      </c>
      <c r="C62" s="12"/>
      <c r="D62" s="12"/>
      <c r="E62" s="12" t="s">
        <v>182</v>
      </c>
      <c r="F62" s="12"/>
      <c r="G62" s="13"/>
      <c r="H62" s="14" t="s">
        <v>4</v>
      </c>
      <c r="I62" s="15" t="s">
        <v>116</v>
      </c>
      <c r="J62" s="37"/>
      <c r="K62" s="37"/>
      <c r="L62" s="37"/>
      <c r="M62" s="37">
        <v>440000</v>
      </c>
      <c r="N62" s="37"/>
      <c r="O62" s="37"/>
      <c r="P62" s="37"/>
      <c r="Q62" s="37"/>
      <c r="R62" s="37">
        <v>0</v>
      </c>
      <c r="S62" s="37">
        <v>0</v>
      </c>
      <c r="T62" s="37">
        <v>0</v>
      </c>
      <c r="U62" s="37">
        <v>0</v>
      </c>
      <c r="V62" s="37">
        <f>VLOOKUP(B62,'[1]INV. 2026'!$B:$J,9,0)</f>
        <v>0</v>
      </c>
      <c r="W62" s="59">
        <f t="shared" si="2"/>
        <v>440000</v>
      </c>
      <c r="X62" s="60">
        <f t="shared" si="0"/>
        <v>1.1000000000000001</v>
      </c>
      <c r="Y62" s="60">
        <f t="shared" si="3"/>
        <v>1</v>
      </c>
      <c r="Z62" s="60">
        <f t="shared" si="1"/>
        <v>2</v>
      </c>
    </row>
    <row r="63" spans="1:26">
      <c r="A63" s="12">
        <v>59</v>
      </c>
      <c r="B63" s="16" t="s">
        <v>108</v>
      </c>
      <c r="C63" s="16"/>
      <c r="D63" s="16"/>
      <c r="E63" s="12" t="s">
        <v>169</v>
      </c>
      <c r="F63" s="16"/>
      <c r="G63" s="17">
        <v>0</v>
      </c>
      <c r="H63" s="18" t="s">
        <v>4</v>
      </c>
      <c r="I63" s="15" t="s">
        <v>116</v>
      </c>
      <c r="J63" s="37">
        <v>100000</v>
      </c>
      <c r="K63" s="37">
        <v>100000</v>
      </c>
      <c r="L63" s="37">
        <v>100000</v>
      </c>
      <c r="M63" s="37"/>
      <c r="N63" s="37">
        <v>100000</v>
      </c>
      <c r="O63" s="37">
        <v>170000</v>
      </c>
      <c r="P63" s="37">
        <v>170000</v>
      </c>
      <c r="Q63" s="37"/>
      <c r="R63" s="37">
        <v>170000</v>
      </c>
      <c r="S63" s="37">
        <v>170000</v>
      </c>
      <c r="T63" s="37">
        <v>170000</v>
      </c>
      <c r="U63" s="37">
        <v>0</v>
      </c>
      <c r="V63" s="37">
        <f>VLOOKUP(B63,'[1]INV. 2026'!$B:$J,9,0)</f>
        <v>0</v>
      </c>
      <c r="W63" s="59">
        <f t="shared" si="2"/>
        <v>1250000</v>
      </c>
      <c r="X63" s="60">
        <f t="shared" si="0"/>
        <v>3.125</v>
      </c>
      <c r="Y63" s="60">
        <f t="shared" si="3"/>
        <v>9</v>
      </c>
      <c r="Z63" s="60">
        <f t="shared" si="1"/>
        <v>4</v>
      </c>
    </row>
    <row r="64" spans="1:26">
      <c r="A64" s="12">
        <v>60</v>
      </c>
      <c r="B64" s="16" t="s">
        <v>63</v>
      </c>
      <c r="C64" s="16"/>
      <c r="D64" s="16"/>
      <c r="E64" s="12" t="s">
        <v>170</v>
      </c>
      <c r="F64" s="12"/>
      <c r="G64" s="17">
        <v>400000</v>
      </c>
      <c r="H64" s="14" t="s">
        <v>4</v>
      </c>
      <c r="I64" s="15" t="s">
        <v>116</v>
      </c>
      <c r="J64" s="37">
        <v>500000</v>
      </c>
      <c r="K64" s="37"/>
      <c r="L64" s="37"/>
      <c r="M64" s="37">
        <v>500000</v>
      </c>
      <c r="N64" s="37"/>
      <c r="O64" s="37"/>
      <c r="P64" s="37"/>
      <c r="Q64" s="37"/>
      <c r="R64" s="37">
        <v>0</v>
      </c>
      <c r="S64" s="37">
        <v>0</v>
      </c>
      <c r="T64" s="37">
        <v>0</v>
      </c>
      <c r="U64" s="37">
        <v>0</v>
      </c>
      <c r="V64" s="37">
        <f>VLOOKUP(B64,'[1]INV. 2026'!$B:$J,9,0)</f>
        <v>400000</v>
      </c>
      <c r="W64" s="59">
        <f t="shared" si="2"/>
        <v>1400000</v>
      </c>
      <c r="X64" s="60">
        <f t="shared" si="0"/>
        <v>3.5</v>
      </c>
      <c r="Y64" s="60">
        <f t="shared" si="3"/>
        <v>3</v>
      </c>
      <c r="Z64" s="60">
        <f t="shared" si="1"/>
        <v>4</v>
      </c>
    </row>
    <row r="65" spans="1:26">
      <c r="A65" s="12">
        <v>61</v>
      </c>
      <c r="B65" s="16" t="s">
        <v>127</v>
      </c>
      <c r="C65" s="16"/>
      <c r="D65" s="16"/>
      <c r="E65" s="12" t="s">
        <v>177</v>
      </c>
      <c r="F65" s="16"/>
      <c r="G65" s="17">
        <v>2000000</v>
      </c>
      <c r="H65" s="18" t="s">
        <v>4</v>
      </c>
      <c r="I65" s="15" t="s">
        <v>116</v>
      </c>
      <c r="J65" s="37"/>
      <c r="K65" s="37"/>
      <c r="L65" s="37">
        <v>800000</v>
      </c>
      <c r="M65" s="37">
        <v>800000</v>
      </c>
      <c r="N65" s="37"/>
      <c r="O65" s="37"/>
      <c r="P65" s="37">
        <v>800000</v>
      </c>
      <c r="Q65" s="37">
        <v>800000</v>
      </c>
      <c r="R65" s="37">
        <v>2074000</v>
      </c>
      <c r="S65" s="37">
        <v>1050000</v>
      </c>
      <c r="T65" s="37">
        <v>0</v>
      </c>
      <c r="U65" s="37">
        <v>1200000</v>
      </c>
      <c r="V65" s="37">
        <f>VLOOKUP(B65,'[1]INV. 2026'!$B:$J,9,0)</f>
        <v>0</v>
      </c>
      <c r="W65" s="59">
        <f t="shared" si="2"/>
        <v>7524000</v>
      </c>
      <c r="X65" s="60">
        <f t="shared" si="0"/>
        <v>18.809999999999999</v>
      </c>
      <c r="Y65" s="60">
        <f t="shared" si="3"/>
        <v>7</v>
      </c>
      <c r="Z65" s="60">
        <f t="shared" si="1"/>
        <v>19</v>
      </c>
    </row>
    <row r="66" spans="1:26">
      <c r="A66" s="12">
        <v>62</v>
      </c>
      <c r="B66" s="16" t="s">
        <v>528</v>
      </c>
      <c r="C66" s="16"/>
      <c r="D66" s="16">
        <v>3233712038</v>
      </c>
      <c r="E66" s="12" t="s">
        <v>171</v>
      </c>
      <c r="F66" s="16"/>
      <c r="G66" s="17">
        <v>200000</v>
      </c>
      <c r="H66" s="18" t="s">
        <v>4</v>
      </c>
      <c r="I66" s="15" t="s">
        <v>116</v>
      </c>
      <c r="J66" s="37">
        <v>602000</v>
      </c>
      <c r="K66" s="37"/>
      <c r="L66" s="37">
        <v>322000</v>
      </c>
      <c r="M66" s="37">
        <v>197250</v>
      </c>
      <c r="N66" s="37">
        <v>600000</v>
      </c>
      <c r="O66" s="37"/>
      <c r="P66" s="37"/>
      <c r="Q66" s="37">
        <v>315000</v>
      </c>
      <c r="R66" s="37">
        <v>570000</v>
      </c>
      <c r="S66" s="37">
        <v>200000</v>
      </c>
      <c r="T66" s="37">
        <v>2000000</v>
      </c>
      <c r="U66" s="37">
        <v>2260000</v>
      </c>
      <c r="V66" s="37">
        <f>VLOOKUP(B66,'[1]INV. 2026'!$B:$J,9,0)</f>
        <v>2130000</v>
      </c>
      <c r="W66" s="59">
        <f t="shared" si="2"/>
        <v>9196250</v>
      </c>
      <c r="X66" s="60">
        <f t="shared" si="0"/>
        <v>22.990625000000001</v>
      </c>
      <c r="Y66" s="60">
        <f t="shared" si="3"/>
        <v>10</v>
      </c>
      <c r="Z66" s="60">
        <f t="shared" si="1"/>
        <v>23</v>
      </c>
    </row>
    <row r="67" spans="1:26">
      <c r="A67" s="12">
        <v>63</v>
      </c>
      <c r="B67" s="16" t="s">
        <v>82</v>
      </c>
      <c r="C67" s="16"/>
      <c r="D67" s="16"/>
      <c r="E67" s="12" t="s">
        <v>172</v>
      </c>
      <c r="F67" s="16"/>
      <c r="G67" s="17">
        <v>800000</v>
      </c>
      <c r="H67" s="18" t="s">
        <v>4</v>
      </c>
      <c r="I67" s="15" t="s">
        <v>116</v>
      </c>
      <c r="J67" s="37">
        <v>400000</v>
      </c>
      <c r="K67" s="37"/>
      <c r="L67" s="37"/>
      <c r="M67" s="37">
        <v>400000</v>
      </c>
      <c r="N67" s="37">
        <v>400000</v>
      </c>
      <c r="O67" s="37">
        <v>275000</v>
      </c>
      <c r="P67" s="37">
        <v>400000</v>
      </c>
      <c r="Q67" s="37">
        <v>400000</v>
      </c>
      <c r="R67" s="37">
        <v>0</v>
      </c>
      <c r="S67" s="37">
        <v>400000</v>
      </c>
      <c r="T67" s="37">
        <v>0</v>
      </c>
      <c r="U67" s="37">
        <v>170000</v>
      </c>
      <c r="V67" s="37">
        <f>VLOOKUP(B67,'[1]INV. 2026'!$B:$J,9,0)</f>
        <v>570000</v>
      </c>
      <c r="W67" s="59">
        <f t="shared" si="2"/>
        <v>3415000</v>
      </c>
      <c r="X67" s="60">
        <f t="shared" si="0"/>
        <v>8.5374999999999996</v>
      </c>
      <c r="Y67" s="60">
        <f t="shared" si="3"/>
        <v>9</v>
      </c>
      <c r="Z67" s="60">
        <f t="shared" si="1"/>
        <v>9</v>
      </c>
    </row>
    <row r="68" spans="1:26">
      <c r="A68" s="12">
        <v>64</v>
      </c>
      <c r="B68" s="16" t="s">
        <v>95</v>
      </c>
      <c r="C68" s="16"/>
      <c r="D68" s="16"/>
      <c r="E68" s="12" t="s">
        <v>173</v>
      </c>
      <c r="F68" s="16"/>
      <c r="G68" s="17">
        <v>400000</v>
      </c>
      <c r="H68" s="18" t="s">
        <v>4</v>
      </c>
      <c r="I68" s="15" t="s">
        <v>116</v>
      </c>
      <c r="J68" s="37"/>
      <c r="K68" s="37"/>
      <c r="L68" s="37"/>
      <c r="M68" s="37"/>
      <c r="N68" s="37">
        <v>3100000</v>
      </c>
      <c r="O68" s="37"/>
      <c r="P68" s="37"/>
      <c r="Q68" s="37"/>
      <c r="R68" s="37">
        <v>0</v>
      </c>
      <c r="S68" s="37">
        <v>0</v>
      </c>
      <c r="T68" s="37">
        <v>2204059</v>
      </c>
      <c r="U68" s="37">
        <v>0</v>
      </c>
      <c r="V68" s="37">
        <f>VLOOKUP(B68,'[1]INV. 2026'!$B:$J,9,0)</f>
        <v>0</v>
      </c>
      <c r="W68" s="59">
        <f t="shared" si="2"/>
        <v>5304059</v>
      </c>
      <c r="X68" s="60">
        <f t="shared" si="0"/>
        <v>13.2601475</v>
      </c>
      <c r="Y68" s="60">
        <f t="shared" si="3"/>
        <v>2</v>
      </c>
      <c r="Z68" s="60">
        <f t="shared" si="1"/>
        <v>14</v>
      </c>
    </row>
    <row r="69" spans="1:26">
      <c r="A69" s="12">
        <v>65</v>
      </c>
      <c r="B69" s="16" t="s">
        <v>128</v>
      </c>
      <c r="C69" s="16">
        <v>900384157</v>
      </c>
      <c r="D69" s="16">
        <v>3103160465</v>
      </c>
      <c r="E69" s="12" t="s">
        <v>178</v>
      </c>
      <c r="F69" s="16"/>
      <c r="G69" s="17">
        <v>3200000</v>
      </c>
      <c r="H69" s="18" t="s">
        <v>4</v>
      </c>
      <c r="I69" s="15" t="s">
        <v>116</v>
      </c>
      <c r="J69" s="37">
        <v>1600000</v>
      </c>
      <c r="K69" s="37"/>
      <c r="L69" s="37">
        <v>1600000</v>
      </c>
      <c r="M69" s="37">
        <v>1600000</v>
      </c>
      <c r="N69" s="37">
        <v>1600000</v>
      </c>
      <c r="O69" s="37"/>
      <c r="P69" s="37">
        <v>1600000</v>
      </c>
      <c r="Q69" s="37">
        <v>1600000</v>
      </c>
      <c r="R69" s="37">
        <v>1600000</v>
      </c>
      <c r="S69" s="37">
        <v>1600000</v>
      </c>
      <c r="T69" s="37">
        <v>1500000</v>
      </c>
      <c r="U69" s="37">
        <v>1200000</v>
      </c>
      <c r="V69" s="37">
        <f>VLOOKUP(B69,'[1]INV. 2026'!$B:$J,9,0)</f>
        <v>4800000</v>
      </c>
      <c r="W69" s="59">
        <f t="shared" si="2"/>
        <v>20300000</v>
      </c>
      <c r="X69" s="60">
        <f t="shared" ref="X69:X132" si="4">W69/400000</f>
        <v>50.75</v>
      </c>
      <c r="Y69" s="60">
        <f t="shared" si="3"/>
        <v>11</v>
      </c>
      <c r="Z69" s="60">
        <f t="shared" ref="Z69:Z132" si="5">ROUNDUP(X69,0)</f>
        <v>51</v>
      </c>
    </row>
    <row r="70" spans="1:26">
      <c r="A70" s="12">
        <v>66</v>
      </c>
      <c r="B70" s="12" t="s">
        <v>129</v>
      </c>
      <c r="C70" s="12">
        <v>900406774</v>
      </c>
      <c r="D70" s="12"/>
      <c r="E70" s="12" t="s">
        <v>179</v>
      </c>
      <c r="F70" s="12"/>
      <c r="G70" s="13">
        <v>3340000</v>
      </c>
      <c r="H70" s="14" t="s">
        <v>4</v>
      </c>
      <c r="I70" s="15" t="s">
        <v>116</v>
      </c>
      <c r="J70" s="37">
        <v>800000</v>
      </c>
      <c r="K70" s="37">
        <v>1495000</v>
      </c>
      <c r="L70" s="37">
        <v>3000000</v>
      </c>
      <c r="M70" s="37">
        <v>6400000</v>
      </c>
      <c r="N70" s="37"/>
      <c r="O70" s="37"/>
      <c r="P70" s="37">
        <v>6000000</v>
      </c>
      <c r="Q70" s="37">
        <v>6545000</v>
      </c>
      <c r="R70" s="37">
        <v>6400000</v>
      </c>
      <c r="S70" s="37">
        <v>7100000</v>
      </c>
      <c r="T70" s="37">
        <v>9500000</v>
      </c>
      <c r="U70" s="37">
        <v>11600000</v>
      </c>
      <c r="V70" s="37">
        <f>VLOOKUP(B70,'[1]INV. 2026'!$B:$J,9,0)</f>
        <v>0</v>
      </c>
      <c r="W70" s="59">
        <f t="shared" ref="W70:W133" si="6">SUM(J70:V70)</f>
        <v>58840000</v>
      </c>
      <c r="X70" s="60">
        <f t="shared" si="4"/>
        <v>147.1</v>
      </c>
      <c r="Y70" s="60">
        <f t="shared" ref="Y70:Y133" si="7">COUNTIF(J70:V70,"&gt;0")</f>
        <v>10</v>
      </c>
      <c r="Z70" s="60">
        <f t="shared" si="5"/>
        <v>148</v>
      </c>
    </row>
    <row r="71" spans="1:26">
      <c r="A71" s="12">
        <v>67</v>
      </c>
      <c r="B71" s="12" t="s">
        <v>141</v>
      </c>
      <c r="C71" s="12"/>
      <c r="D71" s="12"/>
      <c r="E71" s="12" t="s">
        <v>181</v>
      </c>
      <c r="F71" s="12"/>
      <c r="G71" s="13"/>
      <c r="H71" s="14" t="s">
        <v>4</v>
      </c>
      <c r="I71" s="15" t="s">
        <v>116</v>
      </c>
      <c r="J71" s="37"/>
      <c r="K71" s="37"/>
      <c r="L71" s="37"/>
      <c r="M71" s="37">
        <v>200000</v>
      </c>
      <c r="N71" s="37">
        <v>400000</v>
      </c>
      <c r="O71" s="37"/>
      <c r="P71" s="37">
        <v>560000</v>
      </c>
      <c r="Q71" s="37"/>
      <c r="R71" s="37">
        <v>950000</v>
      </c>
      <c r="S71" s="37">
        <v>0</v>
      </c>
      <c r="T71" s="37">
        <v>0</v>
      </c>
      <c r="U71" s="37">
        <v>0</v>
      </c>
      <c r="V71" s="37">
        <f>VLOOKUP(B71,'[1]INV. 2026'!$B:$J,9,0)</f>
        <v>0</v>
      </c>
      <c r="W71" s="59">
        <f t="shared" si="6"/>
        <v>2110000</v>
      </c>
      <c r="X71" s="60">
        <f t="shared" si="4"/>
        <v>5.2750000000000004</v>
      </c>
      <c r="Y71" s="60">
        <f t="shared" si="7"/>
        <v>4</v>
      </c>
      <c r="Z71" s="60">
        <f t="shared" si="5"/>
        <v>6</v>
      </c>
    </row>
    <row r="72" spans="1:26">
      <c r="A72" s="12">
        <v>68</v>
      </c>
      <c r="B72" s="12" t="s">
        <v>215</v>
      </c>
      <c r="C72" s="12"/>
      <c r="D72" s="12"/>
      <c r="E72" s="12" t="s">
        <v>216</v>
      </c>
      <c r="F72" s="12"/>
      <c r="G72" s="13"/>
      <c r="H72" s="14"/>
      <c r="I72" s="15" t="s">
        <v>116</v>
      </c>
      <c r="J72" s="37"/>
      <c r="K72" s="37"/>
      <c r="L72" s="37"/>
      <c r="M72" s="37"/>
      <c r="N72" s="37"/>
      <c r="O72" s="37">
        <v>1580000</v>
      </c>
      <c r="P72" s="37"/>
      <c r="Q72" s="37">
        <v>2000000</v>
      </c>
      <c r="R72" s="37">
        <v>2000000</v>
      </c>
      <c r="S72" s="37">
        <v>0</v>
      </c>
      <c r="T72" s="37">
        <v>2000000</v>
      </c>
      <c r="U72" s="37">
        <v>0</v>
      </c>
      <c r="V72" s="37">
        <f>VLOOKUP(B72,'[1]INV. 2026'!$B:$J,9,0)</f>
        <v>1200000</v>
      </c>
      <c r="W72" s="59">
        <f t="shared" si="6"/>
        <v>8780000</v>
      </c>
      <c r="X72" s="60">
        <f t="shared" si="4"/>
        <v>21.95</v>
      </c>
      <c r="Y72" s="60">
        <f t="shared" si="7"/>
        <v>5</v>
      </c>
      <c r="Z72" s="60">
        <f t="shared" si="5"/>
        <v>22</v>
      </c>
    </row>
    <row r="73" spans="1:26">
      <c r="A73" s="12">
        <v>69</v>
      </c>
      <c r="B73" s="16" t="s">
        <v>245</v>
      </c>
      <c r="C73" s="16"/>
      <c r="D73" s="16"/>
      <c r="E73" s="12" t="s">
        <v>158</v>
      </c>
      <c r="F73" s="16"/>
      <c r="G73" s="17">
        <v>400000</v>
      </c>
      <c r="H73" s="18" t="s">
        <v>4</v>
      </c>
      <c r="I73" s="15" t="s">
        <v>116</v>
      </c>
      <c r="J73" s="37"/>
      <c r="K73" s="37"/>
      <c r="L73" s="37"/>
      <c r="M73" s="37">
        <v>400000</v>
      </c>
      <c r="N73" s="37"/>
      <c r="O73" s="37">
        <v>400000</v>
      </c>
      <c r="P73" s="37">
        <v>400000</v>
      </c>
      <c r="Q73" s="37">
        <v>400000</v>
      </c>
      <c r="R73" s="37">
        <v>400000</v>
      </c>
      <c r="S73" s="37">
        <v>0</v>
      </c>
      <c r="T73" s="37">
        <v>0</v>
      </c>
      <c r="U73" s="37">
        <v>400000</v>
      </c>
      <c r="V73" s="37">
        <f>VLOOKUP(B73,'[1]INV. 2026'!$B:$J,9,0)</f>
        <v>0</v>
      </c>
      <c r="W73" s="59">
        <f t="shared" si="6"/>
        <v>2400000</v>
      </c>
      <c r="X73" s="60">
        <f t="shared" si="4"/>
        <v>6</v>
      </c>
      <c r="Y73" s="60">
        <f t="shared" si="7"/>
        <v>6</v>
      </c>
      <c r="Z73" s="60">
        <f t="shared" si="5"/>
        <v>6</v>
      </c>
    </row>
    <row r="74" spans="1:26">
      <c r="A74" s="12">
        <v>70</v>
      </c>
      <c r="B74" s="12" t="s">
        <v>210</v>
      </c>
      <c r="C74" s="12"/>
      <c r="D74" s="12"/>
      <c r="E74" s="12" t="s">
        <v>237</v>
      </c>
      <c r="F74" s="12"/>
      <c r="G74" s="13"/>
      <c r="H74" s="14"/>
      <c r="I74" s="15" t="s">
        <v>116</v>
      </c>
      <c r="J74" s="37"/>
      <c r="K74" s="37"/>
      <c r="L74" s="37"/>
      <c r="M74" s="38"/>
      <c r="N74" s="37">
        <v>400000</v>
      </c>
      <c r="O74" s="37">
        <v>400000</v>
      </c>
      <c r="P74" s="37">
        <v>400000</v>
      </c>
      <c r="Q74" s="37"/>
      <c r="R74" s="37">
        <v>400000</v>
      </c>
      <c r="S74" s="37">
        <v>400000</v>
      </c>
      <c r="T74" s="37">
        <v>0</v>
      </c>
      <c r="U74" s="37">
        <v>1600000</v>
      </c>
      <c r="V74" s="37">
        <f>VLOOKUP(B74,'[1]INV. 2026'!$B:$J,9,0)</f>
        <v>0</v>
      </c>
      <c r="W74" s="59">
        <f t="shared" si="6"/>
        <v>3600000</v>
      </c>
      <c r="X74" s="60">
        <f t="shared" si="4"/>
        <v>9</v>
      </c>
      <c r="Y74" s="60">
        <f t="shared" si="7"/>
        <v>6</v>
      </c>
      <c r="Z74" s="60">
        <f t="shared" si="5"/>
        <v>9</v>
      </c>
    </row>
    <row r="75" spans="1:26">
      <c r="A75" s="12">
        <v>71</v>
      </c>
      <c r="B75" s="12" t="s">
        <v>211</v>
      </c>
      <c r="C75" s="12"/>
      <c r="D75" s="12"/>
      <c r="E75" s="12" t="s">
        <v>539</v>
      </c>
      <c r="F75" s="12"/>
      <c r="G75" s="13"/>
      <c r="H75" s="14"/>
      <c r="I75" s="15" t="s">
        <v>116</v>
      </c>
      <c r="J75" s="37"/>
      <c r="K75" s="37"/>
      <c r="L75" s="37"/>
      <c r="M75" s="38"/>
      <c r="N75" s="37">
        <v>2400000</v>
      </c>
      <c r="O75" s="37">
        <v>2890000</v>
      </c>
      <c r="P75" s="37"/>
      <c r="Q75" s="37">
        <v>2000000</v>
      </c>
      <c r="R75" s="37">
        <v>0</v>
      </c>
      <c r="S75" s="37">
        <v>3600000</v>
      </c>
      <c r="T75" s="37">
        <v>800000</v>
      </c>
      <c r="U75" s="37">
        <v>400000</v>
      </c>
      <c r="V75" s="37">
        <f>VLOOKUP(B75,'[1]INV. 2026'!$B:$J,9,0)</f>
        <v>0</v>
      </c>
      <c r="W75" s="59">
        <f t="shared" si="6"/>
        <v>12090000</v>
      </c>
      <c r="X75" s="60">
        <f t="shared" si="4"/>
        <v>30.225000000000001</v>
      </c>
      <c r="Y75" s="60">
        <f t="shared" si="7"/>
        <v>6</v>
      </c>
      <c r="Z75" s="60">
        <f t="shared" si="5"/>
        <v>31</v>
      </c>
    </row>
    <row r="76" spans="1:26">
      <c r="A76" s="12">
        <v>72</v>
      </c>
      <c r="B76" s="12" t="s">
        <v>212</v>
      </c>
      <c r="C76" s="12" t="s">
        <v>443</v>
      </c>
      <c r="D76" s="12">
        <v>3222616473</v>
      </c>
      <c r="E76" s="12" t="s">
        <v>239</v>
      </c>
      <c r="F76" s="12"/>
      <c r="G76" s="13"/>
      <c r="H76" s="14"/>
      <c r="I76" s="15" t="s">
        <v>116</v>
      </c>
      <c r="J76" s="37"/>
      <c r="K76" s="37"/>
      <c r="L76" s="37"/>
      <c r="M76" s="38"/>
      <c r="N76" s="37">
        <v>1600000</v>
      </c>
      <c r="O76" s="37">
        <v>2000000</v>
      </c>
      <c r="P76" s="37">
        <v>400000</v>
      </c>
      <c r="Q76" s="37">
        <v>1600000</v>
      </c>
      <c r="R76" s="37">
        <v>0</v>
      </c>
      <c r="S76" s="37">
        <v>1400000</v>
      </c>
      <c r="T76" s="37">
        <v>400000</v>
      </c>
      <c r="U76" s="37">
        <v>800000</v>
      </c>
      <c r="V76" s="37">
        <f>VLOOKUP(B76,'[1]INV. 2026'!$B:$J,9,0)</f>
        <v>800000</v>
      </c>
      <c r="W76" s="59">
        <f t="shared" si="6"/>
        <v>9000000</v>
      </c>
      <c r="X76" s="60">
        <f t="shared" si="4"/>
        <v>22.5</v>
      </c>
      <c r="Y76" s="60">
        <f t="shared" si="7"/>
        <v>8</v>
      </c>
      <c r="Z76" s="60">
        <f t="shared" si="5"/>
        <v>23</v>
      </c>
    </row>
    <row r="77" spans="1:26">
      <c r="A77" s="12">
        <v>73</v>
      </c>
      <c r="B77" s="12" t="s">
        <v>213</v>
      </c>
      <c r="C77" s="12"/>
      <c r="D77" s="12"/>
      <c r="E77" s="12" t="s">
        <v>167</v>
      </c>
      <c r="F77" s="12">
        <v>1</v>
      </c>
      <c r="G77" s="13">
        <v>1862400</v>
      </c>
      <c r="H77" s="14" t="s">
        <v>8</v>
      </c>
      <c r="I77" s="15" t="s">
        <v>116</v>
      </c>
      <c r="J77" s="37"/>
      <c r="K77" s="37">
        <v>1737600</v>
      </c>
      <c r="L77" s="37">
        <v>800000</v>
      </c>
      <c r="M77" s="37">
        <v>1200000</v>
      </c>
      <c r="N77" s="37">
        <v>2400000</v>
      </c>
      <c r="O77" s="37">
        <v>2400000</v>
      </c>
      <c r="P77" s="37"/>
      <c r="Q77" s="37">
        <v>3600000</v>
      </c>
      <c r="R77" s="37">
        <v>0</v>
      </c>
      <c r="S77" s="37">
        <v>0</v>
      </c>
      <c r="T77" s="37">
        <v>0</v>
      </c>
      <c r="U77" s="37">
        <v>0</v>
      </c>
      <c r="V77" s="37">
        <f>VLOOKUP(B77,'[1]INV. 2026'!$B:$J,9,0)</f>
        <v>2500000</v>
      </c>
      <c r="W77" s="59">
        <f t="shared" si="6"/>
        <v>14637600</v>
      </c>
      <c r="X77" s="60">
        <f t="shared" si="4"/>
        <v>36.594000000000001</v>
      </c>
      <c r="Y77" s="60">
        <f t="shared" si="7"/>
        <v>7</v>
      </c>
      <c r="Z77" s="60">
        <f t="shared" si="5"/>
        <v>37</v>
      </c>
    </row>
    <row r="78" spans="1:26">
      <c r="A78" s="12">
        <v>74</v>
      </c>
      <c r="B78" s="12" t="s">
        <v>34</v>
      </c>
      <c r="C78" s="12"/>
      <c r="D78" s="12"/>
      <c r="E78" s="12" t="s">
        <v>257</v>
      </c>
      <c r="F78" s="12"/>
      <c r="G78" s="13">
        <v>200000</v>
      </c>
      <c r="H78" s="14" t="s">
        <v>5</v>
      </c>
      <c r="I78" s="15" t="s">
        <v>116</v>
      </c>
      <c r="J78" s="37"/>
      <c r="K78" s="37"/>
      <c r="L78" s="37"/>
      <c r="M78" s="37"/>
      <c r="N78" s="37"/>
      <c r="O78" s="37"/>
      <c r="P78" s="37"/>
      <c r="Q78" s="37"/>
      <c r="R78" s="37">
        <v>0</v>
      </c>
      <c r="S78" s="37">
        <v>0</v>
      </c>
      <c r="T78" s="37">
        <v>0</v>
      </c>
      <c r="U78" s="37">
        <v>0</v>
      </c>
      <c r="V78" s="37">
        <f>VLOOKUP(B78,'[1]INV. 2026'!$B:$J,9,0)</f>
        <v>0</v>
      </c>
      <c r="W78" s="59">
        <f t="shared" si="6"/>
        <v>0</v>
      </c>
      <c r="X78" s="60">
        <f t="shared" si="4"/>
        <v>0</v>
      </c>
      <c r="Y78" s="60">
        <f t="shared" si="7"/>
        <v>0</v>
      </c>
      <c r="Z78" s="60">
        <f t="shared" si="5"/>
        <v>0</v>
      </c>
    </row>
    <row r="79" spans="1:26">
      <c r="A79" s="12">
        <v>75</v>
      </c>
      <c r="B79" s="12" t="s">
        <v>41</v>
      </c>
      <c r="C79" s="12"/>
      <c r="D79" s="12"/>
      <c r="E79" s="12" t="s">
        <v>561</v>
      </c>
      <c r="F79" s="12">
        <v>1</v>
      </c>
      <c r="G79" s="13">
        <v>50000</v>
      </c>
      <c r="H79" s="14" t="s">
        <v>8</v>
      </c>
      <c r="I79" s="15" t="s">
        <v>116</v>
      </c>
      <c r="J79" s="37"/>
      <c r="K79" s="37"/>
      <c r="L79" s="37"/>
      <c r="M79" s="37"/>
      <c r="N79" s="37"/>
      <c r="O79" s="37"/>
      <c r="P79" s="37"/>
      <c r="Q79" s="37"/>
      <c r="R79" s="37">
        <v>0</v>
      </c>
      <c r="S79" s="37">
        <v>0</v>
      </c>
      <c r="T79" s="37">
        <v>0</v>
      </c>
      <c r="U79" s="37">
        <v>0</v>
      </c>
      <c r="V79" s="37">
        <f>VLOOKUP(B79,'[1]INV. 2026'!$B:$J,9,0)</f>
        <v>0</v>
      </c>
      <c r="W79" s="59">
        <f t="shared" si="6"/>
        <v>0</v>
      </c>
      <c r="X79" s="60">
        <f t="shared" si="4"/>
        <v>0</v>
      </c>
      <c r="Y79" s="60">
        <f t="shared" si="7"/>
        <v>0</v>
      </c>
      <c r="Z79" s="60">
        <f t="shared" si="5"/>
        <v>0</v>
      </c>
    </row>
    <row r="80" spans="1:26">
      <c r="A80" s="12">
        <v>76</v>
      </c>
      <c r="B80" s="12" t="s">
        <v>35</v>
      </c>
      <c r="C80" s="12"/>
      <c r="D80" s="12"/>
      <c r="E80" s="12" t="s">
        <v>257</v>
      </c>
      <c r="F80" s="12"/>
      <c r="G80" s="13">
        <v>1762000</v>
      </c>
      <c r="H80" s="14" t="s">
        <v>4</v>
      </c>
      <c r="I80" s="15" t="s">
        <v>116</v>
      </c>
      <c r="J80" s="37"/>
      <c r="K80" s="37"/>
      <c r="L80" s="37"/>
      <c r="M80" s="37"/>
      <c r="N80" s="37"/>
      <c r="O80" s="37"/>
      <c r="P80" s="37"/>
      <c r="Q80" s="37"/>
      <c r="R80" s="37">
        <v>0</v>
      </c>
      <c r="S80" s="37">
        <v>0</v>
      </c>
      <c r="T80" s="37">
        <v>0</v>
      </c>
      <c r="U80" s="37">
        <v>0</v>
      </c>
      <c r="V80" s="37">
        <f>VLOOKUP(B80,'[1]INV. 2026'!$B:$J,9,0)</f>
        <v>0</v>
      </c>
      <c r="W80" s="59">
        <f t="shared" si="6"/>
        <v>0</v>
      </c>
      <c r="X80" s="60">
        <f t="shared" si="4"/>
        <v>0</v>
      </c>
      <c r="Y80" s="60">
        <f t="shared" si="7"/>
        <v>0</v>
      </c>
      <c r="Z80" s="60">
        <f t="shared" si="5"/>
        <v>0</v>
      </c>
    </row>
    <row r="81" spans="1:26">
      <c r="A81" s="12">
        <v>77</v>
      </c>
      <c r="B81" s="16" t="s">
        <v>83</v>
      </c>
      <c r="C81" s="16"/>
      <c r="D81" s="16"/>
      <c r="E81" s="12" t="s">
        <v>561</v>
      </c>
      <c r="F81" s="16"/>
      <c r="G81" s="17">
        <v>800000</v>
      </c>
      <c r="H81" s="18" t="s">
        <v>4</v>
      </c>
      <c r="I81" s="15" t="s">
        <v>116</v>
      </c>
      <c r="J81" s="37"/>
      <c r="K81" s="37"/>
      <c r="L81" s="37"/>
      <c r="M81" s="37"/>
      <c r="N81" s="37"/>
      <c r="O81" s="37"/>
      <c r="P81" s="37"/>
      <c r="Q81" s="37"/>
      <c r="R81" s="37">
        <v>0</v>
      </c>
      <c r="S81" s="37">
        <v>0</v>
      </c>
      <c r="T81" s="37">
        <v>0</v>
      </c>
      <c r="U81" s="37">
        <v>0</v>
      </c>
      <c r="V81" s="37">
        <f>VLOOKUP(B81,'[1]INV. 2026'!$B:$J,9,0)</f>
        <v>0</v>
      </c>
      <c r="W81" s="59">
        <f t="shared" si="6"/>
        <v>0</v>
      </c>
      <c r="X81" s="60">
        <f t="shared" si="4"/>
        <v>0</v>
      </c>
      <c r="Y81" s="60">
        <f t="shared" si="7"/>
        <v>0</v>
      </c>
      <c r="Z81" s="60">
        <f t="shared" si="5"/>
        <v>0</v>
      </c>
    </row>
    <row r="82" spans="1:26">
      <c r="A82" s="12">
        <v>78</v>
      </c>
      <c r="B82" s="16" t="s">
        <v>67</v>
      </c>
      <c r="C82" s="12">
        <v>1093783625</v>
      </c>
      <c r="D82" s="16">
        <v>3223202421</v>
      </c>
      <c r="E82" s="12" t="s">
        <v>239</v>
      </c>
      <c r="F82" s="16"/>
      <c r="G82" s="17">
        <v>1200000</v>
      </c>
      <c r="H82" s="18" t="s">
        <v>4</v>
      </c>
      <c r="I82" s="15" t="s">
        <v>116</v>
      </c>
      <c r="J82" s="37"/>
      <c r="K82" s="37">
        <v>800000</v>
      </c>
      <c r="L82" s="37"/>
      <c r="M82" s="37">
        <v>400000</v>
      </c>
      <c r="N82" s="37">
        <v>400000</v>
      </c>
      <c r="O82" s="37"/>
      <c r="P82" s="37">
        <v>400000</v>
      </c>
      <c r="Q82" s="37">
        <v>400000</v>
      </c>
      <c r="R82" s="37">
        <v>400000</v>
      </c>
      <c r="S82" s="37">
        <v>800000</v>
      </c>
      <c r="T82" s="37">
        <v>800000</v>
      </c>
      <c r="U82" s="37">
        <v>400000</v>
      </c>
      <c r="V82" s="37">
        <f>VLOOKUP(B82,'[1]INV. 2026'!$B:$J,9,0)</f>
        <v>400000</v>
      </c>
      <c r="W82" s="59">
        <f t="shared" si="6"/>
        <v>5200000</v>
      </c>
      <c r="X82" s="60">
        <f t="shared" si="4"/>
        <v>13</v>
      </c>
      <c r="Y82" s="60">
        <f t="shared" si="7"/>
        <v>10</v>
      </c>
      <c r="Z82" s="60">
        <f t="shared" si="5"/>
        <v>13</v>
      </c>
    </row>
    <row r="83" spans="1:26">
      <c r="A83" s="12">
        <v>79</v>
      </c>
      <c r="B83" s="16" t="s">
        <v>97</v>
      </c>
      <c r="C83" s="16">
        <v>79477468</v>
      </c>
      <c r="D83" s="16">
        <v>3185861284</v>
      </c>
      <c r="E83" s="12" t="s">
        <v>472</v>
      </c>
      <c r="F83" s="16"/>
      <c r="G83" s="17">
        <v>500000</v>
      </c>
      <c r="H83" s="18" t="s">
        <v>4</v>
      </c>
      <c r="I83" s="15" t="s">
        <v>116</v>
      </c>
      <c r="J83" s="37"/>
      <c r="K83" s="37"/>
      <c r="L83" s="37"/>
      <c r="M83" s="37"/>
      <c r="N83" s="37">
        <v>400000</v>
      </c>
      <c r="O83" s="37">
        <v>400000</v>
      </c>
      <c r="P83" s="37">
        <v>500000</v>
      </c>
      <c r="Q83" s="37"/>
      <c r="R83" s="37">
        <v>600000</v>
      </c>
      <c r="S83" s="37">
        <v>500000</v>
      </c>
      <c r="T83" s="37">
        <v>940000</v>
      </c>
      <c r="U83" s="37">
        <v>400000</v>
      </c>
      <c r="V83" s="37">
        <f>VLOOKUP(B83,'[1]INV. 2026'!$B:$J,9,0)</f>
        <v>400000</v>
      </c>
      <c r="W83" s="59">
        <f t="shared" si="6"/>
        <v>4140000</v>
      </c>
      <c r="X83" s="60">
        <f t="shared" si="4"/>
        <v>10.35</v>
      </c>
      <c r="Y83" s="60">
        <f t="shared" si="7"/>
        <v>8</v>
      </c>
      <c r="Z83" s="60">
        <f t="shared" si="5"/>
        <v>11</v>
      </c>
    </row>
    <row r="84" spans="1:26">
      <c r="A84" s="12">
        <v>80</v>
      </c>
      <c r="B84" s="12" t="s">
        <v>37</v>
      </c>
      <c r="C84" s="12">
        <v>12135690</v>
      </c>
      <c r="D84" s="12"/>
      <c r="E84" s="12" t="s">
        <v>175</v>
      </c>
      <c r="F84" s="12"/>
      <c r="G84" s="13">
        <v>100000</v>
      </c>
      <c r="H84" s="14" t="s">
        <v>8</v>
      </c>
      <c r="I84" s="15" t="s">
        <v>116</v>
      </c>
      <c r="J84" s="37"/>
      <c r="K84" s="37"/>
      <c r="L84" s="37"/>
      <c r="M84" s="37"/>
      <c r="N84" s="37"/>
      <c r="O84" s="37">
        <v>400000</v>
      </c>
      <c r="P84" s="37"/>
      <c r="Q84" s="37"/>
      <c r="R84" s="37">
        <v>0</v>
      </c>
      <c r="S84" s="37">
        <v>400000</v>
      </c>
      <c r="T84" s="37">
        <v>0</v>
      </c>
      <c r="U84" s="37">
        <v>400000</v>
      </c>
      <c r="V84" s="37">
        <f>VLOOKUP(B84,'[1]INV. 2026'!$B:$J,9,0)</f>
        <v>0</v>
      </c>
      <c r="W84" s="59">
        <f t="shared" si="6"/>
        <v>1200000</v>
      </c>
      <c r="X84" s="60">
        <f t="shared" si="4"/>
        <v>3</v>
      </c>
      <c r="Y84" s="60">
        <f t="shared" si="7"/>
        <v>3</v>
      </c>
      <c r="Z84" s="60">
        <f t="shared" si="5"/>
        <v>3</v>
      </c>
    </row>
    <row r="85" spans="1:26">
      <c r="A85" s="12">
        <v>81</v>
      </c>
      <c r="B85" s="16" t="s">
        <v>100</v>
      </c>
      <c r="C85" s="16"/>
      <c r="D85" s="16"/>
      <c r="E85" s="12" t="s">
        <v>561</v>
      </c>
      <c r="F85" s="16"/>
      <c r="G85" s="17">
        <v>0</v>
      </c>
      <c r="H85" s="18" t="s">
        <v>4</v>
      </c>
      <c r="I85" s="15" t="s">
        <v>116</v>
      </c>
      <c r="J85" s="37"/>
      <c r="K85" s="37">
        <v>420000</v>
      </c>
      <c r="L85" s="37"/>
      <c r="M85" s="37"/>
      <c r="N85" s="37"/>
      <c r="O85" s="37"/>
      <c r="P85" s="37"/>
      <c r="Q85" s="37"/>
      <c r="R85" s="37">
        <v>0</v>
      </c>
      <c r="S85" s="37">
        <v>0</v>
      </c>
      <c r="T85" s="37">
        <v>0</v>
      </c>
      <c r="U85" s="37">
        <v>0</v>
      </c>
      <c r="V85" s="37">
        <f>VLOOKUP(B85,'[1]INV. 2026'!$B:$J,9,0)</f>
        <v>0</v>
      </c>
      <c r="W85" s="59">
        <f t="shared" si="6"/>
        <v>420000</v>
      </c>
      <c r="X85" s="60">
        <f t="shared" si="4"/>
        <v>1.05</v>
      </c>
      <c r="Y85" s="60">
        <f t="shared" si="7"/>
        <v>1</v>
      </c>
      <c r="Z85" s="60">
        <f t="shared" si="5"/>
        <v>2</v>
      </c>
    </row>
    <row r="86" spans="1:26">
      <c r="A86" s="12">
        <v>82</v>
      </c>
      <c r="B86" s="12" t="s">
        <v>138</v>
      </c>
      <c r="C86" s="12">
        <v>1128400756</v>
      </c>
      <c r="D86" s="12">
        <v>3043640493</v>
      </c>
      <c r="E86" s="12" t="s">
        <v>253</v>
      </c>
      <c r="F86" s="12"/>
      <c r="G86" s="13"/>
      <c r="H86" s="14" t="s">
        <v>4</v>
      </c>
      <c r="I86" s="15" t="s">
        <v>116</v>
      </c>
      <c r="J86" s="37"/>
      <c r="K86" s="37"/>
      <c r="L86" s="37">
        <v>400000</v>
      </c>
      <c r="M86" s="37"/>
      <c r="N86" s="37">
        <v>400000</v>
      </c>
      <c r="O86" s="37"/>
      <c r="P86" s="37"/>
      <c r="Q86" s="37"/>
      <c r="R86" s="37">
        <v>0</v>
      </c>
      <c r="S86" s="37">
        <v>800000</v>
      </c>
      <c r="T86" s="37">
        <v>0</v>
      </c>
      <c r="U86" s="37">
        <v>400000</v>
      </c>
      <c r="V86" s="37">
        <f>VLOOKUP(B86,'[1]INV. 2026'!$B:$J,9,0)</f>
        <v>0</v>
      </c>
      <c r="W86" s="59">
        <f t="shared" si="6"/>
        <v>2000000</v>
      </c>
      <c r="X86" s="60">
        <f t="shared" si="4"/>
        <v>5</v>
      </c>
      <c r="Y86" s="60">
        <f t="shared" si="7"/>
        <v>4</v>
      </c>
      <c r="Z86" s="60">
        <f t="shared" si="5"/>
        <v>5</v>
      </c>
    </row>
    <row r="87" spans="1:26">
      <c r="A87" s="12">
        <v>83</v>
      </c>
      <c r="B87" s="12" t="s">
        <v>191</v>
      </c>
      <c r="C87" s="12"/>
      <c r="D87" s="12"/>
      <c r="E87" s="12"/>
      <c r="F87" s="12"/>
      <c r="G87" s="13"/>
      <c r="H87" s="14"/>
      <c r="I87" s="15" t="s">
        <v>116</v>
      </c>
      <c r="J87" s="37"/>
      <c r="K87" s="37"/>
      <c r="L87" s="37"/>
      <c r="M87" s="38"/>
      <c r="N87" s="37">
        <v>2000000</v>
      </c>
      <c r="O87" s="37">
        <v>2000000</v>
      </c>
      <c r="P87" s="37"/>
      <c r="Q87" s="37"/>
      <c r="R87" s="37">
        <v>0</v>
      </c>
      <c r="S87" s="37">
        <v>0</v>
      </c>
      <c r="T87" s="37">
        <v>0</v>
      </c>
      <c r="U87" s="37">
        <v>0</v>
      </c>
      <c r="V87" s="37">
        <f>VLOOKUP(B87,'[1]INV. 2026'!$B:$J,9,0)</f>
        <v>0</v>
      </c>
      <c r="W87" s="59">
        <f t="shared" si="6"/>
        <v>4000000</v>
      </c>
      <c r="X87" s="60">
        <f t="shared" si="4"/>
        <v>10</v>
      </c>
      <c r="Y87" s="60">
        <f t="shared" si="7"/>
        <v>2</v>
      </c>
      <c r="Z87" s="60">
        <f t="shared" si="5"/>
        <v>10</v>
      </c>
    </row>
    <row r="88" spans="1:26">
      <c r="A88" s="12">
        <v>84</v>
      </c>
      <c r="B88" s="12" t="s">
        <v>134</v>
      </c>
      <c r="C88" s="12">
        <v>13838106</v>
      </c>
      <c r="D88" s="12">
        <v>3158359949</v>
      </c>
      <c r="E88" s="12" t="s">
        <v>565</v>
      </c>
      <c r="F88" s="12">
        <v>2</v>
      </c>
      <c r="G88" s="13">
        <v>0</v>
      </c>
      <c r="H88" s="13" t="s">
        <v>13</v>
      </c>
      <c r="I88" s="15" t="s">
        <v>116</v>
      </c>
      <c r="J88" s="37"/>
      <c r="K88" s="37"/>
      <c r="L88" s="37">
        <v>1200000</v>
      </c>
      <c r="M88" s="37">
        <v>700000</v>
      </c>
      <c r="N88" s="37">
        <v>400000</v>
      </c>
      <c r="O88" s="37">
        <v>400000</v>
      </c>
      <c r="P88" s="37">
        <v>400000</v>
      </c>
      <c r="Q88" s="37">
        <v>400000</v>
      </c>
      <c r="R88" s="37">
        <v>400000</v>
      </c>
      <c r="S88" s="37">
        <v>400000</v>
      </c>
      <c r="T88" s="37">
        <v>0</v>
      </c>
      <c r="U88" s="37">
        <v>0</v>
      </c>
      <c r="V88" s="37">
        <f>VLOOKUP(B88,'[1]INV. 2026'!$B:$J,9,0)</f>
        <v>0</v>
      </c>
      <c r="W88" s="59">
        <f t="shared" si="6"/>
        <v>4300000</v>
      </c>
      <c r="X88" s="60">
        <f t="shared" si="4"/>
        <v>10.75</v>
      </c>
      <c r="Y88" s="60">
        <f t="shared" si="7"/>
        <v>8</v>
      </c>
      <c r="Z88" s="60">
        <f t="shared" si="5"/>
        <v>11</v>
      </c>
    </row>
    <row r="89" spans="1:26">
      <c r="A89" s="12">
        <v>85</v>
      </c>
      <c r="B89" s="16" t="s">
        <v>80</v>
      </c>
      <c r="C89" s="16">
        <v>91249777</v>
      </c>
      <c r="D89" s="16"/>
      <c r="E89" s="12"/>
      <c r="F89" s="16"/>
      <c r="G89" s="17">
        <v>800000</v>
      </c>
      <c r="H89" s="18" t="s">
        <v>4</v>
      </c>
      <c r="I89" s="15" t="s">
        <v>116</v>
      </c>
      <c r="J89" s="37"/>
      <c r="K89" s="37">
        <v>800000</v>
      </c>
      <c r="L89" s="37">
        <v>400000</v>
      </c>
      <c r="M89" s="37"/>
      <c r="N89" s="37">
        <v>1200000</v>
      </c>
      <c r="O89" s="37"/>
      <c r="P89" s="37">
        <v>400000</v>
      </c>
      <c r="Q89" s="37"/>
      <c r="R89" s="37">
        <v>0</v>
      </c>
      <c r="S89" s="37">
        <v>0</v>
      </c>
      <c r="T89" s="37">
        <v>0</v>
      </c>
      <c r="U89" s="37">
        <v>0</v>
      </c>
      <c r="V89" s="37">
        <f>VLOOKUP(B89,'[1]INV. 2026'!$B:$J,9,0)</f>
        <v>0</v>
      </c>
      <c r="W89" s="59">
        <f t="shared" si="6"/>
        <v>2800000</v>
      </c>
      <c r="X89" s="60">
        <f t="shared" si="4"/>
        <v>7</v>
      </c>
      <c r="Y89" s="60">
        <f t="shared" si="7"/>
        <v>4</v>
      </c>
      <c r="Z89" s="60">
        <f t="shared" si="5"/>
        <v>7</v>
      </c>
    </row>
    <row r="90" spans="1:26">
      <c r="A90" s="12">
        <v>86</v>
      </c>
      <c r="B90" s="16" t="s">
        <v>78</v>
      </c>
      <c r="C90" s="16"/>
      <c r="D90" s="16"/>
      <c r="E90" s="12"/>
      <c r="F90" s="16"/>
      <c r="G90" s="17">
        <v>200000</v>
      </c>
      <c r="H90" s="18" t="s">
        <v>4</v>
      </c>
      <c r="I90" s="15" t="s">
        <v>116</v>
      </c>
      <c r="J90" s="37">
        <v>200000</v>
      </c>
      <c r="K90" s="37"/>
      <c r="L90" s="37"/>
      <c r="M90" s="37"/>
      <c r="N90" s="37"/>
      <c r="O90" s="37"/>
      <c r="P90" s="37"/>
      <c r="Q90" s="37"/>
      <c r="R90" s="37">
        <v>0</v>
      </c>
      <c r="S90" s="37">
        <v>0</v>
      </c>
      <c r="T90" s="37">
        <v>0</v>
      </c>
      <c r="U90" s="37">
        <v>0</v>
      </c>
      <c r="V90" s="37">
        <f>VLOOKUP(B90,'[1]INV. 2026'!$B:$J,9,0)</f>
        <v>0</v>
      </c>
      <c r="W90" s="59">
        <f t="shared" si="6"/>
        <v>200000</v>
      </c>
      <c r="X90" s="60">
        <f t="shared" si="4"/>
        <v>0.5</v>
      </c>
      <c r="Y90" s="60">
        <f t="shared" si="7"/>
        <v>1</v>
      </c>
      <c r="Z90" s="60">
        <f t="shared" si="5"/>
        <v>1</v>
      </c>
    </row>
    <row r="91" spans="1:26">
      <c r="A91" s="12">
        <v>87</v>
      </c>
      <c r="B91" s="16" t="s">
        <v>68</v>
      </c>
      <c r="C91" s="16"/>
      <c r="D91" s="16"/>
      <c r="E91" s="12"/>
      <c r="F91" s="16"/>
      <c r="G91" s="17">
        <v>860000</v>
      </c>
      <c r="H91" s="18" t="s">
        <v>4</v>
      </c>
      <c r="I91" s="15" t="s">
        <v>116</v>
      </c>
      <c r="J91" s="37"/>
      <c r="K91" s="37"/>
      <c r="L91" s="37"/>
      <c r="M91" s="37"/>
      <c r="N91" s="37"/>
      <c r="O91" s="37"/>
      <c r="P91" s="37"/>
      <c r="Q91" s="37"/>
      <c r="R91" s="37">
        <v>0</v>
      </c>
      <c r="S91" s="37">
        <v>0</v>
      </c>
      <c r="T91" s="37">
        <v>0</v>
      </c>
      <c r="U91" s="37">
        <v>0</v>
      </c>
      <c r="V91" s="37">
        <f>VLOOKUP(B91,'[1]INV. 2026'!$B:$J,9,0)</f>
        <v>0</v>
      </c>
      <c r="W91" s="59">
        <f t="shared" si="6"/>
        <v>0</v>
      </c>
      <c r="X91" s="60">
        <f t="shared" si="4"/>
        <v>0</v>
      </c>
      <c r="Y91" s="60">
        <f t="shared" si="7"/>
        <v>0</v>
      </c>
      <c r="Z91" s="60">
        <f t="shared" si="5"/>
        <v>0</v>
      </c>
    </row>
    <row r="92" spans="1:26">
      <c r="A92" s="12">
        <v>88</v>
      </c>
      <c r="B92" s="16" t="s">
        <v>52</v>
      </c>
      <c r="C92" s="16">
        <v>15374739</v>
      </c>
      <c r="D92" s="16"/>
      <c r="E92" s="12" t="s">
        <v>253</v>
      </c>
      <c r="F92" s="12"/>
      <c r="G92" s="17">
        <v>840000</v>
      </c>
      <c r="H92" s="14" t="s">
        <v>8</v>
      </c>
      <c r="I92" s="15" t="s">
        <v>116</v>
      </c>
      <c r="J92" s="37"/>
      <c r="K92" s="37"/>
      <c r="L92" s="37"/>
      <c r="M92" s="37">
        <v>420000</v>
      </c>
      <c r="N92" s="37">
        <v>420000</v>
      </c>
      <c r="O92" s="37">
        <v>420000</v>
      </c>
      <c r="P92" s="37">
        <v>420000</v>
      </c>
      <c r="Q92" s="37">
        <v>420000</v>
      </c>
      <c r="R92" s="37">
        <v>400000</v>
      </c>
      <c r="S92" s="37">
        <v>400000</v>
      </c>
      <c r="T92" s="37">
        <v>400000</v>
      </c>
      <c r="U92" s="37">
        <v>0</v>
      </c>
      <c r="V92" s="37">
        <f>VLOOKUP(B92,'[1]INV. 2026'!$B:$J,9,0)</f>
        <v>0</v>
      </c>
      <c r="W92" s="59">
        <f t="shared" si="6"/>
        <v>3300000</v>
      </c>
      <c r="X92" s="60">
        <f t="shared" si="4"/>
        <v>8.25</v>
      </c>
      <c r="Y92" s="60">
        <f t="shared" si="7"/>
        <v>8</v>
      </c>
      <c r="Z92" s="60">
        <f t="shared" si="5"/>
        <v>9</v>
      </c>
    </row>
    <row r="93" spans="1:26">
      <c r="A93" s="12">
        <v>89</v>
      </c>
      <c r="B93" s="12" t="s">
        <v>48</v>
      </c>
      <c r="C93" s="12"/>
      <c r="D93" s="12"/>
      <c r="E93" s="12"/>
      <c r="F93" s="12">
        <v>1</v>
      </c>
      <c r="G93" s="13">
        <v>400000</v>
      </c>
      <c r="H93" s="14" t="s">
        <v>4</v>
      </c>
      <c r="I93" s="15" t="s">
        <v>116</v>
      </c>
      <c r="J93" s="37"/>
      <c r="K93" s="37"/>
      <c r="L93" s="37"/>
      <c r="M93" s="37"/>
      <c r="N93" s="37"/>
      <c r="O93" s="37"/>
      <c r="P93" s="37"/>
      <c r="Q93" s="37"/>
      <c r="R93" s="37">
        <v>0</v>
      </c>
      <c r="S93" s="37">
        <v>0</v>
      </c>
      <c r="T93" s="37">
        <v>0</v>
      </c>
      <c r="U93" s="37">
        <v>0</v>
      </c>
      <c r="V93" s="37">
        <f>VLOOKUP(B93,'[1]INV. 2026'!$B:$J,9,0)</f>
        <v>0</v>
      </c>
      <c r="W93" s="59">
        <f t="shared" si="6"/>
        <v>0</v>
      </c>
      <c r="X93" s="60">
        <f t="shared" si="4"/>
        <v>0</v>
      </c>
      <c r="Y93" s="60">
        <f t="shared" si="7"/>
        <v>0</v>
      </c>
      <c r="Z93" s="60">
        <f t="shared" si="5"/>
        <v>0</v>
      </c>
    </row>
    <row r="94" spans="1:26">
      <c r="A94" s="12">
        <v>90</v>
      </c>
      <c r="B94" s="12" t="s">
        <v>45</v>
      </c>
      <c r="C94" s="12"/>
      <c r="D94" s="12"/>
      <c r="E94" s="12"/>
      <c r="F94" s="12"/>
      <c r="G94" s="13">
        <v>1600000</v>
      </c>
      <c r="H94" s="14" t="s">
        <v>8</v>
      </c>
      <c r="I94" s="15" t="s">
        <v>116</v>
      </c>
      <c r="J94" s="37"/>
      <c r="K94" s="37"/>
      <c r="L94" s="37"/>
      <c r="M94" s="37"/>
      <c r="N94" s="37"/>
      <c r="O94" s="37"/>
      <c r="P94" s="37"/>
      <c r="Q94" s="37"/>
      <c r="R94" s="37">
        <v>0</v>
      </c>
      <c r="S94" s="37">
        <v>0</v>
      </c>
      <c r="T94" s="37">
        <v>0</v>
      </c>
      <c r="U94" s="37">
        <v>0</v>
      </c>
      <c r="V94" s="37">
        <f>VLOOKUP(B94,'[1]INV. 2026'!$B:$J,9,0)</f>
        <v>0</v>
      </c>
      <c r="W94" s="59">
        <f t="shared" si="6"/>
        <v>0</v>
      </c>
      <c r="X94" s="60">
        <f t="shared" si="4"/>
        <v>0</v>
      </c>
      <c r="Y94" s="60">
        <f t="shared" si="7"/>
        <v>0</v>
      </c>
      <c r="Z94" s="60">
        <f t="shared" si="5"/>
        <v>0</v>
      </c>
    </row>
    <row r="95" spans="1:26">
      <c r="A95" s="12">
        <v>91</v>
      </c>
      <c r="B95" s="12" t="s">
        <v>24</v>
      </c>
      <c r="C95" s="12"/>
      <c r="D95" s="12"/>
      <c r="E95" s="12"/>
      <c r="F95" s="12">
        <v>1</v>
      </c>
      <c r="G95" s="13">
        <v>400000</v>
      </c>
      <c r="H95" s="14" t="s">
        <v>4</v>
      </c>
      <c r="I95" s="15" t="s">
        <v>116</v>
      </c>
      <c r="J95" s="37"/>
      <c r="K95" s="37"/>
      <c r="L95" s="37"/>
      <c r="M95" s="37">
        <v>400000</v>
      </c>
      <c r="N95" s="37">
        <v>400000</v>
      </c>
      <c r="O95" s="37"/>
      <c r="P95" s="37"/>
      <c r="Q95" s="37">
        <v>400000</v>
      </c>
      <c r="R95" s="37">
        <v>0</v>
      </c>
      <c r="S95" s="37">
        <v>0</v>
      </c>
      <c r="T95" s="37">
        <v>0</v>
      </c>
      <c r="U95" s="37">
        <v>0</v>
      </c>
      <c r="V95" s="37">
        <f>VLOOKUP(B95,'[1]INV. 2026'!$B:$J,9,0)</f>
        <v>0</v>
      </c>
      <c r="W95" s="59">
        <f t="shared" si="6"/>
        <v>1200000</v>
      </c>
      <c r="X95" s="60">
        <f t="shared" si="4"/>
        <v>3</v>
      </c>
      <c r="Y95" s="60">
        <f t="shared" si="7"/>
        <v>3</v>
      </c>
      <c r="Z95" s="60">
        <f t="shared" si="5"/>
        <v>3</v>
      </c>
    </row>
    <row r="96" spans="1:26">
      <c r="A96" s="12">
        <v>92</v>
      </c>
      <c r="B96" s="19" t="s">
        <v>73</v>
      </c>
      <c r="C96" s="19"/>
      <c r="D96" s="19"/>
      <c r="E96" s="12" t="s">
        <v>562</v>
      </c>
      <c r="F96" s="12"/>
      <c r="G96" s="13">
        <v>400000</v>
      </c>
      <c r="H96" s="14" t="s">
        <v>4</v>
      </c>
      <c r="I96" s="15" t="s">
        <v>116</v>
      </c>
      <c r="J96" s="37"/>
      <c r="K96" s="37"/>
      <c r="L96" s="37"/>
      <c r="M96" s="37"/>
      <c r="N96" s="37"/>
      <c r="O96" s="37"/>
      <c r="P96" s="37"/>
      <c r="Q96" s="37"/>
      <c r="R96" s="37">
        <v>0</v>
      </c>
      <c r="S96" s="37">
        <v>0</v>
      </c>
      <c r="T96" s="37">
        <v>400000</v>
      </c>
      <c r="U96" s="37">
        <v>400000</v>
      </c>
      <c r="V96" s="37">
        <f>VLOOKUP(B96,'[1]INV. 2026'!$B:$J,9,0)</f>
        <v>0</v>
      </c>
      <c r="W96" s="59">
        <f t="shared" si="6"/>
        <v>800000</v>
      </c>
      <c r="X96" s="60">
        <f t="shared" si="4"/>
        <v>2</v>
      </c>
      <c r="Y96" s="60">
        <f t="shared" si="7"/>
        <v>2</v>
      </c>
      <c r="Z96" s="60">
        <f t="shared" si="5"/>
        <v>2</v>
      </c>
    </row>
    <row r="97" spans="1:26">
      <c r="A97" s="12">
        <v>93</v>
      </c>
      <c r="B97" s="16" t="s">
        <v>132</v>
      </c>
      <c r="C97" s="16"/>
      <c r="D97" s="16"/>
      <c r="E97" s="12"/>
      <c r="F97" s="12"/>
      <c r="G97" s="17">
        <v>0</v>
      </c>
      <c r="H97" s="14"/>
      <c r="I97" s="15" t="s">
        <v>116</v>
      </c>
      <c r="J97" s="37"/>
      <c r="K97" s="37">
        <v>400000</v>
      </c>
      <c r="L97" s="37"/>
      <c r="M97" s="37"/>
      <c r="N97" s="37"/>
      <c r="O97" s="37"/>
      <c r="P97" s="37"/>
      <c r="Q97" s="37"/>
      <c r="R97" s="37">
        <v>0</v>
      </c>
      <c r="S97" s="37">
        <v>0</v>
      </c>
      <c r="T97" s="37">
        <v>0</v>
      </c>
      <c r="U97" s="37">
        <v>0</v>
      </c>
      <c r="V97" s="37">
        <f>VLOOKUP(B97,'[1]INV. 2026'!$B:$J,9,0)</f>
        <v>0</v>
      </c>
      <c r="W97" s="59">
        <f t="shared" si="6"/>
        <v>400000</v>
      </c>
      <c r="X97" s="60">
        <f t="shared" si="4"/>
        <v>1</v>
      </c>
      <c r="Y97" s="60">
        <f t="shared" si="7"/>
        <v>1</v>
      </c>
      <c r="Z97" s="60">
        <f t="shared" si="5"/>
        <v>1</v>
      </c>
    </row>
    <row r="98" spans="1:26">
      <c r="A98" s="12">
        <v>94</v>
      </c>
      <c r="B98" s="16" t="s">
        <v>81</v>
      </c>
      <c r="C98" s="16">
        <v>77037962</v>
      </c>
      <c r="D98" s="16">
        <v>3108469718</v>
      </c>
      <c r="E98" s="12" t="s">
        <v>348</v>
      </c>
      <c r="F98" s="16"/>
      <c r="G98" s="17">
        <v>1600000</v>
      </c>
      <c r="H98" s="18" t="s">
        <v>4</v>
      </c>
      <c r="I98" s="15" t="s">
        <v>116</v>
      </c>
      <c r="J98" s="37"/>
      <c r="K98" s="37"/>
      <c r="L98" s="37">
        <v>1600000</v>
      </c>
      <c r="M98" s="37">
        <v>400000</v>
      </c>
      <c r="N98" s="37">
        <v>800000</v>
      </c>
      <c r="O98" s="37"/>
      <c r="P98" s="37">
        <v>400000</v>
      </c>
      <c r="Q98" s="37"/>
      <c r="R98" s="37">
        <v>400000</v>
      </c>
      <c r="S98" s="37">
        <v>400000</v>
      </c>
      <c r="T98" s="37">
        <v>0</v>
      </c>
      <c r="U98" s="37">
        <v>2400000</v>
      </c>
      <c r="V98" s="37">
        <f>VLOOKUP(B98,'[1]INV. 2026'!$B:$J,9,0)</f>
        <v>2400000</v>
      </c>
      <c r="W98" s="59">
        <f t="shared" si="6"/>
        <v>8800000</v>
      </c>
      <c r="X98" s="60">
        <f t="shared" si="4"/>
        <v>22</v>
      </c>
      <c r="Y98" s="60">
        <f t="shared" si="7"/>
        <v>8</v>
      </c>
      <c r="Z98" s="60">
        <f t="shared" si="5"/>
        <v>22</v>
      </c>
    </row>
    <row r="99" spans="1:26">
      <c r="A99" s="12">
        <v>95</v>
      </c>
      <c r="B99" s="16" t="s">
        <v>112</v>
      </c>
      <c r="C99" s="16"/>
      <c r="D99" s="16"/>
      <c r="E99" s="12"/>
      <c r="F99" s="16"/>
      <c r="G99" s="17">
        <v>0</v>
      </c>
      <c r="H99" s="18" t="s">
        <v>4</v>
      </c>
      <c r="I99" s="15" t="s">
        <v>116</v>
      </c>
      <c r="J99" s="37"/>
      <c r="K99" s="37"/>
      <c r="L99" s="37">
        <v>10000000</v>
      </c>
      <c r="M99" s="37"/>
      <c r="N99" s="37"/>
      <c r="O99" s="37"/>
      <c r="P99" s="37"/>
      <c r="Q99" s="37"/>
      <c r="R99" s="37">
        <v>0</v>
      </c>
      <c r="S99" s="37">
        <v>0</v>
      </c>
      <c r="T99" s="37">
        <v>0</v>
      </c>
      <c r="U99" s="37">
        <v>0</v>
      </c>
      <c r="V99" s="37">
        <f>VLOOKUP(B99,'[1]INV. 2026'!$B:$J,9,0)</f>
        <v>0</v>
      </c>
      <c r="W99" s="59">
        <f t="shared" si="6"/>
        <v>10000000</v>
      </c>
      <c r="X99" s="60">
        <f t="shared" si="4"/>
        <v>25</v>
      </c>
      <c r="Y99" s="60">
        <f t="shared" si="7"/>
        <v>1</v>
      </c>
      <c r="Z99" s="60">
        <f t="shared" si="5"/>
        <v>25</v>
      </c>
    </row>
    <row r="100" spans="1:26">
      <c r="A100" s="12">
        <v>96</v>
      </c>
      <c r="B100" s="16" t="s">
        <v>55</v>
      </c>
      <c r="C100" s="16"/>
      <c r="D100" s="16"/>
      <c r="E100" s="12" t="s">
        <v>504</v>
      </c>
      <c r="F100" s="12"/>
      <c r="G100" s="17">
        <v>400000</v>
      </c>
      <c r="H100" s="14" t="s">
        <v>4</v>
      </c>
      <c r="I100" s="15" t="s">
        <v>116</v>
      </c>
      <c r="J100" s="37"/>
      <c r="K100" s="37"/>
      <c r="L100" s="37"/>
      <c r="M100" s="37"/>
      <c r="N100" s="37"/>
      <c r="O100" s="37"/>
      <c r="P100" s="37"/>
      <c r="Q100" s="37"/>
      <c r="R100" s="37">
        <v>0</v>
      </c>
      <c r="S100" s="37">
        <v>0</v>
      </c>
      <c r="T100" s="37">
        <v>0</v>
      </c>
      <c r="U100" s="37">
        <v>400000</v>
      </c>
      <c r="V100" s="37">
        <f>VLOOKUP(B100,'[1]INV. 2026'!$B:$J,9,0)</f>
        <v>0</v>
      </c>
      <c r="W100" s="59">
        <f t="shared" si="6"/>
        <v>400000</v>
      </c>
      <c r="X100" s="60">
        <f t="shared" si="4"/>
        <v>1</v>
      </c>
      <c r="Y100" s="60">
        <f t="shared" si="7"/>
        <v>1</v>
      </c>
      <c r="Z100" s="60">
        <f t="shared" si="5"/>
        <v>1</v>
      </c>
    </row>
    <row r="101" spans="1:26">
      <c r="A101" s="12">
        <v>97</v>
      </c>
      <c r="B101" s="12" t="s">
        <v>25</v>
      </c>
      <c r="C101" s="12"/>
      <c r="D101" s="12"/>
      <c r="E101" s="12"/>
      <c r="F101" s="12">
        <v>3</v>
      </c>
      <c r="G101" s="13">
        <v>0</v>
      </c>
      <c r="H101" s="13" t="s">
        <v>13</v>
      </c>
      <c r="I101" s="15" t="s">
        <v>116</v>
      </c>
      <c r="J101" s="37"/>
      <c r="K101" s="37"/>
      <c r="L101" s="37"/>
      <c r="M101" s="37"/>
      <c r="N101" s="37"/>
      <c r="O101" s="37"/>
      <c r="P101" s="37"/>
      <c r="Q101" s="37"/>
      <c r="R101" s="37">
        <v>0</v>
      </c>
      <c r="S101" s="37">
        <v>0</v>
      </c>
      <c r="T101" s="37">
        <v>0</v>
      </c>
      <c r="U101" s="37">
        <v>0</v>
      </c>
      <c r="V101" s="37">
        <f>VLOOKUP(B101,'[1]INV. 2026'!$B:$J,9,0)</f>
        <v>0</v>
      </c>
      <c r="W101" s="59">
        <f t="shared" si="6"/>
        <v>0</v>
      </c>
      <c r="X101" s="60">
        <f t="shared" si="4"/>
        <v>0</v>
      </c>
      <c r="Y101" s="60">
        <f t="shared" si="7"/>
        <v>0</v>
      </c>
      <c r="Z101" s="60">
        <f t="shared" si="5"/>
        <v>0</v>
      </c>
    </row>
    <row r="102" spans="1:26">
      <c r="A102" s="12">
        <v>98</v>
      </c>
      <c r="B102" s="12" t="s">
        <v>137</v>
      </c>
      <c r="C102" s="12"/>
      <c r="D102" s="12"/>
      <c r="E102" s="12" t="s">
        <v>565</v>
      </c>
      <c r="F102" s="12"/>
      <c r="G102" s="13"/>
      <c r="H102" s="14" t="s">
        <v>4</v>
      </c>
      <c r="I102" s="15" t="s">
        <v>116</v>
      </c>
      <c r="J102" s="37"/>
      <c r="K102" s="37"/>
      <c r="L102" s="37">
        <v>400000</v>
      </c>
      <c r="M102" s="37"/>
      <c r="N102" s="37"/>
      <c r="O102" s="37"/>
      <c r="P102" s="37"/>
      <c r="Q102" s="37"/>
      <c r="R102" s="37">
        <v>400000</v>
      </c>
      <c r="S102" s="37">
        <v>0</v>
      </c>
      <c r="T102" s="37">
        <v>0</v>
      </c>
      <c r="U102" s="37">
        <v>0</v>
      </c>
      <c r="V102" s="37">
        <f>VLOOKUP(B102,'[1]INV. 2026'!$B:$J,9,0)</f>
        <v>0</v>
      </c>
      <c r="W102" s="59">
        <f t="shared" si="6"/>
        <v>800000</v>
      </c>
      <c r="X102" s="60">
        <f t="shared" si="4"/>
        <v>2</v>
      </c>
      <c r="Y102" s="60">
        <f t="shared" si="7"/>
        <v>2</v>
      </c>
      <c r="Z102" s="60">
        <f t="shared" si="5"/>
        <v>2</v>
      </c>
    </row>
    <row r="103" spans="1:26">
      <c r="A103" s="12">
        <v>99</v>
      </c>
      <c r="B103" s="12" t="s">
        <v>51</v>
      </c>
      <c r="C103" s="12"/>
      <c r="D103" s="12"/>
      <c r="E103" s="12"/>
      <c r="F103" s="12"/>
      <c r="G103" s="13">
        <v>-400000</v>
      </c>
      <c r="H103" s="14" t="s">
        <v>4</v>
      </c>
      <c r="I103" s="15" t="s">
        <v>115</v>
      </c>
      <c r="J103" s="37"/>
      <c r="K103" s="37"/>
      <c r="L103" s="37"/>
      <c r="M103" s="37"/>
      <c r="N103" s="37"/>
      <c r="O103" s="37"/>
      <c r="P103" s="37"/>
      <c r="Q103" s="37"/>
      <c r="R103" s="37">
        <v>0</v>
      </c>
      <c r="S103" s="37">
        <v>0</v>
      </c>
      <c r="T103" s="37">
        <v>0</v>
      </c>
      <c r="U103" s="37">
        <v>0</v>
      </c>
      <c r="V103" s="37">
        <f>VLOOKUP(B103,'[1]INV. 2026'!$B:$J,9,0)</f>
        <v>0</v>
      </c>
      <c r="W103" s="59">
        <f t="shared" si="6"/>
        <v>0</v>
      </c>
      <c r="X103" s="60">
        <f t="shared" si="4"/>
        <v>0</v>
      </c>
      <c r="Y103" s="60">
        <f t="shared" si="7"/>
        <v>0</v>
      </c>
      <c r="Z103" s="60">
        <f t="shared" si="5"/>
        <v>0</v>
      </c>
    </row>
    <row r="104" spans="1:26">
      <c r="A104" s="12">
        <v>100</v>
      </c>
      <c r="B104" s="12" t="s">
        <v>38</v>
      </c>
      <c r="C104" s="12">
        <v>1077424658</v>
      </c>
      <c r="D104" s="12">
        <v>3216464514</v>
      </c>
      <c r="E104" s="12" t="s">
        <v>347</v>
      </c>
      <c r="F104" s="12"/>
      <c r="G104" s="13">
        <v>1600000</v>
      </c>
      <c r="H104" s="14" t="s">
        <v>8</v>
      </c>
      <c r="I104" s="15" t="s">
        <v>116</v>
      </c>
      <c r="J104" s="37"/>
      <c r="K104" s="37"/>
      <c r="L104" s="37">
        <v>400000</v>
      </c>
      <c r="M104" s="37"/>
      <c r="N104" s="37">
        <v>400000</v>
      </c>
      <c r="O104" s="37"/>
      <c r="P104" s="37">
        <v>400000</v>
      </c>
      <c r="Q104" s="37"/>
      <c r="R104" s="37">
        <v>0</v>
      </c>
      <c r="S104" s="37">
        <v>400000</v>
      </c>
      <c r="T104" s="37">
        <v>800000</v>
      </c>
      <c r="U104" s="37">
        <v>0</v>
      </c>
      <c r="V104" s="37">
        <f>VLOOKUP(B104,'[1]INV. 2026'!$B:$J,9,0)</f>
        <v>0</v>
      </c>
      <c r="W104" s="59">
        <f t="shared" si="6"/>
        <v>2400000</v>
      </c>
      <c r="X104" s="60">
        <f t="shared" si="4"/>
        <v>6</v>
      </c>
      <c r="Y104" s="60">
        <f t="shared" si="7"/>
        <v>5</v>
      </c>
      <c r="Z104" s="60">
        <f t="shared" si="5"/>
        <v>6</v>
      </c>
    </row>
    <row r="105" spans="1:26">
      <c r="A105" s="12">
        <v>101</v>
      </c>
      <c r="B105" s="16" t="s">
        <v>26</v>
      </c>
      <c r="C105" s="16"/>
      <c r="D105" s="16"/>
      <c r="E105" s="12" t="s">
        <v>257</v>
      </c>
      <c r="F105" s="12">
        <v>2</v>
      </c>
      <c r="G105" s="13">
        <v>3200000</v>
      </c>
      <c r="H105" s="14" t="s">
        <v>7</v>
      </c>
      <c r="I105" s="15" t="s">
        <v>116</v>
      </c>
      <c r="J105" s="37">
        <v>800000</v>
      </c>
      <c r="K105" s="37">
        <v>800000</v>
      </c>
      <c r="L105" s="38">
        <v>800000</v>
      </c>
      <c r="M105" s="39">
        <v>800000</v>
      </c>
      <c r="N105" s="37">
        <v>800000</v>
      </c>
      <c r="O105" s="37">
        <v>800000</v>
      </c>
      <c r="P105" s="37">
        <v>800000</v>
      </c>
      <c r="Q105" s="37">
        <v>800000</v>
      </c>
      <c r="R105" s="37">
        <v>800000</v>
      </c>
      <c r="S105" s="37">
        <v>800000</v>
      </c>
      <c r="T105" s="37">
        <v>800000</v>
      </c>
      <c r="U105" s="37">
        <v>800000</v>
      </c>
      <c r="V105" s="37">
        <f>VLOOKUP(B105,'[1]INV. 2026'!$B:$J,9,0)</f>
        <v>800000</v>
      </c>
      <c r="W105" s="59">
        <f t="shared" si="6"/>
        <v>10400000</v>
      </c>
      <c r="X105" s="60">
        <f t="shared" si="4"/>
        <v>26</v>
      </c>
      <c r="Y105" s="60">
        <f t="shared" si="7"/>
        <v>13</v>
      </c>
      <c r="Z105" s="60">
        <f t="shared" si="5"/>
        <v>26</v>
      </c>
    </row>
    <row r="106" spans="1:26">
      <c r="A106" s="12">
        <v>102</v>
      </c>
      <c r="B106" s="12" t="s">
        <v>149</v>
      </c>
      <c r="C106" s="12"/>
      <c r="D106" s="12"/>
      <c r="E106" s="12" t="s">
        <v>257</v>
      </c>
      <c r="F106" s="12"/>
      <c r="G106" s="13"/>
      <c r="H106" s="14"/>
      <c r="I106" s="15" t="s">
        <v>116</v>
      </c>
      <c r="J106" s="37"/>
      <c r="K106" s="37"/>
      <c r="L106" s="37"/>
      <c r="M106" s="37">
        <v>100000</v>
      </c>
      <c r="N106" s="37"/>
      <c r="O106" s="37"/>
      <c r="P106" s="37">
        <v>100000</v>
      </c>
      <c r="Q106" s="37"/>
      <c r="R106" s="37">
        <v>0</v>
      </c>
      <c r="S106" s="37">
        <v>0</v>
      </c>
      <c r="T106" s="37">
        <v>0</v>
      </c>
      <c r="U106" s="37">
        <v>0</v>
      </c>
      <c r="V106" s="37">
        <f>VLOOKUP(B106,'[1]INV. 2026'!$B:$J,9,0)</f>
        <v>0</v>
      </c>
      <c r="W106" s="59">
        <f t="shared" si="6"/>
        <v>200000</v>
      </c>
      <c r="X106" s="60">
        <f t="shared" si="4"/>
        <v>0.5</v>
      </c>
      <c r="Y106" s="60">
        <f t="shared" si="7"/>
        <v>2</v>
      </c>
      <c r="Z106" s="60">
        <f t="shared" si="5"/>
        <v>1</v>
      </c>
    </row>
    <row r="107" spans="1:26">
      <c r="A107" s="12">
        <v>103</v>
      </c>
      <c r="B107" s="12" t="s">
        <v>43</v>
      </c>
      <c r="C107" s="12"/>
      <c r="D107" s="12"/>
      <c r="E107" s="12" t="s">
        <v>257</v>
      </c>
      <c r="F107" s="12"/>
      <c r="G107" s="13">
        <v>200000</v>
      </c>
      <c r="H107" s="14" t="s">
        <v>5</v>
      </c>
      <c r="I107" s="15" t="s">
        <v>116</v>
      </c>
      <c r="J107" s="37"/>
      <c r="K107" s="37"/>
      <c r="L107" s="37"/>
      <c r="M107" s="37"/>
      <c r="N107" s="37"/>
      <c r="O107" s="37"/>
      <c r="P107" s="37"/>
      <c r="Q107" s="37"/>
      <c r="R107" s="37">
        <v>0</v>
      </c>
      <c r="S107" s="37">
        <v>0</v>
      </c>
      <c r="T107" s="37">
        <v>0</v>
      </c>
      <c r="U107" s="37">
        <v>0</v>
      </c>
      <c r="V107" s="37">
        <f>VLOOKUP(B107,'[1]INV. 2026'!$B:$J,9,0)</f>
        <v>0</v>
      </c>
      <c r="W107" s="59">
        <f t="shared" si="6"/>
        <v>0</v>
      </c>
      <c r="X107" s="60">
        <f t="shared" si="4"/>
        <v>0</v>
      </c>
      <c r="Y107" s="60">
        <f t="shared" si="7"/>
        <v>0</v>
      </c>
      <c r="Z107" s="60">
        <f t="shared" si="5"/>
        <v>0</v>
      </c>
    </row>
    <row r="108" spans="1:26">
      <c r="A108" s="12">
        <v>104</v>
      </c>
      <c r="B108" s="16" t="s">
        <v>27</v>
      </c>
      <c r="C108" s="16"/>
      <c r="D108" s="16"/>
      <c r="E108" s="12" t="s">
        <v>257</v>
      </c>
      <c r="F108" s="12">
        <v>2</v>
      </c>
      <c r="G108" s="17">
        <v>1600000</v>
      </c>
      <c r="H108" s="14" t="s">
        <v>4</v>
      </c>
      <c r="I108" s="15" t="s">
        <v>116</v>
      </c>
      <c r="J108" s="37">
        <v>1200000</v>
      </c>
      <c r="K108" s="37"/>
      <c r="L108" s="37"/>
      <c r="M108" s="37"/>
      <c r="N108" s="37"/>
      <c r="O108" s="37"/>
      <c r="P108" s="37"/>
      <c r="Q108" s="37"/>
      <c r="R108" s="37">
        <v>0</v>
      </c>
      <c r="S108" s="37">
        <v>0</v>
      </c>
      <c r="T108" s="37">
        <v>0</v>
      </c>
      <c r="U108" s="37">
        <v>0</v>
      </c>
      <c r="V108" s="37">
        <f>VLOOKUP(B108,'[1]INV. 2026'!$B:$J,9,0)</f>
        <v>0</v>
      </c>
      <c r="W108" s="59">
        <f t="shared" si="6"/>
        <v>1200000</v>
      </c>
      <c r="X108" s="60">
        <f t="shared" si="4"/>
        <v>3</v>
      </c>
      <c r="Y108" s="60">
        <f t="shared" si="7"/>
        <v>1</v>
      </c>
      <c r="Z108" s="60">
        <f t="shared" si="5"/>
        <v>3</v>
      </c>
    </row>
    <row r="109" spans="1:26">
      <c r="A109" s="12">
        <v>105</v>
      </c>
      <c r="B109" s="12" t="s">
        <v>59</v>
      </c>
      <c r="C109" s="12"/>
      <c r="D109" s="12"/>
      <c r="E109" s="12" t="s">
        <v>561</v>
      </c>
      <c r="F109" s="12"/>
      <c r="G109" s="13">
        <v>400000</v>
      </c>
      <c r="H109" s="14" t="s">
        <v>4</v>
      </c>
      <c r="I109" s="15" t="s">
        <v>116</v>
      </c>
      <c r="J109" s="37"/>
      <c r="K109" s="37"/>
      <c r="L109" s="37">
        <v>100000</v>
      </c>
      <c r="M109" s="38"/>
      <c r="N109" s="37"/>
      <c r="O109" s="37"/>
      <c r="P109" s="37"/>
      <c r="Q109" s="37"/>
      <c r="R109" s="37">
        <v>0</v>
      </c>
      <c r="S109" s="37">
        <v>0</v>
      </c>
      <c r="T109" s="37">
        <v>0</v>
      </c>
      <c r="U109" s="37">
        <v>0</v>
      </c>
      <c r="V109" s="37">
        <f>VLOOKUP(B109,'[1]INV. 2026'!$B:$J,9,0)</f>
        <v>0</v>
      </c>
      <c r="W109" s="59">
        <f t="shared" si="6"/>
        <v>100000</v>
      </c>
      <c r="X109" s="60">
        <f t="shared" si="4"/>
        <v>0.25</v>
      </c>
      <c r="Y109" s="60">
        <f t="shared" si="7"/>
        <v>1</v>
      </c>
      <c r="Z109" s="60">
        <f t="shared" si="5"/>
        <v>1</v>
      </c>
    </row>
    <row r="110" spans="1:26">
      <c r="A110" s="12">
        <v>106</v>
      </c>
      <c r="B110" s="12" t="s">
        <v>189</v>
      </c>
      <c r="C110" s="12">
        <v>35601610</v>
      </c>
      <c r="D110" s="12">
        <v>3207593131</v>
      </c>
      <c r="E110" s="12"/>
      <c r="F110" s="12"/>
      <c r="G110" s="13"/>
      <c r="H110" s="14"/>
      <c r="I110" s="15" t="s">
        <v>116</v>
      </c>
      <c r="J110" s="37"/>
      <c r="K110" s="37"/>
      <c r="L110" s="37"/>
      <c r="M110" s="37"/>
      <c r="N110" s="37">
        <v>400000</v>
      </c>
      <c r="O110" s="37"/>
      <c r="P110" s="37"/>
      <c r="Q110" s="37">
        <v>400000</v>
      </c>
      <c r="R110" s="37">
        <v>0</v>
      </c>
      <c r="S110" s="37">
        <v>0</v>
      </c>
      <c r="T110" s="37">
        <v>0</v>
      </c>
      <c r="U110" s="37">
        <v>0</v>
      </c>
      <c r="V110" s="37">
        <f>VLOOKUP(B110,'[1]INV. 2026'!$B:$J,9,0)</f>
        <v>0</v>
      </c>
      <c r="W110" s="59">
        <f t="shared" si="6"/>
        <v>800000</v>
      </c>
      <c r="X110" s="60">
        <f t="shared" si="4"/>
        <v>2</v>
      </c>
      <c r="Y110" s="60">
        <f t="shared" si="7"/>
        <v>2</v>
      </c>
      <c r="Z110" s="60">
        <f t="shared" si="5"/>
        <v>2</v>
      </c>
    </row>
    <row r="111" spans="1:26">
      <c r="A111" s="12">
        <v>107</v>
      </c>
      <c r="B111" s="12" t="s">
        <v>143</v>
      </c>
      <c r="C111" s="12">
        <v>1032464597</v>
      </c>
      <c r="D111" s="12" t="s">
        <v>444</v>
      </c>
      <c r="E111" s="12" t="s">
        <v>445</v>
      </c>
      <c r="F111" s="12"/>
      <c r="G111" s="13"/>
      <c r="H111" s="14" t="s">
        <v>4</v>
      </c>
      <c r="I111" s="15" t="s">
        <v>116</v>
      </c>
      <c r="J111" s="37"/>
      <c r="K111" s="37"/>
      <c r="L111" s="37"/>
      <c r="M111" s="37">
        <v>2000000</v>
      </c>
      <c r="N111" s="37"/>
      <c r="O111" s="37"/>
      <c r="P111" s="37"/>
      <c r="Q111" s="37">
        <v>2000000</v>
      </c>
      <c r="R111" s="37">
        <v>2000000</v>
      </c>
      <c r="S111" s="37">
        <v>2000000</v>
      </c>
      <c r="T111" s="37">
        <v>2000000</v>
      </c>
      <c r="U111" s="37">
        <v>2000000</v>
      </c>
      <c r="V111" s="37">
        <f>VLOOKUP(B111,'[1]INV. 2026'!$B:$J,9,0)</f>
        <v>2000000</v>
      </c>
      <c r="W111" s="59">
        <f t="shared" si="6"/>
        <v>14000000</v>
      </c>
      <c r="X111" s="60">
        <f t="shared" si="4"/>
        <v>35</v>
      </c>
      <c r="Y111" s="60">
        <f t="shared" si="7"/>
        <v>7</v>
      </c>
      <c r="Z111" s="60">
        <f t="shared" si="5"/>
        <v>35</v>
      </c>
    </row>
    <row r="112" spans="1:26">
      <c r="A112" s="12">
        <v>108</v>
      </c>
      <c r="B112" s="12" t="s">
        <v>36</v>
      </c>
      <c r="C112" s="12"/>
      <c r="D112" s="12"/>
      <c r="E112" s="12"/>
      <c r="F112" s="12"/>
      <c r="G112" s="13">
        <v>3200000</v>
      </c>
      <c r="H112" s="14" t="s">
        <v>8</v>
      </c>
      <c r="I112" s="15" t="s">
        <v>116</v>
      </c>
      <c r="J112" s="37">
        <v>800000</v>
      </c>
      <c r="K112" s="37"/>
      <c r="L112" s="37">
        <v>800000</v>
      </c>
      <c r="M112" s="37"/>
      <c r="N112" s="37"/>
      <c r="O112" s="37"/>
      <c r="P112" s="37"/>
      <c r="Q112" s="37"/>
      <c r="R112" s="37">
        <v>0</v>
      </c>
      <c r="S112" s="37">
        <v>0</v>
      </c>
      <c r="T112" s="37">
        <v>0</v>
      </c>
      <c r="U112" s="37">
        <v>0</v>
      </c>
      <c r="V112" s="37">
        <f>VLOOKUP(B112,'[1]INV. 2026'!$B:$J,9,0)</f>
        <v>0</v>
      </c>
      <c r="W112" s="59">
        <f t="shared" si="6"/>
        <v>1600000</v>
      </c>
      <c r="X112" s="60">
        <f t="shared" si="4"/>
        <v>4</v>
      </c>
      <c r="Y112" s="60">
        <f t="shared" si="7"/>
        <v>2</v>
      </c>
      <c r="Z112" s="60">
        <f t="shared" si="5"/>
        <v>4</v>
      </c>
    </row>
    <row r="113" spans="1:26">
      <c r="A113" s="12">
        <v>109</v>
      </c>
      <c r="B113" s="16" t="s">
        <v>142</v>
      </c>
      <c r="C113" s="16">
        <v>70067417</v>
      </c>
      <c r="D113" s="16" t="s">
        <v>552</v>
      </c>
      <c r="E113" s="12" t="s">
        <v>253</v>
      </c>
      <c r="F113" s="16"/>
      <c r="G113" s="17"/>
      <c r="H113" s="18" t="s">
        <v>4</v>
      </c>
      <c r="I113" s="15" t="s">
        <v>116</v>
      </c>
      <c r="J113" s="37"/>
      <c r="K113" s="37"/>
      <c r="L113" s="37"/>
      <c r="M113" s="37">
        <v>400000</v>
      </c>
      <c r="N113" s="37">
        <v>400000</v>
      </c>
      <c r="O113" s="37"/>
      <c r="P113" s="37">
        <v>400000</v>
      </c>
      <c r="Q113" s="37">
        <v>400000</v>
      </c>
      <c r="R113" s="37">
        <v>400000</v>
      </c>
      <c r="S113" s="37">
        <v>0</v>
      </c>
      <c r="T113" s="37">
        <v>400000</v>
      </c>
      <c r="U113" s="37">
        <v>0</v>
      </c>
      <c r="V113" s="37">
        <f>VLOOKUP(B113,'[1]INV. 2026'!$B:$J,9,0)</f>
        <v>400000</v>
      </c>
      <c r="W113" s="59">
        <f t="shared" si="6"/>
        <v>2800000</v>
      </c>
      <c r="X113" s="60">
        <f t="shared" si="4"/>
        <v>7</v>
      </c>
      <c r="Y113" s="60">
        <f t="shared" si="7"/>
        <v>7</v>
      </c>
      <c r="Z113" s="60">
        <f t="shared" si="5"/>
        <v>7</v>
      </c>
    </row>
    <row r="114" spans="1:26">
      <c r="A114" s="12">
        <v>110</v>
      </c>
      <c r="B114" s="12" t="s">
        <v>566</v>
      </c>
      <c r="C114" s="12">
        <v>13837081</v>
      </c>
      <c r="D114" s="12">
        <v>3208026783</v>
      </c>
      <c r="E114" s="12" t="s">
        <v>217</v>
      </c>
      <c r="F114" s="12"/>
      <c r="G114" s="13">
        <v>0</v>
      </c>
      <c r="H114" s="14" t="s">
        <v>4</v>
      </c>
      <c r="I114" s="15" t="s">
        <v>116</v>
      </c>
      <c r="J114" s="37"/>
      <c r="K114" s="37">
        <v>100000</v>
      </c>
      <c r="L114" s="37">
        <v>100000</v>
      </c>
      <c r="M114" s="37"/>
      <c r="N114" s="37"/>
      <c r="O114" s="37">
        <v>100000</v>
      </c>
      <c r="P114" s="37">
        <v>100000</v>
      </c>
      <c r="Q114" s="37">
        <v>100000</v>
      </c>
      <c r="R114" s="37">
        <v>0</v>
      </c>
      <c r="S114" s="37">
        <v>400000</v>
      </c>
      <c r="T114" s="37">
        <v>400000</v>
      </c>
      <c r="U114" s="37">
        <v>1090000</v>
      </c>
      <c r="V114" s="37">
        <f>VLOOKUP(B114,'[1]INV. 2026'!$B:$J,9,0)</f>
        <v>1192000</v>
      </c>
      <c r="W114" s="59">
        <f t="shared" si="6"/>
        <v>3582000</v>
      </c>
      <c r="X114" s="60">
        <f t="shared" si="4"/>
        <v>8.9550000000000001</v>
      </c>
      <c r="Y114" s="60">
        <f t="shared" si="7"/>
        <v>9</v>
      </c>
      <c r="Z114" s="60">
        <f t="shared" si="5"/>
        <v>9</v>
      </c>
    </row>
    <row r="115" spans="1:26">
      <c r="A115" s="12">
        <v>111</v>
      </c>
      <c r="B115" s="12" t="s">
        <v>33</v>
      </c>
      <c r="C115" s="12"/>
      <c r="D115" s="12"/>
      <c r="E115" s="12" t="s">
        <v>257</v>
      </c>
      <c r="F115" s="12"/>
      <c r="G115" s="13">
        <v>500000</v>
      </c>
      <c r="H115" s="14" t="s">
        <v>9</v>
      </c>
      <c r="I115" s="15" t="s">
        <v>116</v>
      </c>
      <c r="J115" s="37"/>
      <c r="K115" s="37"/>
      <c r="L115" s="37"/>
      <c r="M115" s="38"/>
      <c r="N115" s="37">
        <v>400000</v>
      </c>
      <c r="O115" s="37">
        <v>400000</v>
      </c>
      <c r="P115" s="37">
        <v>400000</v>
      </c>
      <c r="Q115" s="37">
        <v>400000</v>
      </c>
      <c r="R115" s="37">
        <v>400000</v>
      </c>
      <c r="S115" s="37">
        <v>400000</v>
      </c>
      <c r="T115" s="37">
        <v>0</v>
      </c>
      <c r="U115" s="37">
        <v>800000</v>
      </c>
      <c r="V115" s="37">
        <f>VLOOKUP(B115,'[1]INV. 2026'!$B:$J,9,0)</f>
        <v>400000</v>
      </c>
      <c r="W115" s="59">
        <f t="shared" si="6"/>
        <v>3600000</v>
      </c>
      <c r="X115" s="60">
        <f t="shared" si="4"/>
        <v>9</v>
      </c>
      <c r="Y115" s="60">
        <f t="shared" si="7"/>
        <v>8</v>
      </c>
      <c r="Z115" s="60">
        <f t="shared" si="5"/>
        <v>9</v>
      </c>
    </row>
    <row r="116" spans="1:26">
      <c r="A116" s="12">
        <v>112</v>
      </c>
      <c r="B116" s="16" t="s">
        <v>192</v>
      </c>
      <c r="C116" s="16"/>
      <c r="D116" s="16"/>
      <c r="E116" s="12"/>
      <c r="F116" s="16"/>
      <c r="G116" s="17"/>
      <c r="H116" s="18"/>
      <c r="I116" s="15" t="s">
        <v>116</v>
      </c>
      <c r="J116" s="37"/>
      <c r="K116" s="37"/>
      <c r="L116" s="37"/>
      <c r="M116" s="37"/>
      <c r="N116" s="37">
        <v>400000</v>
      </c>
      <c r="O116" s="37">
        <v>400000</v>
      </c>
      <c r="P116" s="37"/>
      <c r="Q116" s="37">
        <v>400000</v>
      </c>
      <c r="R116" s="37">
        <v>0</v>
      </c>
      <c r="S116" s="37">
        <v>0</v>
      </c>
      <c r="T116" s="37">
        <v>0</v>
      </c>
      <c r="U116" s="37">
        <v>0</v>
      </c>
      <c r="V116" s="37">
        <f>VLOOKUP(B116,'[1]INV. 2026'!$B:$J,9,0)</f>
        <v>0</v>
      </c>
      <c r="W116" s="59">
        <f t="shared" si="6"/>
        <v>1200000</v>
      </c>
      <c r="X116" s="60">
        <f t="shared" si="4"/>
        <v>3</v>
      </c>
      <c r="Y116" s="60">
        <f t="shared" si="7"/>
        <v>3</v>
      </c>
      <c r="Z116" s="60">
        <f t="shared" si="5"/>
        <v>3</v>
      </c>
    </row>
    <row r="117" spans="1:26">
      <c r="A117" s="12">
        <v>113</v>
      </c>
      <c r="B117" s="16" t="s">
        <v>446</v>
      </c>
      <c r="C117" s="16">
        <v>1065587738</v>
      </c>
      <c r="D117" s="16">
        <v>3127912471</v>
      </c>
      <c r="E117" s="12" t="s">
        <v>257</v>
      </c>
      <c r="F117" s="16"/>
      <c r="G117" s="17">
        <v>0</v>
      </c>
      <c r="H117" s="18" t="s">
        <v>4</v>
      </c>
      <c r="I117" s="15" t="s">
        <v>116</v>
      </c>
      <c r="J117" s="37"/>
      <c r="K117" s="37">
        <v>200000</v>
      </c>
      <c r="L117" s="37"/>
      <c r="M117" s="37"/>
      <c r="N117" s="37">
        <v>400000</v>
      </c>
      <c r="O117" s="37"/>
      <c r="P117" s="37">
        <v>800000</v>
      </c>
      <c r="Q117" s="37"/>
      <c r="R117" s="37">
        <v>0</v>
      </c>
      <c r="S117" s="37">
        <v>0</v>
      </c>
      <c r="T117" s="37">
        <v>400000</v>
      </c>
      <c r="U117" s="37">
        <v>0</v>
      </c>
      <c r="V117" s="37">
        <f>VLOOKUP(B117,'[1]INV. 2026'!$B:$J,9,0)</f>
        <v>0</v>
      </c>
      <c r="W117" s="59">
        <f t="shared" si="6"/>
        <v>1800000</v>
      </c>
      <c r="X117" s="60">
        <f t="shared" si="4"/>
        <v>4.5</v>
      </c>
      <c r="Y117" s="60">
        <f t="shared" si="7"/>
        <v>4</v>
      </c>
      <c r="Z117" s="60">
        <f t="shared" si="5"/>
        <v>5</v>
      </c>
    </row>
    <row r="118" spans="1:26">
      <c r="A118" s="12">
        <v>114</v>
      </c>
      <c r="B118" s="16" t="s">
        <v>87</v>
      </c>
      <c r="C118" s="16"/>
      <c r="D118" s="16"/>
      <c r="E118" s="12" t="s">
        <v>257</v>
      </c>
      <c r="F118" s="16"/>
      <c r="G118" s="17">
        <v>100000</v>
      </c>
      <c r="H118" s="18" t="s">
        <v>5</v>
      </c>
      <c r="I118" s="15" t="s">
        <v>116</v>
      </c>
      <c r="J118" s="37"/>
      <c r="K118" s="37"/>
      <c r="L118" s="37"/>
      <c r="M118" s="37"/>
      <c r="N118" s="37"/>
      <c r="O118" s="37"/>
      <c r="P118" s="37"/>
      <c r="Q118" s="37"/>
      <c r="R118" s="37">
        <v>0</v>
      </c>
      <c r="S118" s="37">
        <v>0</v>
      </c>
      <c r="T118" s="37">
        <v>0</v>
      </c>
      <c r="U118" s="37">
        <v>0</v>
      </c>
      <c r="V118" s="37">
        <f>VLOOKUP(B118,'[1]INV. 2026'!$B:$J,9,0)</f>
        <v>0</v>
      </c>
      <c r="W118" s="59">
        <f t="shared" si="6"/>
        <v>0</v>
      </c>
      <c r="X118" s="60">
        <f t="shared" si="4"/>
        <v>0</v>
      </c>
      <c r="Y118" s="60">
        <f t="shared" si="7"/>
        <v>0</v>
      </c>
      <c r="Z118" s="60">
        <f t="shared" si="5"/>
        <v>0</v>
      </c>
    </row>
    <row r="119" spans="1:26">
      <c r="A119" s="12">
        <v>115</v>
      </c>
      <c r="B119" s="16" t="s">
        <v>105</v>
      </c>
      <c r="C119" s="16"/>
      <c r="D119" s="16"/>
      <c r="E119" s="12" t="s">
        <v>257</v>
      </c>
      <c r="F119" s="12"/>
      <c r="G119" s="17">
        <v>0</v>
      </c>
      <c r="H119" s="14" t="s">
        <v>5</v>
      </c>
      <c r="I119" s="15" t="s">
        <v>116</v>
      </c>
      <c r="J119" s="37"/>
      <c r="K119" s="37">
        <v>200000</v>
      </c>
      <c r="L119" s="37"/>
      <c r="M119" s="37">
        <v>200000</v>
      </c>
      <c r="N119" s="37"/>
      <c r="O119" s="37"/>
      <c r="P119" s="37"/>
      <c r="Q119" s="37"/>
      <c r="R119" s="37">
        <v>0</v>
      </c>
      <c r="S119" s="37">
        <v>0</v>
      </c>
      <c r="T119" s="37">
        <v>0</v>
      </c>
      <c r="U119" s="37">
        <v>0</v>
      </c>
      <c r="V119" s="37">
        <f>VLOOKUP(B119,'[1]INV. 2026'!$B:$J,9,0)</f>
        <v>0</v>
      </c>
      <c r="W119" s="59">
        <f t="shared" si="6"/>
        <v>400000</v>
      </c>
      <c r="X119" s="60">
        <f t="shared" si="4"/>
        <v>1</v>
      </c>
      <c r="Y119" s="60">
        <f t="shared" si="7"/>
        <v>2</v>
      </c>
      <c r="Z119" s="60">
        <f t="shared" si="5"/>
        <v>1</v>
      </c>
    </row>
    <row r="120" spans="1:26">
      <c r="A120" s="12">
        <v>116</v>
      </c>
      <c r="B120" s="12" t="s">
        <v>57</v>
      </c>
      <c r="C120" s="12">
        <v>38230483</v>
      </c>
      <c r="D120" s="12">
        <v>3104869126</v>
      </c>
      <c r="E120" s="12" t="s">
        <v>447</v>
      </c>
      <c r="F120" s="12"/>
      <c r="G120" s="13">
        <v>800000</v>
      </c>
      <c r="H120" s="14" t="s">
        <v>8</v>
      </c>
      <c r="I120" s="15" t="s">
        <v>116</v>
      </c>
      <c r="J120" s="37"/>
      <c r="K120" s="37"/>
      <c r="L120" s="37"/>
      <c r="M120" s="37">
        <v>400000</v>
      </c>
      <c r="N120" s="37">
        <v>400000</v>
      </c>
      <c r="O120" s="37"/>
      <c r="P120" s="37">
        <v>400000</v>
      </c>
      <c r="Q120" s="37">
        <v>400000</v>
      </c>
      <c r="R120" s="37">
        <v>400000</v>
      </c>
      <c r="S120" s="37">
        <v>400000</v>
      </c>
      <c r="T120" s="37">
        <v>400000</v>
      </c>
      <c r="U120" s="37">
        <v>400000</v>
      </c>
      <c r="V120" s="37">
        <f>VLOOKUP(B120,'[1]INV. 2026'!$B:$J,9,0)</f>
        <v>400000</v>
      </c>
      <c r="W120" s="59">
        <f t="shared" si="6"/>
        <v>3600000</v>
      </c>
      <c r="X120" s="60">
        <f t="shared" si="4"/>
        <v>9</v>
      </c>
      <c r="Y120" s="60">
        <f t="shared" si="7"/>
        <v>9</v>
      </c>
      <c r="Z120" s="60">
        <f t="shared" si="5"/>
        <v>9</v>
      </c>
    </row>
    <row r="121" spans="1:26">
      <c r="A121" s="12">
        <v>117</v>
      </c>
      <c r="B121" s="16" t="s">
        <v>28</v>
      </c>
      <c r="C121" s="16"/>
      <c r="D121" s="16"/>
      <c r="E121" s="12" t="s">
        <v>257</v>
      </c>
      <c r="F121" s="12">
        <v>1</v>
      </c>
      <c r="G121" s="17">
        <v>1550000</v>
      </c>
      <c r="H121" s="14" t="s">
        <v>5</v>
      </c>
      <c r="I121" s="15" t="s">
        <v>116</v>
      </c>
      <c r="J121" s="37">
        <v>700000</v>
      </c>
      <c r="K121" s="37">
        <v>500000</v>
      </c>
      <c r="L121" s="37">
        <v>560000</v>
      </c>
      <c r="M121" s="37">
        <v>600000</v>
      </c>
      <c r="N121" s="37">
        <v>660000</v>
      </c>
      <c r="O121" s="37">
        <v>650000</v>
      </c>
      <c r="P121" s="37">
        <v>720000</v>
      </c>
      <c r="Q121" s="37">
        <v>760000</v>
      </c>
      <c r="R121" s="37">
        <v>1050000</v>
      </c>
      <c r="S121" s="37">
        <v>920000</v>
      </c>
      <c r="T121" s="37">
        <v>800000</v>
      </c>
      <c r="U121" s="37">
        <v>1200000</v>
      </c>
      <c r="V121" s="37">
        <f>VLOOKUP(B121,'[1]INV. 2026'!$B:$J,9,0)</f>
        <v>800000</v>
      </c>
      <c r="W121" s="59">
        <f t="shared" si="6"/>
        <v>9920000</v>
      </c>
      <c r="X121" s="60">
        <f t="shared" si="4"/>
        <v>24.8</v>
      </c>
      <c r="Y121" s="60">
        <f t="shared" si="7"/>
        <v>13</v>
      </c>
      <c r="Z121" s="60">
        <f t="shared" si="5"/>
        <v>25</v>
      </c>
    </row>
    <row r="122" spans="1:26">
      <c r="A122" s="12">
        <v>118</v>
      </c>
      <c r="B122" s="12" t="s">
        <v>60</v>
      </c>
      <c r="C122" s="12">
        <v>22579381</v>
      </c>
      <c r="D122" s="12"/>
      <c r="E122" s="12" t="s">
        <v>350</v>
      </c>
      <c r="F122" s="12"/>
      <c r="G122" s="13">
        <v>400000</v>
      </c>
      <c r="H122" s="14" t="s">
        <v>4</v>
      </c>
      <c r="I122" s="15" t="s">
        <v>116</v>
      </c>
      <c r="J122" s="37"/>
      <c r="K122" s="37"/>
      <c r="L122" s="37"/>
      <c r="M122" s="38"/>
      <c r="N122" s="37"/>
      <c r="O122" s="37"/>
      <c r="P122" s="37"/>
      <c r="Q122" s="37"/>
      <c r="R122" s="37">
        <v>0</v>
      </c>
      <c r="S122" s="37">
        <v>0</v>
      </c>
      <c r="T122" s="37">
        <v>400000</v>
      </c>
      <c r="U122" s="37">
        <v>400000</v>
      </c>
      <c r="V122" s="37">
        <f>VLOOKUP(B122,'[1]INV. 2026'!$B:$J,9,0)</f>
        <v>0</v>
      </c>
      <c r="W122" s="59">
        <f t="shared" si="6"/>
        <v>800000</v>
      </c>
      <c r="X122" s="60">
        <f t="shared" si="4"/>
        <v>2</v>
      </c>
      <c r="Y122" s="60">
        <f t="shared" si="7"/>
        <v>2</v>
      </c>
      <c r="Z122" s="60">
        <f t="shared" si="5"/>
        <v>2</v>
      </c>
    </row>
    <row r="123" spans="1:26">
      <c r="A123" s="12">
        <v>119</v>
      </c>
      <c r="B123" s="16" t="s">
        <v>187</v>
      </c>
      <c r="C123" s="16">
        <v>32936225</v>
      </c>
      <c r="D123" s="16">
        <v>3215254487</v>
      </c>
      <c r="E123" s="12" t="s">
        <v>539</v>
      </c>
      <c r="F123" s="12"/>
      <c r="G123" s="13"/>
      <c r="H123" s="14"/>
      <c r="I123" s="15" t="s">
        <v>116</v>
      </c>
      <c r="J123" s="37"/>
      <c r="K123" s="37"/>
      <c r="L123" s="38"/>
      <c r="M123" s="39"/>
      <c r="N123" s="37">
        <v>400000</v>
      </c>
      <c r="O123" s="37">
        <v>400000</v>
      </c>
      <c r="P123" s="37"/>
      <c r="Q123" s="37"/>
      <c r="R123" s="37">
        <v>0</v>
      </c>
      <c r="S123" s="37">
        <v>0</v>
      </c>
      <c r="T123" s="37">
        <v>0</v>
      </c>
      <c r="U123" s="37">
        <v>400000</v>
      </c>
      <c r="V123" s="37">
        <f>VLOOKUP(B123,'[1]INV. 2026'!$B:$J,9,0)</f>
        <v>0</v>
      </c>
      <c r="W123" s="59">
        <f t="shared" si="6"/>
        <v>1200000</v>
      </c>
      <c r="X123" s="60">
        <f t="shared" si="4"/>
        <v>3</v>
      </c>
      <c r="Y123" s="60">
        <f t="shared" si="7"/>
        <v>3</v>
      </c>
      <c r="Z123" s="60">
        <f t="shared" si="5"/>
        <v>3</v>
      </c>
    </row>
    <row r="124" spans="1:26">
      <c r="A124" s="12">
        <v>120</v>
      </c>
      <c r="B124" s="12" t="s">
        <v>150</v>
      </c>
      <c r="C124" s="12"/>
      <c r="D124" s="12"/>
      <c r="E124" s="12"/>
      <c r="F124" s="12"/>
      <c r="G124" s="13"/>
      <c r="H124" s="14"/>
      <c r="I124" s="15" t="s">
        <v>116</v>
      </c>
      <c r="J124" s="37"/>
      <c r="K124" s="37"/>
      <c r="L124" s="37"/>
      <c r="M124" s="37">
        <v>200000</v>
      </c>
      <c r="N124" s="37"/>
      <c r="O124" s="37"/>
      <c r="P124" s="37"/>
      <c r="Q124" s="37"/>
      <c r="R124" s="37">
        <v>0</v>
      </c>
      <c r="S124" s="37">
        <v>0</v>
      </c>
      <c r="T124" s="37">
        <v>0</v>
      </c>
      <c r="U124" s="37">
        <v>0</v>
      </c>
      <c r="V124" s="37">
        <f>VLOOKUP(B124,'[1]INV. 2026'!$B:$J,9,0)</f>
        <v>0</v>
      </c>
      <c r="W124" s="59">
        <f t="shared" si="6"/>
        <v>200000</v>
      </c>
      <c r="X124" s="60">
        <f t="shared" si="4"/>
        <v>0.5</v>
      </c>
      <c r="Y124" s="60">
        <f t="shared" si="7"/>
        <v>1</v>
      </c>
      <c r="Z124" s="60">
        <f t="shared" si="5"/>
        <v>1</v>
      </c>
    </row>
    <row r="125" spans="1:26">
      <c r="A125" s="12">
        <v>121</v>
      </c>
      <c r="B125" s="12" t="s">
        <v>140</v>
      </c>
      <c r="C125" s="12"/>
      <c r="D125" s="12"/>
      <c r="E125" s="12"/>
      <c r="F125" s="12"/>
      <c r="G125" s="13"/>
      <c r="H125" s="14" t="s">
        <v>4</v>
      </c>
      <c r="I125" s="15" t="s">
        <v>116</v>
      </c>
      <c r="J125" s="37"/>
      <c r="K125" s="37"/>
      <c r="L125" s="37"/>
      <c r="M125" s="37">
        <v>400000</v>
      </c>
      <c r="N125" s="37">
        <v>200000</v>
      </c>
      <c r="O125" s="37"/>
      <c r="P125" s="37"/>
      <c r="Q125" s="37">
        <v>250000</v>
      </c>
      <c r="R125" s="37">
        <v>0</v>
      </c>
      <c r="S125" s="37">
        <v>0</v>
      </c>
      <c r="T125" s="37">
        <v>0</v>
      </c>
      <c r="U125" s="37">
        <v>0</v>
      </c>
      <c r="V125" s="37">
        <f>VLOOKUP(B125,'[1]INV. 2026'!$B:$J,9,0)</f>
        <v>0</v>
      </c>
      <c r="W125" s="59">
        <f t="shared" si="6"/>
        <v>850000</v>
      </c>
      <c r="X125" s="60">
        <f t="shared" si="4"/>
        <v>2.125</v>
      </c>
      <c r="Y125" s="60">
        <f t="shared" si="7"/>
        <v>3</v>
      </c>
      <c r="Z125" s="60">
        <f t="shared" si="5"/>
        <v>3</v>
      </c>
    </row>
    <row r="126" spans="1:26">
      <c r="A126" s="12">
        <v>122</v>
      </c>
      <c r="B126" s="16" t="s">
        <v>39</v>
      </c>
      <c r="C126" s="16">
        <v>11809146</v>
      </c>
      <c r="D126" s="16">
        <v>3136811706</v>
      </c>
      <c r="E126" s="12" t="s">
        <v>174</v>
      </c>
      <c r="F126" s="16"/>
      <c r="G126" s="17">
        <v>400000</v>
      </c>
      <c r="H126" s="18" t="s">
        <v>8</v>
      </c>
      <c r="I126" s="15" t="s">
        <v>116</v>
      </c>
      <c r="J126" s="37"/>
      <c r="K126" s="37"/>
      <c r="L126" s="37"/>
      <c r="M126" s="37"/>
      <c r="N126" s="37">
        <v>400000</v>
      </c>
      <c r="O126" s="37"/>
      <c r="P126" s="37"/>
      <c r="Q126" s="37"/>
      <c r="R126" s="37">
        <v>800000</v>
      </c>
      <c r="S126" s="37">
        <v>0</v>
      </c>
      <c r="T126" s="37">
        <v>0</v>
      </c>
      <c r="U126" s="37">
        <v>0</v>
      </c>
      <c r="V126" s="37">
        <f>VLOOKUP(B126,'[1]INV. 2026'!$B:$J,9,0)</f>
        <v>0</v>
      </c>
      <c r="W126" s="59">
        <f t="shared" si="6"/>
        <v>1200000</v>
      </c>
      <c r="X126" s="60">
        <f t="shared" si="4"/>
        <v>3</v>
      </c>
      <c r="Y126" s="60">
        <f t="shared" si="7"/>
        <v>2</v>
      </c>
      <c r="Z126" s="60">
        <f t="shared" si="5"/>
        <v>3</v>
      </c>
    </row>
    <row r="127" spans="1:26">
      <c r="A127" s="12">
        <v>123</v>
      </c>
      <c r="B127" s="12" t="s">
        <v>89</v>
      </c>
      <c r="C127" s="12"/>
      <c r="D127" s="12"/>
      <c r="E127" s="12"/>
      <c r="F127" s="12"/>
      <c r="G127" s="13">
        <v>1900000</v>
      </c>
      <c r="H127" s="14" t="s">
        <v>4</v>
      </c>
      <c r="I127" s="15" t="s">
        <v>116</v>
      </c>
      <c r="J127" s="37"/>
      <c r="K127" s="37"/>
      <c r="L127" s="37">
        <v>2000000</v>
      </c>
      <c r="M127" s="37"/>
      <c r="N127" s="37"/>
      <c r="O127" s="37"/>
      <c r="P127" s="37"/>
      <c r="Q127" s="37"/>
      <c r="R127" s="37">
        <v>0</v>
      </c>
      <c r="S127" s="37">
        <v>0</v>
      </c>
      <c r="T127" s="37">
        <v>0</v>
      </c>
      <c r="U127" s="37">
        <v>0</v>
      </c>
      <c r="V127" s="37">
        <f>VLOOKUP(B127,'[1]INV. 2026'!$B:$J,9,0)</f>
        <v>0</v>
      </c>
      <c r="W127" s="59">
        <f t="shared" si="6"/>
        <v>2000000</v>
      </c>
      <c r="X127" s="60">
        <f t="shared" si="4"/>
        <v>5</v>
      </c>
      <c r="Y127" s="60">
        <f t="shared" si="7"/>
        <v>1</v>
      </c>
      <c r="Z127" s="60">
        <f t="shared" si="5"/>
        <v>5</v>
      </c>
    </row>
    <row r="128" spans="1:26">
      <c r="A128" s="12">
        <v>124</v>
      </c>
      <c r="B128" s="12" t="s">
        <v>156</v>
      </c>
      <c r="C128" s="12"/>
      <c r="D128" s="12"/>
      <c r="E128" s="12"/>
      <c r="F128" s="12"/>
      <c r="G128" s="13"/>
      <c r="H128" s="13"/>
      <c r="I128" s="15" t="s">
        <v>116</v>
      </c>
      <c r="J128" s="37"/>
      <c r="K128" s="37"/>
      <c r="L128" s="37"/>
      <c r="M128" s="37">
        <v>400000</v>
      </c>
      <c r="N128" s="37"/>
      <c r="O128" s="37"/>
      <c r="P128" s="37"/>
      <c r="Q128" s="37"/>
      <c r="R128" s="37">
        <v>400000</v>
      </c>
      <c r="S128" s="37">
        <v>0</v>
      </c>
      <c r="T128" s="37">
        <v>0</v>
      </c>
      <c r="U128" s="37">
        <v>0</v>
      </c>
      <c r="V128" s="37">
        <f>VLOOKUP(B128,'[1]INV. 2026'!$B:$J,9,0)</f>
        <v>0</v>
      </c>
      <c r="W128" s="59">
        <f t="shared" si="6"/>
        <v>800000</v>
      </c>
      <c r="X128" s="60">
        <f t="shared" si="4"/>
        <v>2</v>
      </c>
      <c r="Y128" s="60">
        <f t="shared" si="7"/>
        <v>2</v>
      </c>
      <c r="Z128" s="60">
        <f t="shared" si="5"/>
        <v>2</v>
      </c>
    </row>
    <row r="129" spans="1:26">
      <c r="A129" s="12">
        <v>125</v>
      </c>
      <c r="B129" s="16" t="s">
        <v>29</v>
      </c>
      <c r="C129" s="16">
        <v>8694441</v>
      </c>
      <c r="D129" s="16"/>
      <c r="E129" s="12" t="s">
        <v>442</v>
      </c>
      <c r="F129" s="16">
        <v>1</v>
      </c>
      <c r="G129" s="17">
        <v>0</v>
      </c>
      <c r="H129" s="18" t="s">
        <v>13</v>
      </c>
      <c r="I129" s="15" t="s">
        <v>116</v>
      </c>
      <c r="J129" s="37"/>
      <c r="K129" s="37"/>
      <c r="L129" s="37"/>
      <c r="M129" s="37"/>
      <c r="N129" s="37"/>
      <c r="O129" s="37"/>
      <c r="P129" s="37"/>
      <c r="Q129" s="37"/>
      <c r="R129" s="37">
        <v>0</v>
      </c>
      <c r="S129" s="37">
        <v>0</v>
      </c>
      <c r="T129" s="37">
        <v>0</v>
      </c>
      <c r="U129" s="37">
        <v>400000</v>
      </c>
      <c r="V129" s="37">
        <f>VLOOKUP(B129,'[1]INV. 2026'!$B:$J,9,0)</f>
        <v>400000</v>
      </c>
      <c r="W129" s="59">
        <f t="shared" si="6"/>
        <v>800000</v>
      </c>
      <c r="X129" s="60">
        <f t="shared" si="4"/>
        <v>2</v>
      </c>
      <c r="Y129" s="60">
        <f t="shared" si="7"/>
        <v>2</v>
      </c>
      <c r="Z129" s="60">
        <f t="shared" si="5"/>
        <v>2</v>
      </c>
    </row>
    <row r="130" spans="1:26">
      <c r="A130" s="12">
        <v>126</v>
      </c>
      <c r="B130" s="12" t="s">
        <v>85</v>
      </c>
      <c r="C130" s="12">
        <v>60380993</v>
      </c>
      <c r="D130" s="12">
        <v>3213307371</v>
      </c>
      <c r="E130" s="12" t="s">
        <v>239</v>
      </c>
      <c r="F130" s="12"/>
      <c r="G130" s="13">
        <v>1200000</v>
      </c>
      <c r="H130" s="13" t="s">
        <v>4</v>
      </c>
      <c r="I130" s="15" t="s">
        <v>116</v>
      </c>
      <c r="J130" s="37">
        <v>400000</v>
      </c>
      <c r="K130" s="37">
        <v>400000</v>
      </c>
      <c r="L130" s="37">
        <v>400000</v>
      </c>
      <c r="M130" s="37"/>
      <c r="N130" s="37"/>
      <c r="O130" s="37"/>
      <c r="P130" s="37"/>
      <c r="Q130" s="37"/>
      <c r="R130" s="37">
        <v>0</v>
      </c>
      <c r="S130" s="37">
        <v>0</v>
      </c>
      <c r="T130" s="37">
        <v>400000</v>
      </c>
      <c r="U130" s="37">
        <v>400000</v>
      </c>
      <c r="V130" s="37">
        <f>VLOOKUP(B130,'[1]INV. 2026'!$B:$J,9,0)</f>
        <v>400000</v>
      </c>
      <c r="W130" s="59">
        <f t="shared" si="6"/>
        <v>2400000</v>
      </c>
      <c r="X130" s="60">
        <f t="shared" si="4"/>
        <v>6</v>
      </c>
      <c r="Y130" s="60">
        <f t="shared" si="7"/>
        <v>6</v>
      </c>
      <c r="Z130" s="60">
        <f t="shared" si="5"/>
        <v>6</v>
      </c>
    </row>
    <row r="131" spans="1:26">
      <c r="A131" s="12">
        <v>127</v>
      </c>
      <c r="B131" s="16" t="s">
        <v>30</v>
      </c>
      <c r="C131" s="16"/>
      <c r="D131" s="16"/>
      <c r="E131" s="12"/>
      <c r="F131" s="12">
        <v>1</v>
      </c>
      <c r="G131" s="13">
        <v>0</v>
      </c>
      <c r="H131" s="14" t="s">
        <v>13</v>
      </c>
      <c r="I131" s="15" t="s">
        <v>116</v>
      </c>
      <c r="J131" s="37"/>
      <c r="K131" s="37"/>
      <c r="L131" s="38"/>
      <c r="M131" s="39"/>
      <c r="N131" s="37"/>
      <c r="O131" s="37"/>
      <c r="P131" s="37"/>
      <c r="Q131" s="37"/>
      <c r="R131" s="37">
        <v>0</v>
      </c>
      <c r="S131" s="37">
        <v>0</v>
      </c>
      <c r="T131" s="37">
        <v>0</v>
      </c>
      <c r="U131" s="37">
        <v>0</v>
      </c>
      <c r="V131" s="37">
        <f>VLOOKUP(B131,'[1]INV. 2026'!$B:$J,9,0)</f>
        <v>0</v>
      </c>
      <c r="W131" s="59">
        <f t="shared" si="6"/>
        <v>0</v>
      </c>
      <c r="X131" s="60">
        <f t="shared" si="4"/>
        <v>0</v>
      </c>
      <c r="Y131" s="60">
        <f t="shared" si="7"/>
        <v>0</v>
      </c>
      <c r="Z131" s="60">
        <f t="shared" si="5"/>
        <v>0</v>
      </c>
    </row>
    <row r="132" spans="1:26">
      <c r="A132" s="12">
        <v>128</v>
      </c>
      <c r="B132" s="12" t="s">
        <v>147</v>
      </c>
      <c r="C132" s="12">
        <v>860606</v>
      </c>
      <c r="D132" s="12"/>
      <c r="E132" s="12" t="s">
        <v>257</v>
      </c>
      <c r="F132" s="12"/>
      <c r="G132" s="13"/>
      <c r="H132" s="14"/>
      <c r="I132" s="15" t="s">
        <v>116</v>
      </c>
      <c r="J132" s="37"/>
      <c r="K132" s="37"/>
      <c r="L132" s="37"/>
      <c r="M132" s="37">
        <v>400000</v>
      </c>
      <c r="N132" s="37">
        <v>400000</v>
      </c>
      <c r="O132" s="37">
        <v>400000</v>
      </c>
      <c r="P132" s="37">
        <v>400000</v>
      </c>
      <c r="Q132" s="37"/>
      <c r="R132" s="37">
        <v>400000</v>
      </c>
      <c r="S132" s="37">
        <v>0</v>
      </c>
      <c r="T132" s="37">
        <v>400000</v>
      </c>
      <c r="U132" s="37">
        <v>400000</v>
      </c>
      <c r="V132" s="37">
        <f>VLOOKUP(B132,'[1]INV. 2026'!$B:$J,9,0)</f>
        <v>0</v>
      </c>
      <c r="W132" s="59">
        <f t="shared" si="6"/>
        <v>2800000</v>
      </c>
      <c r="X132" s="60">
        <f t="shared" si="4"/>
        <v>7</v>
      </c>
      <c r="Y132" s="60">
        <f t="shared" si="7"/>
        <v>7</v>
      </c>
      <c r="Z132" s="60">
        <f t="shared" si="5"/>
        <v>7</v>
      </c>
    </row>
    <row r="133" spans="1:26">
      <c r="A133" s="12">
        <v>129</v>
      </c>
      <c r="B133" s="16" t="s">
        <v>154</v>
      </c>
      <c r="C133" s="16"/>
      <c r="D133" s="16"/>
      <c r="E133" s="12" t="s">
        <v>257</v>
      </c>
      <c r="F133" s="16"/>
      <c r="G133" s="17"/>
      <c r="H133" s="18"/>
      <c r="I133" s="15" t="s">
        <v>116</v>
      </c>
      <c r="J133" s="37"/>
      <c r="K133" s="37"/>
      <c r="L133" s="37"/>
      <c r="M133" s="37">
        <v>200000</v>
      </c>
      <c r="N133" s="37">
        <v>200000</v>
      </c>
      <c r="O133" s="37"/>
      <c r="P133" s="37"/>
      <c r="Q133" s="37"/>
      <c r="R133" s="37">
        <v>0</v>
      </c>
      <c r="S133" s="37">
        <v>0</v>
      </c>
      <c r="T133" s="37">
        <v>0</v>
      </c>
      <c r="U133" s="37">
        <v>0</v>
      </c>
      <c r="V133" s="37">
        <f>VLOOKUP(B133,'[1]INV. 2026'!$B:$J,9,0)</f>
        <v>0</v>
      </c>
      <c r="W133" s="59">
        <f t="shared" si="6"/>
        <v>400000</v>
      </c>
      <c r="X133" s="60">
        <f t="shared" ref="X133:X196" si="8">W133/400000</f>
        <v>1</v>
      </c>
      <c r="Y133" s="60">
        <f t="shared" si="7"/>
        <v>2</v>
      </c>
      <c r="Z133" s="60">
        <f t="shared" ref="Z133:Z196" si="9">ROUNDUP(X133,0)</f>
        <v>1</v>
      </c>
    </row>
    <row r="134" spans="1:26">
      <c r="A134" s="12">
        <v>130</v>
      </c>
      <c r="B134" s="12" t="s">
        <v>107</v>
      </c>
      <c r="C134" s="12"/>
      <c r="D134" s="12"/>
      <c r="E134" s="12"/>
      <c r="F134" s="12"/>
      <c r="G134" s="13">
        <v>0</v>
      </c>
      <c r="H134" s="14" t="s">
        <v>4</v>
      </c>
      <c r="I134" s="15" t="s">
        <v>116</v>
      </c>
      <c r="J134" s="37"/>
      <c r="K134" s="37">
        <v>100000</v>
      </c>
      <c r="L134" s="37"/>
      <c r="M134" s="37"/>
      <c r="N134" s="37"/>
      <c r="O134" s="37"/>
      <c r="P134" s="37"/>
      <c r="Q134" s="37"/>
      <c r="R134" s="37">
        <v>0</v>
      </c>
      <c r="S134" s="37">
        <v>0</v>
      </c>
      <c r="T134" s="37">
        <v>0</v>
      </c>
      <c r="U134" s="37">
        <v>0</v>
      </c>
      <c r="V134" s="37">
        <f>VLOOKUP(B134,'[1]INV. 2026'!$B:$J,9,0)</f>
        <v>0</v>
      </c>
      <c r="W134" s="59">
        <f t="shared" ref="W134:W197" si="10">SUM(J134:V134)</f>
        <v>100000</v>
      </c>
      <c r="X134" s="60">
        <f t="shared" si="8"/>
        <v>0.25</v>
      </c>
      <c r="Y134" s="60">
        <f t="shared" ref="Y134:Y197" si="11">COUNTIF(J134:V134,"&gt;0")</f>
        <v>1</v>
      </c>
      <c r="Z134" s="60">
        <f t="shared" si="9"/>
        <v>1</v>
      </c>
    </row>
    <row r="135" spans="1:26">
      <c r="A135" s="12">
        <v>131</v>
      </c>
      <c r="B135" s="16" t="s">
        <v>152</v>
      </c>
      <c r="C135" s="16"/>
      <c r="D135" s="16"/>
      <c r="E135" s="12" t="s">
        <v>257</v>
      </c>
      <c r="F135" s="16"/>
      <c r="G135" s="17"/>
      <c r="H135" s="18"/>
      <c r="I135" s="15" t="s">
        <v>116</v>
      </c>
      <c r="J135" s="37"/>
      <c r="K135" s="37"/>
      <c r="L135" s="37"/>
      <c r="M135" s="37">
        <v>2000000</v>
      </c>
      <c r="N135" s="37"/>
      <c r="O135" s="37"/>
      <c r="P135" s="37"/>
      <c r="Q135" s="37"/>
      <c r="R135" s="37">
        <v>0</v>
      </c>
      <c r="S135" s="37">
        <v>0</v>
      </c>
      <c r="T135" s="37">
        <v>2000000</v>
      </c>
      <c r="U135" s="37">
        <v>1600000</v>
      </c>
      <c r="V135" s="37">
        <f>VLOOKUP(B135,'[1]INV. 2026'!$B:$J,9,0)</f>
        <v>0</v>
      </c>
      <c r="W135" s="59">
        <f t="shared" si="10"/>
        <v>5600000</v>
      </c>
      <c r="X135" s="60">
        <f t="shared" si="8"/>
        <v>14</v>
      </c>
      <c r="Y135" s="60">
        <f t="shared" si="11"/>
        <v>3</v>
      </c>
      <c r="Z135" s="60">
        <f t="shared" si="9"/>
        <v>14</v>
      </c>
    </row>
    <row r="136" spans="1:26">
      <c r="A136" s="12">
        <v>132</v>
      </c>
      <c r="B136" s="12" t="s">
        <v>110</v>
      </c>
      <c r="C136" s="12"/>
      <c r="D136" s="12"/>
      <c r="E136" s="12" t="s">
        <v>257</v>
      </c>
      <c r="F136" s="12"/>
      <c r="G136" s="13">
        <v>0</v>
      </c>
      <c r="H136" s="14" t="s">
        <v>4</v>
      </c>
      <c r="I136" s="15" t="s">
        <v>116</v>
      </c>
      <c r="J136" s="37"/>
      <c r="K136" s="37">
        <v>0</v>
      </c>
      <c r="L136" s="37">
        <v>100000</v>
      </c>
      <c r="M136" s="37"/>
      <c r="N136" s="37"/>
      <c r="O136" s="37"/>
      <c r="P136" s="37"/>
      <c r="Q136" s="37"/>
      <c r="R136" s="37">
        <v>0</v>
      </c>
      <c r="S136" s="37">
        <v>0</v>
      </c>
      <c r="T136" s="37">
        <v>0</v>
      </c>
      <c r="U136" s="37">
        <v>0</v>
      </c>
      <c r="V136" s="37">
        <f>VLOOKUP(B136,'[1]INV. 2026'!$B:$J,9,0)</f>
        <v>0</v>
      </c>
      <c r="W136" s="59">
        <f t="shared" si="10"/>
        <v>100000</v>
      </c>
      <c r="X136" s="60">
        <f t="shared" si="8"/>
        <v>0.25</v>
      </c>
      <c r="Y136" s="60">
        <f t="shared" si="11"/>
        <v>1</v>
      </c>
      <c r="Z136" s="60">
        <f t="shared" si="9"/>
        <v>1</v>
      </c>
    </row>
    <row r="137" spans="1:26">
      <c r="A137" s="12">
        <v>133</v>
      </c>
      <c r="B137" s="12" t="s">
        <v>31</v>
      </c>
      <c r="C137" s="12">
        <v>77187578</v>
      </c>
      <c r="D137" s="12">
        <v>3123048536</v>
      </c>
      <c r="E137" s="12" t="s">
        <v>257</v>
      </c>
      <c r="F137" s="12">
        <v>2</v>
      </c>
      <c r="G137" s="13">
        <v>3200000</v>
      </c>
      <c r="H137" s="13" t="s">
        <v>4</v>
      </c>
      <c r="I137" s="15" t="s">
        <v>116</v>
      </c>
      <c r="J137" s="37">
        <v>800000</v>
      </c>
      <c r="K137" s="37">
        <v>800000</v>
      </c>
      <c r="L137" s="37">
        <v>800000</v>
      </c>
      <c r="M137" s="37">
        <v>800000</v>
      </c>
      <c r="N137" s="37">
        <v>800000</v>
      </c>
      <c r="O137" s="37">
        <v>400000</v>
      </c>
      <c r="P137" s="37">
        <v>400000</v>
      </c>
      <c r="Q137" s="37">
        <v>900000</v>
      </c>
      <c r="R137" s="37">
        <v>400000</v>
      </c>
      <c r="S137" s="37">
        <v>800000</v>
      </c>
      <c r="T137" s="37">
        <v>800000</v>
      </c>
      <c r="U137" s="37">
        <v>400000</v>
      </c>
      <c r="V137" s="37">
        <f>VLOOKUP(B137,'[1]INV. 2026'!$B:$J,9,0)</f>
        <v>0</v>
      </c>
      <c r="W137" s="59">
        <f t="shared" si="10"/>
        <v>8100000</v>
      </c>
      <c r="X137" s="60">
        <f t="shared" si="8"/>
        <v>20.25</v>
      </c>
      <c r="Y137" s="60">
        <f t="shared" si="11"/>
        <v>12</v>
      </c>
      <c r="Z137" s="60">
        <f t="shared" si="9"/>
        <v>21</v>
      </c>
    </row>
    <row r="138" spans="1:26">
      <c r="A138" s="12">
        <v>134</v>
      </c>
      <c r="B138" s="12" t="s">
        <v>32</v>
      </c>
      <c r="C138" s="12"/>
      <c r="D138" s="12"/>
      <c r="E138" s="12"/>
      <c r="F138" s="12">
        <v>1</v>
      </c>
      <c r="G138" s="13">
        <v>0</v>
      </c>
      <c r="H138" s="14" t="s">
        <v>13</v>
      </c>
      <c r="I138" s="15" t="s">
        <v>116</v>
      </c>
      <c r="J138" s="37"/>
      <c r="K138" s="37"/>
      <c r="L138" s="37"/>
      <c r="M138" s="37"/>
      <c r="N138" s="37"/>
      <c r="O138" s="37"/>
      <c r="P138" s="37"/>
      <c r="Q138" s="37"/>
      <c r="R138" s="37">
        <v>0</v>
      </c>
      <c r="S138" s="37">
        <v>0</v>
      </c>
      <c r="T138" s="37">
        <v>0</v>
      </c>
      <c r="U138" s="37">
        <v>0</v>
      </c>
      <c r="V138" s="37">
        <f>VLOOKUP(B138,'[1]INV. 2026'!$B:$J,9,0)</f>
        <v>0</v>
      </c>
      <c r="W138" s="59">
        <f t="shared" si="10"/>
        <v>0</v>
      </c>
      <c r="X138" s="60">
        <f t="shared" si="8"/>
        <v>0</v>
      </c>
      <c r="Y138" s="60">
        <f t="shared" si="11"/>
        <v>0</v>
      </c>
      <c r="Z138" s="60">
        <f t="shared" si="9"/>
        <v>0</v>
      </c>
    </row>
    <row r="139" spans="1:26">
      <c r="A139" s="12">
        <v>135</v>
      </c>
      <c r="B139" s="16" t="s">
        <v>448</v>
      </c>
      <c r="C139" s="16">
        <v>41679611</v>
      </c>
      <c r="D139" s="16" t="s">
        <v>449</v>
      </c>
      <c r="E139" s="12" t="s">
        <v>450</v>
      </c>
      <c r="F139" s="16"/>
      <c r="G139" s="17"/>
      <c r="H139" s="18" t="s">
        <v>4</v>
      </c>
      <c r="I139" s="15" t="s">
        <v>116</v>
      </c>
      <c r="J139" s="37"/>
      <c r="K139" s="37"/>
      <c r="L139" s="37"/>
      <c r="M139" s="37">
        <v>400000</v>
      </c>
      <c r="N139" s="37">
        <v>400000</v>
      </c>
      <c r="O139" s="37">
        <v>400000</v>
      </c>
      <c r="P139" s="37">
        <v>400000</v>
      </c>
      <c r="Q139" s="37"/>
      <c r="R139" s="37">
        <v>400000</v>
      </c>
      <c r="S139" s="37">
        <v>400000</v>
      </c>
      <c r="T139" s="37">
        <v>400000</v>
      </c>
      <c r="U139" s="37">
        <v>1200000</v>
      </c>
      <c r="V139" s="37">
        <f>VLOOKUP(B139,'[1]INV. 2026'!$B:$J,9,0)</f>
        <v>800000</v>
      </c>
      <c r="W139" s="59">
        <f t="shared" si="10"/>
        <v>4800000</v>
      </c>
      <c r="X139" s="60">
        <f t="shared" si="8"/>
        <v>12</v>
      </c>
      <c r="Y139" s="60">
        <f t="shared" si="11"/>
        <v>9</v>
      </c>
      <c r="Z139" s="60">
        <f t="shared" si="9"/>
        <v>12</v>
      </c>
    </row>
    <row r="140" spans="1:26">
      <c r="A140" s="12">
        <v>136</v>
      </c>
      <c r="B140" s="12" t="s">
        <v>66</v>
      </c>
      <c r="C140" s="12"/>
      <c r="D140" s="12"/>
      <c r="E140" s="12"/>
      <c r="F140" s="12"/>
      <c r="G140" s="13">
        <v>1500000</v>
      </c>
      <c r="H140" s="14" t="s">
        <v>4</v>
      </c>
      <c r="I140" s="15" t="s">
        <v>116</v>
      </c>
      <c r="J140" s="37">
        <v>500000</v>
      </c>
      <c r="K140" s="37">
        <v>500000</v>
      </c>
      <c r="L140" s="37"/>
      <c r="M140" s="37">
        <v>500000</v>
      </c>
      <c r="N140" s="37"/>
      <c r="O140" s="37"/>
      <c r="P140" s="37"/>
      <c r="Q140" s="37"/>
      <c r="R140" s="37">
        <v>0</v>
      </c>
      <c r="S140" s="37">
        <v>0</v>
      </c>
      <c r="T140" s="37">
        <v>0</v>
      </c>
      <c r="U140" s="37">
        <v>0</v>
      </c>
      <c r="V140" s="37">
        <f>VLOOKUP(B140,'[1]INV. 2026'!$B:$J,9,0)</f>
        <v>0</v>
      </c>
      <c r="W140" s="59">
        <f t="shared" si="10"/>
        <v>1500000</v>
      </c>
      <c r="X140" s="60">
        <f t="shared" si="8"/>
        <v>3.75</v>
      </c>
      <c r="Y140" s="60">
        <f t="shared" si="11"/>
        <v>3</v>
      </c>
      <c r="Z140" s="60">
        <f t="shared" si="9"/>
        <v>4</v>
      </c>
    </row>
    <row r="141" spans="1:26">
      <c r="A141" s="12">
        <v>137</v>
      </c>
      <c r="B141" s="16" t="s">
        <v>184</v>
      </c>
      <c r="C141" s="16"/>
      <c r="D141" s="16"/>
      <c r="E141" s="12"/>
      <c r="F141" s="16"/>
      <c r="G141" s="17"/>
      <c r="H141" s="18"/>
      <c r="I141" s="15" t="s">
        <v>116</v>
      </c>
      <c r="J141" s="37"/>
      <c r="K141" s="37"/>
      <c r="L141" s="37"/>
      <c r="M141" s="37">
        <v>260000</v>
      </c>
      <c r="N141" s="37"/>
      <c r="O141" s="37"/>
      <c r="P141" s="37"/>
      <c r="Q141" s="37"/>
      <c r="R141" s="37">
        <v>0</v>
      </c>
      <c r="S141" s="37">
        <v>0</v>
      </c>
      <c r="T141" s="37">
        <v>0</v>
      </c>
      <c r="U141" s="37">
        <v>0</v>
      </c>
      <c r="V141" s="37">
        <f>VLOOKUP(B141,'[1]INV. 2026'!$B:$J,9,0)</f>
        <v>0</v>
      </c>
      <c r="W141" s="59">
        <f t="shared" si="10"/>
        <v>260000</v>
      </c>
      <c r="X141" s="60">
        <f t="shared" si="8"/>
        <v>0.65</v>
      </c>
      <c r="Y141" s="60">
        <f t="shared" si="11"/>
        <v>1</v>
      </c>
      <c r="Z141" s="60">
        <f t="shared" si="9"/>
        <v>1</v>
      </c>
    </row>
    <row r="142" spans="1:26">
      <c r="A142" s="12">
        <v>138</v>
      </c>
      <c r="B142" s="16" t="s">
        <v>136</v>
      </c>
      <c r="C142" s="16"/>
      <c r="D142" s="16"/>
      <c r="E142" s="12" t="s">
        <v>257</v>
      </c>
      <c r="F142" s="12"/>
      <c r="G142" s="13"/>
      <c r="H142" s="14" t="s">
        <v>4</v>
      </c>
      <c r="I142" s="15" t="s">
        <v>116</v>
      </c>
      <c r="J142" s="37"/>
      <c r="K142" s="37">
        <v>400000</v>
      </c>
      <c r="L142" s="38">
        <v>400000</v>
      </c>
      <c r="M142" s="39">
        <v>400000</v>
      </c>
      <c r="N142" s="37"/>
      <c r="O142" s="37">
        <v>400000</v>
      </c>
      <c r="P142" s="37">
        <v>0</v>
      </c>
      <c r="Q142" s="37">
        <v>400000</v>
      </c>
      <c r="R142" s="37">
        <v>400000</v>
      </c>
      <c r="S142" s="37">
        <v>400000</v>
      </c>
      <c r="T142" s="37">
        <v>400000</v>
      </c>
      <c r="U142" s="37">
        <v>400000</v>
      </c>
      <c r="V142" s="37">
        <f>VLOOKUP(B142,'[1]INV. 2026'!$B:$J,9,0)</f>
        <v>400000</v>
      </c>
      <c r="W142" s="59">
        <f t="shared" si="10"/>
        <v>4000000</v>
      </c>
      <c r="X142" s="60">
        <f t="shared" si="8"/>
        <v>10</v>
      </c>
      <c r="Y142" s="60">
        <f t="shared" si="11"/>
        <v>10</v>
      </c>
      <c r="Z142" s="60">
        <f t="shared" si="9"/>
        <v>10</v>
      </c>
    </row>
    <row r="143" spans="1:26">
      <c r="A143" s="12">
        <v>139</v>
      </c>
      <c r="B143" s="16" t="s">
        <v>151</v>
      </c>
      <c r="C143" s="16">
        <v>4517739</v>
      </c>
      <c r="D143" s="16"/>
      <c r="E143" s="12" t="s">
        <v>176</v>
      </c>
      <c r="F143" s="12"/>
      <c r="G143" s="17"/>
      <c r="H143" s="14"/>
      <c r="I143" s="15" t="s">
        <v>116</v>
      </c>
      <c r="J143" s="37"/>
      <c r="K143" s="37"/>
      <c r="L143" s="37"/>
      <c r="M143" s="37">
        <v>400000</v>
      </c>
      <c r="N143" s="37">
        <v>400000</v>
      </c>
      <c r="O143" s="37"/>
      <c r="P143" s="37"/>
      <c r="Q143" s="37"/>
      <c r="R143" s="37">
        <v>0</v>
      </c>
      <c r="S143" s="37">
        <v>400000</v>
      </c>
      <c r="T143" s="37">
        <v>200000</v>
      </c>
      <c r="U143" s="37">
        <v>0</v>
      </c>
      <c r="V143" s="37">
        <f>VLOOKUP(B143,'[1]INV. 2026'!$B:$J,9,0)</f>
        <v>0</v>
      </c>
      <c r="W143" s="59">
        <f t="shared" si="10"/>
        <v>1400000</v>
      </c>
      <c r="X143" s="60">
        <f t="shared" si="8"/>
        <v>3.5</v>
      </c>
      <c r="Y143" s="60">
        <f t="shared" si="11"/>
        <v>4</v>
      </c>
      <c r="Z143" s="60">
        <f t="shared" si="9"/>
        <v>4</v>
      </c>
    </row>
    <row r="144" spans="1:26">
      <c r="A144" s="12">
        <v>140</v>
      </c>
      <c r="B144" s="16" t="s">
        <v>56</v>
      </c>
      <c r="C144" s="16"/>
      <c r="D144" s="16"/>
      <c r="E144" s="12"/>
      <c r="F144" s="12"/>
      <c r="G144" s="13">
        <v>400000</v>
      </c>
      <c r="H144" s="14" t="s">
        <v>4</v>
      </c>
      <c r="I144" s="15" t="s">
        <v>116</v>
      </c>
      <c r="J144" s="37"/>
      <c r="K144" s="37"/>
      <c r="L144" s="38"/>
      <c r="M144" s="39"/>
      <c r="N144" s="37"/>
      <c r="O144" s="37"/>
      <c r="P144" s="37"/>
      <c r="Q144" s="37"/>
      <c r="R144" s="37">
        <v>0</v>
      </c>
      <c r="S144" s="37">
        <v>0</v>
      </c>
      <c r="T144" s="37">
        <v>0</v>
      </c>
      <c r="U144" s="37">
        <v>0</v>
      </c>
      <c r="V144" s="37">
        <f>VLOOKUP(B144,'[1]INV. 2026'!$B:$J,9,0)</f>
        <v>0</v>
      </c>
      <c r="W144" s="59">
        <f t="shared" si="10"/>
        <v>0</v>
      </c>
      <c r="X144" s="60">
        <f t="shared" si="8"/>
        <v>0</v>
      </c>
      <c r="Y144" s="60">
        <f t="shared" si="11"/>
        <v>0</v>
      </c>
      <c r="Z144" s="60">
        <f t="shared" si="9"/>
        <v>0</v>
      </c>
    </row>
    <row r="145" spans="1:26">
      <c r="A145" s="12">
        <v>141</v>
      </c>
      <c r="B145" s="12" t="s">
        <v>148</v>
      </c>
      <c r="C145" s="12"/>
      <c r="D145" s="12"/>
      <c r="E145" s="12"/>
      <c r="F145" s="12"/>
      <c r="G145" s="13"/>
      <c r="H145" s="14"/>
      <c r="I145" s="15" t="s">
        <v>116</v>
      </c>
      <c r="J145" s="37"/>
      <c r="K145" s="37"/>
      <c r="L145" s="37"/>
      <c r="M145" s="37">
        <v>1200000</v>
      </c>
      <c r="N145" s="37"/>
      <c r="O145" s="37"/>
      <c r="P145" s="37"/>
      <c r="Q145" s="37"/>
      <c r="R145" s="37">
        <v>0</v>
      </c>
      <c r="S145" s="37">
        <v>0</v>
      </c>
      <c r="T145" s="37">
        <v>0</v>
      </c>
      <c r="U145" s="37">
        <v>0</v>
      </c>
      <c r="V145" s="37">
        <f>VLOOKUP(B145,'[1]INV. 2026'!$B:$J,9,0)</f>
        <v>0</v>
      </c>
      <c r="W145" s="59">
        <f t="shared" si="10"/>
        <v>1200000</v>
      </c>
      <c r="X145" s="60">
        <f t="shared" si="8"/>
        <v>3</v>
      </c>
      <c r="Y145" s="60">
        <f t="shared" si="11"/>
        <v>1</v>
      </c>
      <c r="Z145" s="60">
        <f t="shared" si="9"/>
        <v>3</v>
      </c>
    </row>
    <row r="146" spans="1:26">
      <c r="A146" s="12">
        <v>142</v>
      </c>
      <c r="B146" s="12" t="s">
        <v>155</v>
      </c>
      <c r="C146" s="12"/>
      <c r="D146" s="12"/>
      <c r="E146" s="12" t="s">
        <v>183</v>
      </c>
      <c r="F146" s="12"/>
      <c r="G146" s="13"/>
      <c r="H146" s="14"/>
      <c r="I146" s="15" t="s">
        <v>116</v>
      </c>
      <c r="J146" s="37"/>
      <c r="K146" s="37"/>
      <c r="L146" s="37"/>
      <c r="M146" s="37">
        <v>300000</v>
      </c>
      <c r="N146" s="37"/>
      <c r="O146" s="37"/>
      <c r="P146" s="37"/>
      <c r="Q146" s="37">
        <v>200000</v>
      </c>
      <c r="R146" s="37">
        <v>0</v>
      </c>
      <c r="S146" s="37">
        <v>0</v>
      </c>
      <c r="T146" s="37">
        <v>0</v>
      </c>
      <c r="U146" s="37">
        <v>0</v>
      </c>
      <c r="V146" s="37">
        <f>VLOOKUP(B146,'[1]INV. 2026'!$B:$J,9,0)</f>
        <v>0</v>
      </c>
      <c r="W146" s="59">
        <f t="shared" si="10"/>
        <v>500000</v>
      </c>
      <c r="X146" s="60">
        <f t="shared" si="8"/>
        <v>1.25</v>
      </c>
      <c r="Y146" s="60">
        <f t="shared" si="11"/>
        <v>2</v>
      </c>
      <c r="Z146" s="60">
        <f t="shared" si="9"/>
        <v>2</v>
      </c>
    </row>
    <row r="147" spans="1:26">
      <c r="A147" s="12">
        <v>143</v>
      </c>
      <c r="B147" s="12" t="s">
        <v>49</v>
      </c>
      <c r="C147" s="12"/>
      <c r="D147" s="12"/>
      <c r="E147" s="12"/>
      <c r="F147" s="12">
        <v>1</v>
      </c>
      <c r="G147" s="13">
        <v>400000</v>
      </c>
      <c r="H147" s="14" t="s">
        <v>8</v>
      </c>
      <c r="I147" s="15" t="s">
        <v>116</v>
      </c>
      <c r="J147" s="37"/>
      <c r="K147" s="37"/>
      <c r="L147" s="37"/>
      <c r="M147" s="37"/>
      <c r="N147" s="37"/>
      <c r="O147" s="37"/>
      <c r="P147" s="37"/>
      <c r="Q147" s="37"/>
      <c r="R147" s="37">
        <v>0</v>
      </c>
      <c r="S147" s="37">
        <v>0</v>
      </c>
      <c r="T147" s="37">
        <v>0</v>
      </c>
      <c r="U147" s="37">
        <v>0</v>
      </c>
      <c r="V147" s="37">
        <f>VLOOKUP(B147,'[1]INV. 2026'!$B:$J,9,0)</f>
        <v>0</v>
      </c>
      <c r="W147" s="59">
        <f t="shared" si="10"/>
        <v>0</v>
      </c>
      <c r="X147" s="60">
        <f t="shared" si="8"/>
        <v>0</v>
      </c>
      <c r="Y147" s="60">
        <f t="shared" si="11"/>
        <v>0</v>
      </c>
      <c r="Z147" s="60">
        <f t="shared" si="9"/>
        <v>0</v>
      </c>
    </row>
    <row r="148" spans="1:26">
      <c r="A148" s="12">
        <v>144</v>
      </c>
      <c r="B148" s="12" t="s">
        <v>194</v>
      </c>
      <c r="C148" s="12"/>
      <c r="D148" s="12"/>
      <c r="E148" s="12" t="s">
        <v>257</v>
      </c>
      <c r="F148" s="12"/>
      <c r="G148" s="13"/>
      <c r="H148" s="14"/>
      <c r="I148" s="15" t="s">
        <v>116</v>
      </c>
      <c r="J148" s="37"/>
      <c r="K148" s="37"/>
      <c r="L148" s="37"/>
      <c r="M148" s="37"/>
      <c r="N148" s="37">
        <v>400000</v>
      </c>
      <c r="O148" s="37"/>
      <c r="P148" s="37"/>
      <c r="Q148" s="37"/>
      <c r="R148" s="37">
        <v>0</v>
      </c>
      <c r="S148" s="37">
        <v>0</v>
      </c>
      <c r="T148" s="37">
        <v>0</v>
      </c>
      <c r="U148" s="37">
        <v>0</v>
      </c>
      <c r="V148" s="37">
        <f>VLOOKUP(B148,'[1]INV. 2026'!$B:$J,9,0)</f>
        <v>0</v>
      </c>
      <c r="W148" s="59">
        <f t="shared" si="10"/>
        <v>400000</v>
      </c>
      <c r="X148" s="60">
        <f t="shared" si="8"/>
        <v>1</v>
      </c>
      <c r="Y148" s="60">
        <f t="shared" si="11"/>
        <v>1</v>
      </c>
      <c r="Z148" s="60">
        <f t="shared" si="9"/>
        <v>1</v>
      </c>
    </row>
    <row r="149" spans="1:26">
      <c r="A149" s="12">
        <v>145</v>
      </c>
      <c r="B149" s="12" t="s">
        <v>195</v>
      </c>
      <c r="C149" s="12">
        <v>1067849185</v>
      </c>
      <c r="D149" s="12">
        <v>3043721442</v>
      </c>
      <c r="E149" s="12" t="s">
        <v>567</v>
      </c>
      <c r="F149" s="12"/>
      <c r="G149" s="13"/>
      <c r="H149" s="14"/>
      <c r="I149" s="15" t="s">
        <v>116</v>
      </c>
      <c r="J149" s="37"/>
      <c r="K149" s="37"/>
      <c r="L149" s="37"/>
      <c r="M149" s="37"/>
      <c r="N149" s="37">
        <v>400000</v>
      </c>
      <c r="O149" s="37"/>
      <c r="P149" s="37">
        <v>400000</v>
      </c>
      <c r="Q149" s="37"/>
      <c r="R149" s="37">
        <v>0</v>
      </c>
      <c r="S149" s="37">
        <v>0</v>
      </c>
      <c r="T149" s="37">
        <v>400000</v>
      </c>
      <c r="U149" s="37">
        <v>400000</v>
      </c>
      <c r="V149" s="37">
        <f>VLOOKUP(B149,'[1]INV. 2026'!$B:$J,9,0)</f>
        <v>400000</v>
      </c>
      <c r="W149" s="59">
        <f t="shared" si="10"/>
        <v>2000000</v>
      </c>
      <c r="X149" s="60">
        <f t="shared" si="8"/>
        <v>5</v>
      </c>
      <c r="Y149" s="60">
        <f t="shared" si="11"/>
        <v>5</v>
      </c>
      <c r="Z149" s="60">
        <f t="shared" si="9"/>
        <v>5</v>
      </c>
    </row>
    <row r="150" spans="1:26">
      <c r="A150" s="12">
        <v>146</v>
      </c>
      <c r="B150" s="12" t="s">
        <v>197</v>
      </c>
      <c r="C150" s="12"/>
      <c r="D150" s="12"/>
      <c r="E150" s="12"/>
      <c r="F150" s="12"/>
      <c r="G150" s="13"/>
      <c r="H150" s="14"/>
      <c r="I150" s="15" t="s">
        <v>116</v>
      </c>
      <c r="J150" s="37"/>
      <c r="K150" s="37"/>
      <c r="L150" s="37"/>
      <c r="M150" s="37"/>
      <c r="N150" s="37">
        <v>3200000</v>
      </c>
      <c r="O150" s="37"/>
      <c r="P150" s="37"/>
      <c r="Q150" s="37"/>
      <c r="R150" s="37">
        <v>0</v>
      </c>
      <c r="S150" s="37">
        <v>0</v>
      </c>
      <c r="T150" s="37">
        <v>0</v>
      </c>
      <c r="U150" s="37">
        <v>0</v>
      </c>
      <c r="V150" s="37">
        <f>VLOOKUP(B150,'[1]INV. 2026'!$B:$J,9,0)</f>
        <v>0</v>
      </c>
      <c r="W150" s="59">
        <f t="shared" si="10"/>
        <v>3200000</v>
      </c>
      <c r="X150" s="60">
        <f t="shared" si="8"/>
        <v>8</v>
      </c>
      <c r="Y150" s="60">
        <f t="shared" si="11"/>
        <v>1</v>
      </c>
      <c r="Z150" s="60">
        <f t="shared" si="9"/>
        <v>8</v>
      </c>
    </row>
    <row r="151" spans="1:26">
      <c r="A151" s="12">
        <v>147</v>
      </c>
      <c r="B151" s="12" t="s">
        <v>198</v>
      </c>
      <c r="C151" s="12"/>
      <c r="D151" s="12"/>
      <c r="E151" s="12"/>
      <c r="F151" s="12"/>
      <c r="G151" s="13"/>
      <c r="H151" s="14"/>
      <c r="I151" s="15" t="s">
        <v>116</v>
      </c>
      <c r="J151" s="37"/>
      <c r="K151" s="37"/>
      <c r="L151" s="37"/>
      <c r="M151" s="37"/>
      <c r="N151" s="37">
        <v>3200000</v>
      </c>
      <c r="O151" s="37"/>
      <c r="P151" s="37"/>
      <c r="Q151" s="37"/>
      <c r="R151" s="37">
        <v>0</v>
      </c>
      <c r="S151" s="37">
        <v>0</v>
      </c>
      <c r="T151" s="37">
        <v>0</v>
      </c>
      <c r="U151" s="37">
        <v>0</v>
      </c>
      <c r="V151" s="37">
        <f>VLOOKUP(B151,'[1]INV. 2026'!$B:$J,9,0)</f>
        <v>0</v>
      </c>
      <c r="W151" s="59">
        <f t="shared" si="10"/>
        <v>3200000</v>
      </c>
      <c r="X151" s="60">
        <f t="shared" si="8"/>
        <v>8</v>
      </c>
      <c r="Y151" s="60">
        <f t="shared" si="11"/>
        <v>1</v>
      </c>
      <c r="Z151" s="60">
        <f t="shared" si="9"/>
        <v>8</v>
      </c>
    </row>
    <row r="152" spans="1:26">
      <c r="A152" s="12">
        <v>148</v>
      </c>
      <c r="B152" s="16" t="s">
        <v>199</v>
      </c>
      <c r="C152" s="16"/>
      <c r="D152" s="16"/>
      <c r="E152" s="12"/>
      <c r="F152" s="12"/>
      <c r="G152" s="13"/>
      <c r="H152" s="14"/>
      <c r="I152" s="15" t="s">
        <v>116</v>
      </c>
      <c r="J152" s="37"/>
      <c r="K152" s="37"/>
      <c r="L152" s="37"/>
      <c r="M152" s="37"/>
      <c r="N152" s="39">
        <v>200000</v>
      </c>
      <c r="O152" s="37"/>
      <c r="P152" s="37"/>
      <c r="Q152" s="37"/>
      <c r="R152" s="37">
        <v>0</v>
      </c>
      <c r="S152" s="37">
        <v>0</v>
      </c>
      <c r="T152" s="37">
        <v>0</v>
      </c>
      <c r="U152" s="37">
        <v>0</v>
      </c>
      <c r="V152" s="37">
        <f>VLOOKUP(B152,'[1]INV. 2026'!$B:$J,9,0)</f>
        <v>0</v>
      </c>
      <c r="W152" s="59">
        <f t="shared" si="10"/>
        <v>200000</v>
      </c>
      <c r="X152" s="60">
        <f t="shared" si="8"/>
        <v>0.5</v>
      </c>
      <c r="Y152" s="60">
        <f t="shared" si="11"/>
        <v>1</v>
      </c>
      <c r="Z152" s="60">
        <f t="shared" si="9"/>
        <v>1</v>
      </c>
    </row>
    <row r="153" spans="1:26">
      <c r="A153" s="12">
        <v>149</v>
      </c>
      <c r="B153" s="16" t="s">
        <v>201</v>
      </c>
      <c r="C153" s="16"/>
      <c r="D153" s="16"/>
      <c r="E153" s="12"/>
      <c r="F153" s="12"/>
      <c r="G153" s="13"/>
      <c r="H153" s="14"/>
      <c r="I153" s="15" t="s">
        <v>116</v>
      </c>
      <c r="J153" s="37"/>
      <c r="K153" s="37"/>
      <c r="L153" s="37"/>
      <c r="M153" s="37"/>
      <c r="N153" s="39">
        <v>800000</v>
      </c>
      <c r="O153" s="37"/>
      <c r="P153" s="37"/>
      <c r="Q153" s="37"/>
      <c r="R153" s="37">
        <v>0</v>
      </c>
      <c r="S153" s="37">
        <v>0</v>
      </c>
      <c r="T153" s="37">
        <v>0</v>
      </c>
      <c r="U153" s="37">
        <v>0</v>
      </c>
      <c r="V153" s="37">
        <f>VLOOKUP(B153,'[1]INV. 2026'!$B:$J,9,0)</f>
        <v>0</v>
      </c>
      <c r="W153" s="59">
        <f t="shared" si="10"/>
        <v>800000</v>
      </c>
      <c r="X153" s="60">
        <f t="shared" si="8"/>
        <v>2</v>
      </c>
      <c r="Y153" s="60">
        <f t="shared" si="11"/>
        <v>1</v>
      </c>
      <c r="Z153" s="60">
        <f t="shared" si="9"/>
        <v>2</v>
      </c>
    </row>
    <row r="154" spans="1:26">
      <c r="A154" s="12">
        <v>150</v>
      </c>
      <c r="B154" s="16" t="s">
        <v>349</v>
      </c>
      <c r="C154" s="16">
        <v>1044429200</v>
      </c>
      <c r="D154" s="16">
        <v>3008202508</v>
      </c>
      <c r="E154" s="12" t="s">
        <v>350</v>
      </c>
      <c r="F154" s="12"/>
      <c r="G154" s="13"/>
      <c r="H154" s="14"/>
      <c r="I154" s="15" t="s">
        <v>116</v>
      </c>
      <c r="J154" s="37"/>
      <c r="K154" s="37"/>
      <c r="L154" s="37"/>
      <c r="M154" s="37"/>
      <c r="N154" s="38">
        <v>100000</v>
      </c>
      <c r="O154" s="37">
        <v>400000</v>
      </c>
      <c r="P154" s="37">
        <v>100000</v>
      </c>
      <c r="Q154" s="37"/>
      <c r="R154" s="37">
        <v>100000</v>
      </c>
      <c r="S154" s="37">
        <v>100000</v>
      </c>
      <c r="T154" s="37">
        <v>100000</v>
      </c>
      <c r="U154" s="37">
        <v>1590000</v>
      </c>
      <c r="V154" s="37">
        <f>VLOOKUP(B154,'[1]INV. 2026'!$B:$J,9,0)</f>
        <v>100000</v>
      </c>
      <c r="W154" s="59">
        <f t="shared" si="10"/>
        <v>2590000</v>
      </c>
      <c r="X154" s="60">
        <f t="shared" si="8"/>
        <v>6.4749999999999996</v>
      </c>
      <c r="Y154" s="60">
        <f t="shared" si="11"/>
        <v>8</v>
      </c>
      <c r="Z154" s="60">
        <f t="shared" si="9"/>
        <v>7</v>
      </c>
    </row>
    <row r="155" spans="1:26">
      <c r="A155" s="12">
        <v>151</v>
      </c>
      <c r="B155" s="16" t="s">
        <v>203</v>
      </c>
      <c r="C155" s="12">
        <v>1067594389</v>
      </c>
      <c r="D155" s="12"/>
      <c r="E155" s="12"/>
      <c r="F155" s="12"/>
      <c r="G155" s="13"/>
      <c r="H155" s="14"/>
      <c r="I155" s="15" t="s">
        <v>116</v>
      </c>
      <c r="J155" s="37"/>
      <c r="K155" s="37"/>
      <c r="L155" s="37"/>
      <c r="M155" s="37"/>
      <c r="N155" s="39"/>
      <c r="O155" s="37">
        <v>400000</v>
      </c>
      <c r="P155" s="37"/>
      <c r="Q155" s="37"/>
      <c r="R155" s="37">
        <v>0</v>
      </c>
      <c r="S155" s="37">
        <v>0</v>
      </c>
      <c r="T155" s="37">
        <v>0</v>
      </c>
      <c r="U155" s="37">
        <v>0</v>
      </c>
      <c r="V155" s="37">
        <f>VLOOKUP(B155,'[1]INV. 2026'!$B:$J,9,0)</f>
        <v>0</v>
      </c>
      <c r="W155" s="59">
        <f t="shared" si="10"/>
        <v>400000</v>
      </c>
      <c r="X155" s="60">
        <f t="shared" si="8"/>
        <v>1</v>
      </c>
      <c r="Y155" s="60">
        <f t="shared" si="11"/>
        <v>1</v>
      </c>
      <c r="Z155" s="60">
        <f t="shared" si="9"/>
        <v>1</v>
      </c>
    </row>
    <row r="156" spans="1:26">
      <c r="A156" s="12">
        <v>152</v>
      </c>
      <c r="B156" s="16" t="s">
        <v>218</v>
      </c>
      <c r="C156" s="23">
        <v>11705775</v>
      </c>
      <c r="D156" s="12">
        <v>3127559027</v>
      </c>
      <c r="E156" s="12" t="s">
        <v>174</v>
      </c>
      <c r="F156" s="12"/>
      <c r="G156" s="13"/>
      <c r="H156" s="14"/>
      <c r="I156" s="15" t="s">
        <v>116</v>
      </c>
      <c r="J156" s="37"/>
      <c r="K156" s="37"/>
      <c r="L156" s="37"/>
      <c r="M156" s="37"/>
      <c r="N156" s="39">
        <v>400000</v>
      </c>
      <c r="O156" s="37"/>
      <c r="P156" s="37"/>
      <c r="Q156" s="37"/>
      <c r="R156" s="37">
        <v>0</v>
      </c>
      <c r="S156" s="37">
        <v>0</v>
      </c>
      <c r="T156" s="37">
        <v>0</v>
      </c>
      <c r="U156" s="37">
        <v>0</v>
      </c>
      <c r="V156" s="37">
        <f>VLOOKUP(B156,'[1]INV. 2026'!$B:$J,9,0)</f>
        <v>0</v>
      </c>
      <c r="W156" s="59">
        <f t="shared" si="10"/>
        <v>400000</v>
      </c>
      <c r="X156" s="60">
        <f t="shared" si="8"/>
        <v>1</v>
      </c>
      <c r="Y156" s="60">
        <f t="shared" si="11"/>
        <v>1</v>
      </c>
      <c r="Z156" s="60">
        <f t="shared" si="9"/>
        <v>1</v>
      </c>
    </row>
    <row r="157" spans="1:26">
      <c r="A157" s="12">
        <v>153</v>
      </c>
      <c r="B157" s="12" t="s">
        <v>231</v>
      </c>
      <c r="C157" s="23">
        <v>1077437902</v>
      </c>
      <c r="D157" s="12">
        <v>3127867720</v>
      </c>
      <c r="E157" s="12" t="s">
        <v>568</v>
      </c>
      <c r="F157" s="12"/>
      <c r="G157" s="13"/>
      <c r="H157" s="14"/>
      <c r="I157" s="15" t="s">
        <v>116</v>
      </c>
      <c r="J157" s="37"/>
      <c r="K157" s="37"/>
      <c r="L157" s="37"/>
      <c r="M157" s="37"/>
      <c r="N157" s="39"/>
      <c r="O157" s="37">
        <v>400000</v>
      </c>
      <c r="P157" s="37">
        <v>400000</v>
      </c>
      <c r="Q157" s="37">
        <v>400000</v>
      </c>
      <c r="R157" s="37">
        <v>0</v>
      </c>
      <c r="S157" s="37">
        <v>0</v>
      </c>
      <c r="T157" s="37">
        <v>400000</v>
      </c>
      <c r="U157" s="37">
        <v>0</v>
      </c>
      <c r="V157" s="37">
        <f>VLOOKUP(B157,'[1]INV. 2026'!$B:$J,9,0)</f>
        <v>0</v>
      </c>
      <c r="W157" s="59">
        <f t="shared" si="10"/>
        <v>1600000</v>
      </c>
      <c r="X157" s="60">
        <f t="shared" si="8"/>
        <v>4</v>
      </c>
      <c r="Y157" s="60">
        <f t="shared" si="11"/>
        <v>4</v>
      </c>
      <c r="Z157" s="60">
        <f t="shared" si="9"/>
        <v>4</v>
      </c>
    </row>
    <row r="158" spans="1:26">
      <c r="A158" s="12">
        <v>154</v>
      </c>
      <c r="B158" s="16" t="s">
        <v>219</v>
      </c>
      <c r="C158" s="16">
        <v>1003932453</v>
      </c>
      <c r="D158" s="16">
        <v>3226546627</v>
      </c>
      <c r="E158" s="12" t="s">
        <v>568</v>
      </c>
      <c r="F158" s="12"/>
      <c r="G158" s="13"/>
      <c r="H158" s="14"/>
      <c r="I158" s="15" t="s">
        <v>116</v>
      </c>
      <c r="J158" s="37"/>
      <c r="K158" s="37"/>
      <c r="L158" s="37"/>
      <c r="M158" s="37"/>
      <c r="N158" s="38"/>
      <c r="O158" s="37">
        <v>400000</v>
      </c>
      <c r="P158" s="37"/>
      <c r="Q158" s="37"/>
      <c r="R158" s="37">
        <v>1200000</v>
      </c>
      <c r="S158" s="37">
        <v>0</v>
      </c>
      <c r="T158" s="37">
        <v>0</v>
      </c>
      <c r="U158" s="37">
        <v>0</v>
      </c>
      <c r="V158" s="37">
        <f>VLOOKUP(B158,'[1]INV. 2026'!$B:$J,9,0)</f>
        <v>0</v>
      </c>
      <c r="W158" s="59">
        <f t="shared" si="10"/>
        <v>1600000</v>
      </c>
      <c r="X158" s="60">
        <f t="shared" si="8"/>
        <v>4</v>
      </c>
      <c r="Y158" s="60">
        <f t="shared" si="11"/>
        <v>2</v>
      </c>
      <c r="Z158" s="60">
        <f t="shared" si="9"/>
        <v>4</v>
      </c>
    </row>
    <row r="159" spans="1:26">
      <c r="A159" s="12">
        <v>155</v>
      </c>
      <c r="B159" s="16" t="s">
        <v>220</v>
      </c>
      <c r="C159" s="16"/>
      <c r="D159" s="16">
        <v>3214118979</v>
      </c>
      <c r="E159" s="12" t="s">
        <v>257</v>
      </c>
      <c r="F159" s="12"/>
      <c r="G159" s="13"/>
      <c r="H159" s="14"/>
      <c r="I159" s="15" t="s">
        <v>116</v>
      </c>
      <c r="J159" s="37"/>
      <c r="K159" s="37"/>
      <c r="L159" s="37"/>
      <c r="M159" s="37"/>
      <c r="N159" s="38"/>
      <c r="O159" s="39">
        <v>120000</v>
      </c>
      <c r="P159" s="37">
        <v>240000</v>
      </c>
      <c r="Q159" s="37"/>
      <c r="R159" s="37">
        <v>120000</v>
      </c>
      <c r="S159" s="37">
        <v>120000</v>
      </c>
      <c r="T159" s="37">
        <v>120000</v>
      </c>
      <c r="U159" s="37">
        <v>120000</v>
      </c>
      <c r="V159" s="37">
        <f>VLOOKUP(B159,'[1]INV. 2026'!$B:$J,9,0)</f>
        <v>140000</v>
      </c>
      <c r="W159" s="59">
        <f t="shared" si="10"/>
        <v>980000</v>
      </c>
      <c r="X159" s="60">
        <f t="shared" si="8"/>
        <v>2.4500000000000002</v>
      </c>
      <c r="Y159" s="60">
        <f t="shared" si="11"/>
        <v>7</v>
      </c>
      <c r="Z159" s="60">
        <f t="shared" si="9"/>
        <v>3</v>
      </c>
    </row>
    <row r="160" spans="1:26">
      <c r="A160" s="12">
        <v>156</v>
      </c>
      <c r="B160" s="16" t="s">
        <v>221</v>
      </c>
      <c r="C160" s="16"/>
      <c r="D160" s="16"/>
      <c r="E160" s="12"/>
      <c r="F160" s="12"/>
      <c r="G160" s="13"/>
      <c r="H160" s="14"/>
      <c r="I160" s="24" t="s">
        <v>116</v>
      </c>
      <c r="J160" s="37"/>
      <c r="K160" s="37"/>
      <c r="L160" s="37"/>
      <c r="M160" s="37"/>
      <c r="N160" s="38"/>
      <c r="O160" s="39">
        <v>210000</v>
      </c>
      <c r="P160" s="37"/>
      <c r="Q160" s="37">
        <v>250000</v>
      </c>
      <c r="R160" s="37">
        <v>0</v>
      </c>
      <c r="S160" s="37">
        <v>0</v>
      </c>
      <c r="T160" s="37">
        <v>0</v>
      </c>
      <c r="U160" s="37">
        <v>0</v>
      </c>
      <c r="V160" s="37">
        <f>VLOOKUP(B160,'[1]INV. 2026'!$B:$J,9,0)</f>
        <v>0</v>
      </c>
      <c r="W160" s="59">
        <f t="shared" si="10"/>
        <v>460000</v>
      </c>
      <c r="X160" s="60">
        <f t="shared" si="8"/>
        <v>1.1499999999999999</v>
      </c>
      <c r="Y160" s="60">
        <f t="shared" si="11"/>
        <v>2</v>
      </c>
      <c r="Z160" s="60">
        <f t="shared" si="9"/>
        <v>2</v>
      </c>
    </row>
    <row r="161" spans="1:26">
      <c r="A161" s="12">
        <v>157</v>
      </c>
      <c r="B161" s="16" t="s">
        <v>250</v>
      </c>
      <c r="C161" s="16">
        <v>60267661</v>
      </c>
      <c r="D161" s="16"/>
      <c r="E161" s="12" t="s">
        <v>217</v>
      </c>
      <c r="F161" s="12"/>
      <c r="G161" s="13"/>
      <c r="H161" s="14"/>
      <c r="I161" s="24" t="s">
        <v>116</v>
      </c>
      <c r="J161" s="37"/>
      <c r="K161" s="37"/>
      <c r="L161" s="37"/>
      <c r="M161" s="37"/>
      <c r="N161" s="38"/>
      <c r="O161" s="41">
        <v>100000</v>
      </c>
      <c r="P161" s="37"/>
      <c r="Q161" s="37">
        <v>100000</v>
      </c>
      <c r="R161" s="37">
        <v>0</v>
      </c>
      <c r="S161" s="37">
        <v>50000</v>
      </c>
      <c r="T161" s="37">
        <v>0</v>
      </c>
      <c r="U161" s="37">
        <v>0</v>
      </c>
      <c r="V161" s="37">
        <f>VLOOKUP(B161,'[1]INV. 2026'!$B:$J,9,0)</f>
        <v>0</v>
      </c>
      <c r="W161" s="59">
        <f t="shared" si="10"/>
        <v>250000</v>
      </c>
      <c r="X161" s="60">
        <f t="shared" si="8"/>
        <v>0.625</v>
      </c>
      <c r="Y161" s="60">
        <f t="shared" si="11"/>
        <v>3</v>
      </c>
      <c r="Z161" s="60">
        <f t="shared" si="9"/>
        <v>1</v>
      </c>
    </row>
    <row r="162" spans="1:26">
      <c r="A162" s="12">
        <v>158</v>
      </c>
      <c r="B162" s="16" t="s">
        <v>227</v>
      </c>
      <c r="C162" s="16">
        <v>39105075</v>
      </c>
      <c r="D162" s="16"/>
      <c r="E162" s="12"/>
      <c r="F162" s="12"/>
      <c r="G162" s="13"/>
      <c r="H162" s="14"/>
      <c r="I162" s="24" t="s">
        <v>116</v>
      </c>
      <c r="J162" s="37"/>
      <c r="K162" s="37"/>
      <c r="L162" s="37"/>
      <c r="M162" s="37"/>
      <c r="N162" s="38"/>
      <c r="O162" s="41"/>
      <c r="P162" s="37">
        <v>400000</v>
      </c>
      <c r="Q162" s="37"/>
      <c r="R162" s="37">
        <v>0</v>
      </c>
      <c r="S162" s="37">
        <v>0</v>
      </c>
      <c r="T162" s="37">
        <v>0</v>
      </c>
      <c r="U162" s="37">
        <v>0</v>
      </c>
      <c r="V162" s="37">
        <f>VLOOKUP(B162,'[1]INV. 2026'!$B:$J,9,0)</f>
        <v>0</v>
      </c>
      <c r="W162" s="59">
        <f t="shared" si="10"/>
        <v>400000</v>
      </c>
      <c r="X162" s="60">
        <f t="shared" si="8"/>
        <v>1</v>
      </c>
      <c r="Y162" s="60">
        <f t="shared" si="11"/>
        <v>1</v>
      </c>
      <c r="Z162" s="60">
        <f t="shared" si="9"/>
        <v>1</v>
      </c>
    </row>
    <row r="163" spans="1:26">
      <c r="A163" s="12">
        <v>159</v>
      </c>
      <c r="B163" s="16" t="s">
        <v>228</v>
      </c>
      <c r="C163" s="16">
        <v>11785866</v>
      </c>
      <c r="D163" s="16">
        <v>3106178104</v>
      </c>
      <c r="E163" s="12" t="s">
        <v>347</v>
      </c>
      <c r="F163" s="12"/>
      <c r="G163" s="13"/>
      <c r="H163" s="14"/>
      <c r="I163" s="24" t="s">
        <v>116</v>
      </c>
      <c r="J163" s="37"/>
      <c r="K163" s="37"/>
      <c r="L163" s="37"/>
      <c r="M163" s="37"/>
      <c r="N163" s="38"/>
      <c r="O163" s="41"/>
      <c r="P163" s="37">
        <v>400000</v>
      </c>
      <c r="Q163" s="37">
        <v>400000</v>
      </c>
      <c r="R163" s="37">
        <v>800000</v>
      </c>
      <c r="S163" s="37">
        <v>0</v>
      </c>
      <c r="T163" s="37">
        <v>400000</v>
      </c>
      <c r="U163" s="37">
        <v>400000</v>
      </c>
      <c r="V163" s="37">
        <f>VLOOKUP(B163,'[1]INV. 2026'!$B:$J,9,0)</f>
        <v>400000</v>
      </c>
      <c r="W163" s="59">
        <f t="shared" si="10"/>
        <v>2800000</v>
      </c>
      <c r="X163" s="60">
        <f t="shared" si="8"/>
        <v>7</v>
      </c>
      <c r="Y163" s="60">
        <f t="shared" si="11"/>
        <v>6</v>
      </c>
      <c r="Z163" s="60">
        <f t="shared" si="9"/>
        <v>7</v>
      </c>
    </row>
    <row r="164" spans="1:26">
      <c r="A164" s="12">
        <v>160</v>
      </c>
      <c r="B164" s="16" t="s">
        <v>229</v>
      </c>
      <c r="C164" s="16"/>
      <c r="D164" s="16"/>
      <c r="E164" s="12" t="s">
        <v>230</v>
      </c>
      <c r="F164" s="12"/>
      <c r="G164" s="13"/>
      <c r="H164" s="14"/>
      <c r="I164" s="24" t="s">
        <v>116</v>
      </c>
      <c r="J164" s="37"/>
      <c r="K164" s="37"/>
      <c r="L164" s="37"/>
      <c r="M164" s="37"/>
      <c r="N164" s="38"/>
      <c r="O164" s="41"/>
      <c r="P164" s="39">
        <v>400000</v>
      </c>
      <c r="Q164" s="37"/>
      <c r="R164" s="37">
        <v>0</v>
      </c>
      <c r="S164" s="37">
        <v>0</v>
      </c>
      <c r="T164" s="37">
        <v>0</v>
      </c>
      <c r="U164" s="37">
        <v>0</v>
      </c>
      <c r="V164" s="37">
        <f>VLOOKUP(B164,'[1]INV. 2026'!$B:$J,9,0)</f>
        <v>0</v>
      </c>
      <c r="W164" s="59">
        <f t="shared" si="10"/>
        <v>400000</v>
      </c>
      <c r="X164" s="60">
        <f t="shared" si="8"/>
        <v>1</v>
      </c>
      <c r="Y164" s="60">
        <f t="shared" si="11"/>
        <v>1</v>
      </c>
      <c r="Z164" s="60">
        <f t="shared" si="9"/>
        <v>1</v>
      </c>
    </row>
    <row r="165" spans="1:26">
      <c r="A165" s="12">
        <v>161</v>
      </c>
      <c r="B165" s="16" t="s">
        <v>232</v>
      </c>
      <c r="C165" s="16"/>
      <c r="D165" s="16"/>
      <c r="E165" s="12"/>
      <c r="F165" s="12"/>
      <c r="G165" s="13"/>
      <c r="H165" s="14"/>
      <c r="I165" s="24" t="s">
        <v>116</v>
      </c>
      <c r="J165" s="37"/>
      <c r="K165" s="37"/>
      <c r="L165" s="37"/>
      <c r="M165" s="37"/>
      <c r="N165" s="38"/>
      <c r="O165" s="41"/>
      <c r="P165" s="39">
        <v>400000</v>
      </c>
      <c r="Q165" s="37"/>
      <c r="R165" s="37">
        <v>0</v>
      </c>
      <c r="S165" s="37">
        <v>0</v>
      </c>
      <c r="T165" s="37">
        <v>0</v>
      </c>
      <c r="U165" s="37">
        <v>0</v>
      </c>
      <c r="V165" s="37">
        <f>VLOOKUP(B165,'[1]INV. 2026'!$B:$J,9,0)</f>
        <v>0</v>
      </c>
      <c r="W165" s="59">
        <f t="shared" si="10"/>
        <v>400000</v>
      </c>
      <c r="X165" s="60">
        <f t="shared" si="8"/>
        <v>1</v>
      </c>
      <c r="Y165" s="60">
        <f t="shared" si="11"/>
        <v>1</v>
      </c>
      <c r="Z165" s="60">
        <f t="shared" si="9"/>
        <v>1</v>
      </c>
    </row>
    <row r="166" spans="1:26">
      <c r="A166" s="12">
        <v>162</v>
      </c>
      <c r="B166" s="12" t="s">
        <v>233</v>
      </c>
      <c r="C166" s="12">
        <v>88311237</v>
      </c>
      <c r="D166" s="12">
        <v>3157844390</v>
      </c>
      <c r="E166" s="12" t="s">
        <v>239</v>
      </c>
      <c r="F166" s="12"/>
      <c r="G166" s="12"/>
      <c r="H166" s="12"/>
      <c r="I166" s="24" t="s">
        <v>116</v>
      </c>
      <c r="J166" s="37"/>
      <c r="K166" s="37"/>
      <c r="L166" s="37"/>
      <c r="M166" s="37"/>
      <c r="N166" s="38"/>
      <c r="O166" s="41"/>
      <c r="P166" s="39">
        <v>100000</v>
      </c>
      <c r="Q166" s="37"/>
      <c r="R166" s="37">
        <v>0</v>
      </c>
      <c r="S166" s="37">
        <v>0</v>
      </c>
      <c r="T166" s="37">
        <v>400000</v>
      </c>
      <c r="U166" s="37">
        <v>400000</v>
      </c>
      <c r="V166" s="37">
        <f>VLOOKUP(B166,'[1]INV. 2026'!$B:$J,9,0)</f>
        <v>400000</v>
      </c>
      <c r="W166" s="59">
        <f t="shared" si="10"/>
        <v>1300000</v>
      </c>
      <c r="X166" s="60">
        <f t="shared" si="8"/>
        <v>3.25</v>
      </c>
      <c r="Y166" s="60">
        <f t="shared" si="11"/>
        <v>4</v>
      </c>
      <c r="Z166" s="60">
        <f t="shared" si="9"/>
        <v>4</v>
      </c>
    </row>
    <row r="167" spans="1:26">
      <c r="A167" s="12">
        <v>163</v>
      </c>
      <c r="B167" s="12" t="s">
        <v>234</v>
      </c>
      <c r="C167" s="12">
        <v>109042290</v>
      </c>
      <c r="D167" s="12"/>
      <c r="E167" s="12"/>
      <c r="F167" s="12"/>
      <c r="G167" s="12"/>
      <c r="H167" s="12"/>
      <c r="I167" s="24" t="s">
        <v>116</v>
      </c>
      <c r="J167" s="37"/>
      <c r="K167" s="37"/>
      <c r="L167" s="37"/>
      <c r="M167" s="37"/>
      <c r="N167" s="38"/>
      <c r="O167" s="41"/>
      <c r="P167" s="39">
        <v>100000</v>
      </c>
      <c r="Q167" s="37"/>
      <c r="R167" s="37">
        <v>0</v>
      </c>
      <c r="S167" s="37">
        <v>0</v>
      </c>
      <c r="T167" s="37">
        <v>0</v>
      </c>
      <c r="U167" s="37">
        <v>0</v>
      </c>
      <c r="V167" s="37">
        <f>VLOOKUP(B167,'[1]INV. 2026'!$B:$J,9,0)</f>
        <v>0</v>
      </c>
      <c r="W167" s="59">
        <f t="shared" si="10"/>
        <v>100000</v>
      </c>
      <c r="X167" s="60">
        <f t="shared" si="8"/>
        <v>0.25</v>
      </c>
      <c r="Y167" s="60">
        <f t="shared" si="11"/>
        <v>1</v>
      </c>
      <c r="Z167" s="60">
        <f t="shared" si="9"/>
        <v>1</v>
      </c>
    </row>
    <row r="168" spans="1:26">
      <c r="A168" s="12">
        <v>164</v>
      </c>
      <c r="B168" s="12" t="s">
        <v>235</v>
      </c>
      <c r="C168" s="12">
        <v>10937503</v>
      </c>
      <c r="D168" s="12"/>
      <c r="E168" s="12"/>
      <c r="F168" s="12"/>
      <c r="G168" s="12"/>
      <c r="H168" s="12"/>
      <c r="I168" s="24" t="s">
        <v>116</v>
      </c>
      <c r="J168" s="37"/>
      <c r="K168" s="37"/>
      <c r="L168" s="37"/>
      <c r="M168" s="37"/>
      <c r="N168" s="38"/>
      <c r="O168" s="41"/>
      <c r="P168" s="39">
        <v>100000</v>
      </c>
      <c r="Q168" s="37"/>
      <c r="R168" s="37">
        <v>0</v>
      </c>
      <c r="S168" s="37">
        <v>0</v>
      </c>
      <c r="T168" s="37">
        <v>0</v>
      </c>
      <c r="U168" s="37">
        <v>0</v>
      </c>
      <c r="V168" s="37">
        <f>VLOOKUP(B168,'[1]INV. 2026'!$B:$J,9,0)</f>
        <v>0</v>
      </c>
      <c r="W168" s="59">
        <f t="shared" si="10"/>
        <v>100000</v>
      </c>
      <c r="X168" s="60">
        <f t="shared" si="8"/>
        <v>0.25</v>
      </c>
      <c r="Y168" s="60">
        <f t="shared" si="11"/>
        <v>1</v>
      </c>
      <c r="Z168" s="60">
        <f t="shared" si="9"/>
        <v>1</v>
      </c>
    </row>
    <row r="169" spans="1:26">
      <c r="A169" s="12">
        <v>165</v>
      </c>
      <c r="B169" s="12" t="s">
        <v>236</v>
      </c>
      <c r="C169" s="12">
        <v>60442867</v>
      </c>
      <c r="D169" s="12"/>
      <c r="E169" s="12"/>
      <c r="F169" s="12"/>
      <c r="G169" s="12"/>
      <c r="H169" s="12"/>
      <c r="I169" s="25" t="s">
        <v>116</v>
      </c>
      <c r="J169" s="37"/>
      <c r="K169" s="37"/>
      <c r="L169" s="37"/>
      <c r="M169" s="37"/>
      <c r="N169" s="38"/>
      <c r="O169" s="41"/>
      <c r="P169" s="39">
        <v>500000</v>
      </c>
      <c r="Q169" s="37"/>
      <c r="R169" s="37">
        <v>400000</v>
      </c>
      <c r="S169" s="37">
        <v>0</v>
      </c>
      <c r="T169" s="37">
        <v>0</v>
      </c>
      <c r="U169" s="37">
        <v>0</v>
      </c>
      <c r="V169" s="37">
        <f>VLOOKUP(B169,'[1]INV. 2026'!$B:$J,9,0)</f>
        <v>0</v>
      </c>
      <c r="W169" s="59">
        <f t="shared" si="10"/>
        <v>900000</v>
      </c>
      <c r="X169" s="60">
        <f t="shared" si="8"/>
        <v>2.25</v>
      </c>
      <c r="Y169" s="60">
        <f t="shared" si="11"/>
        <v>2</v>
      </c>
      <c r="Z169" s="60">
        <f t="shared" si="9"/>
        <v>3</v>
      </c>
    </row>
    <row r="170" spans="1:26">
      <c r="A170" s="12">
        <v>166</v>
      </c>
      <c r="B170" s="16" t="s">
        <v>238</v>
      </c>
      <c r="C170" s="12">
        <v>1090397309</v>
      </c>
      <c r="D170" s="16"/>
      <c r="E170" s="12" t="s">
        <v>239</v>
      </c>
      <c r="F170" s="12"/>
      <c r="G170" s="13"/>
      <c r="H170" s="14"/>
      <c r="I170" s="24" t="s">
        <v>116</v>
      </c>
      <c r="J170" s="37"/>
      <c r="K170" s="37"/>
      <c r="L170" s="37"/>
      <c r="M170" s="37"/>
      <c r="N170" s="38"/>
      <c r="O170" s="41"/>
      <c r="P170" s="39">
        <v>400000</v>
      </c>
      <c r="Q170" s="37"/>
      <c r="R170" s="37">
        <v>0</v>
      </c>
      <c r="S170" s="37">
        <v>400000</v>
      </c>
      <c r="T170" s="37">
        <v>0</v>
      </c>
      <c r="U170" s="37">
        <v>0</v>
      </c>
      <c r="V170" s="37">
        <f>VLOOKUP(B170,'[1]INV. 2026'!$B:$J,9,0)</f>
        <v>0</v>
      </c>
      <c r="W170" s="59">
        <f t="shared" si="10"/>
        <v>800000</v>
      </c>
      <c r="X170" s="60">
        <f t="shared" si="8"/>
        <v>2</v>
      </c>
      <c r="Y170" s="60">
        <f t="shared" si="11"/>
        <v>2</v>
      </c>
      <c r="Z170" s="60">
        <f t="shared" si="9"/>
        <v>2</v>
      </c>
    </row>
    <row r="171" spans="1:26">
      <c r="A171" s="12">
        <v>167</v>
      </c>
      <c r="B171" s="16" t="s">
        <v>240</v>
      </c>
      <c r="C171" s="16"/>
      <c r="D171" s="16"/>
      <c r="E171" s="12" t="s">
        <v>618</v>
      </c>
      <c r="F171" s="12"/>
      <c r="G171" s="13"/>
      <c r="H171" s="14"/>
      <c r="I171" s="24" t="s">
        <v>116</v>
      </c>
      <c r="J171" s="37"/>
      <c r="K171" s="37"/>
      <c r="L171" s="37"/>
      <c r="M171" s="37"/>
      <c r="N171" s="38"/>
      <c r="O171" s="41"/>
      <c r="P171" s="39">
        <v>450000</v>
      </c>
      <c r="Q171" s="37"/>
      <c r="R171" s="37">
        <v>0</v>
      </c>
      <c r="S171" s="37">
        <v>0</v>
      </c>
      <c r="T171" s="37">
        <v>0</v>
      </c>
      <c r="U171" s="37">
        <v>500000</v>
      </c>
      <c r="V171" s="37">
        <f>VLOOKUP(B171,'[1]INV. 2026'!$B:$J,9,0)</f>
        <v>0</v>
      </c>
      <c r="W171" s="59">
        <f t="shared" si="10"/>
        <v>950000</v>
      </c>
      <c r="X171" s="60">
        <f t="shared" si="8"/>
        <v>2.375</v>
      </c>
      <c r="Y171" s="60">
        <f t="shared" si="11"/>
        <v>2</v>
      </c>
      <c r="Z171" s="60">
        <f t="shared" si="9"/>
        <v>3</v>
      </c>
    </row>
    <row r="172" spans="1:26">
      <c r="A172" s="12">
        <v>168</v>
      </c>
      <c r="B172" s="16" t="s">
        <v>241</v>
      </c>
      <c r="C172" s="16">
        <v>1093786204</v>
      </c>
      <c r="D172" s="16">
        <v>3212596253</v>
      </c>
      <c r="E172" s="12" t="s">
        <v>239</v>
      </c>
      <c r="F172" s="12"/>
      <c r="G172" s="13"/>
      <c r="H172" s="14"/>
      <c r="I172" s="24" t="s">
        <v>116</v>
      </c>
      <c r="J172" s="37"/>
      <c r="K172" s="37"/>
      <c r="L172" s="37"/>
      <c r="M172" s="37"/>
      <c r="N172" s="38"/>
      <c r="O172" s="41"/>
      <c r="P172" s="39">
        <v>400000</v>
      </c>
      <c r="Q172" s="37"/>
      <c r="R172" s="37">
        <v>400000</v>
      </c>
      <c r="S172" s="37">
        <v>400000</v>
      </c>
      <c r="T172" s="37">
        <v>600000</v>
      </c>
      <c r="U172" s="37">
        <v>600000</v>
      </c>
      <c r="V172" s="37">
        <f>VLOOKUP(B172,'[1]INV. 2026'!$B:$J,9,0)</f>
        <v>0</v>
      </c>
      <c r="W172" s="59">
        <f t="shared" si="10"/>
        <v>2400000</v>
      </c>
      <c r="X172" s="60">
        <f t="shared" si="8"/>
        <v>6</v>
      </c>
      <c r="Y172" s="60">
        <f t="shared" si="11"/>
        <v>5</v>
      </c>
      <c r="Z172" s="60">
        <f t="shared" si="9"/>
        <v>6</v>
      </c>
    </row>
    <row r="173" spans="1:26">
      <c r="A173" s="12">
        <v>169</v>
      </c>
      <c r="B173" s="16" t="s">
        <v>242</v>
      </c>
      <c r="C173" s="16"/>
      <c r="D173" s="16"/>
      <c r="E173" s="12" t="s">
        <v>565</v>
      </c>
      <c r="F173" s="12"/>
      <c r="G173" s="13"/>
      <c r="H173" s="14"/>
      <c r="I173" s="24" t="s">
        <v>116</v>
      </c>
      <c r="J173" s="37"/>
      <c r="K173" s="37"/>
      <c r="L173" s="37"/>
      <c r="M173" s="37"/>
      <c r="N173" s="38"/>
      <c r="O173" s="41"/>
      <c r="P173" s="39">
        <v>400000</v>
      </c>
      <c r="Q173" s="37"/>
      <c r="R173" s="37">
        <v>0</v>
      </c>
      <c r="S173" s="37">
        <v>0</v>
      </c>
      <c r="T173" s="37">
        <v>0</v>
      </c>
      <c r="U173" s="37">
        <v>0</v>
      </c>
      <c r="V173" s="37">
        <f>VLOOKUP(B173,'[1]INV. 2026'!$B:$J,9,0)</f>
        <v>0</v>
      </c>
      <c r="W173" s="59">
        <f t="shared" si="10"/>
        <v>400000</v>
      </c>
      <c r="X173" s="60">
        <f t="shared" si="8"/>
        <v>1</v>
      </c>
      <c r="Y173" s="60">
        <f t="shared" si="11"/>
        <v>1</v>
      </c>
      <c r="Z173" s="60">
        <f t="shared" si="9"/>
        <v>1</v>
      </c>
    </row>
    <row r="174" spans="1:26">
      <c r="A174" s="12">
        <v>170</v>
      </c>
      <c r="B174" s="16" t="s">
        <v>246</v>
      </c>
      <c r="C174" s="16"/>
      <c r="D174" s="16"/>
      <c r="E174" s="12" t="s">
        <v>619</v>
      </c>
      <c r="F174" s="12"/>
      <c r="G174" s="13"/>
      <c r="H174" s="14"/>
      <c r="I174" s="24" t="s">
        <v>116</v>
      </c>
      <c r="J174" s="37"/>
      <c r="K174" s="37"/>
      <c r="L174" s="37"/>
      <c r="M174" s="37"/>
      <c r="N174" s="38"/>
      <c r="O174" s="41"/>
      <c r="P174" s="39">
        <v>400000</v>
      </c>
      <c r="Q174" s="37">
        <v>400000</v>
      </c>
      <c r="R174" s="37">
        <v>800000</v>
      </c>
      <c r="S174" s="37">
        <v>800000</v>
      </c>
      <c r="T174" s="37">
        <v>400000</v>
      </c>
      <c r="U174" s="37">
        <v>800000</v>
      </c>
      <c r="V174" s="37">
        <f>VLOOKUP(B174,'[1]INV. 2026'!$B:$J,9,0)</f>
        <v>0</v>
      </c>
      <c r="W174" s="59">
        <f t="shared" si="10"/>
        <v>3600000</v>
      </c>
      <c r="X174" s="60">
        <f t="shared" si="8"/>
        <v>9</v>
      </c>
      <c r="Y174" s="60">
        <f t="shared" si="11"/>
        <v>6</v>
      </c>
      <c r="Z174" s="60">
        <f t="shared" si="9"/>
        <v>9</v>
      </c>
    </row>
    <row r="175" spans="1:26">
      <c r="A175" s="12">
        <v>171</v>
      </c>
      <c r="B175" s="16" t="s">
        <v>247</v>
      </c>
      <c r="C175" s="16">
        <v>79772077</v>
      </c>
      <c r="D175" s="16"/>
      <c r="E175" s="12" t="s">
        <v>565</v>
      </c>
      <c r="F175" s="12"/>
      <c r="G175" s="13"/>
      <c r="H175" s="14"/>
      <c r="I175" s="24" t="s">
        <v>116</v>
      </c>
      <c r="J175" s="37"/>
      <c r="K175" s="37"/>
      <c r="L175" s="37"/>
      <c r="M175" s="37"/>
      <c r="N175" s="38"/>
      <c r="O175" s="41"/>
      <c r="P175" s="39">
        <v>400000</v>
      </c>
      <c r="Q175" s="37"/>
      <c r="R175" s="37">
        <v>400000</v>
      </c>
      <c r="S175" s="37">
        <v>400000</v>
      </c>
      <c r="T175" s="37">
        <v>0</v>
      </c>
      <c r="U175" s="37">
        <v>0</v>
      </c>
      <c r="V175" s="37">
        <f>VLOOKUP(B175,'[1]INV. 2026'!$B:$J,9,0)</f>
        <v>0</v>
      </c>
      <c r="W175" s="59">
        <f t="shared" si="10"/>
        <v>1200000</v>
      </c>
      <c r="X175" s="60">
        <f t="shared" si="8"/>
        <v>3</v>
      </c>
      <c r="Y175" s="60">
        <f t="shared" si="11"/>
        <v>3</v>
      </c>
      <c r="Z175" s="60">
        <f t="shared" si="9"/>
        <v>3</v>
      </c>
    </row>
    <row r="176" spans="1:26">
      <c r="A176" s="12">
        <v>172</v>
      </c>
      <c r="B176" s="16" t="s">
        <v>248</v>
      </c>
      <c r="C176" s="16">
        <v>1093775115</v>
      </c>
      <c r="D176" s="16"/>
      <c r="E176" s="12"/>
      <c r="F176" s="12"/>
      <c r="G176" s="13"/>
      <c r="H176" s="14"/>
      <c r="I176" s="24" t="s">
        <v>116</v>
      </c>
      <c r="J176" s="37"/>
      <c r="K176" s="37"/>
      <c r="L176" s="37"/>
      <c r="M176" s="37"/>
      <c r="N176" s="38"/>
      <c r="O176" s="41"/>
      <c r="P176" s="39">
        <v>400000</v>
      </c>
      <c r="Q176" s="37"/>
      <c r="R176" s="37">
        <v>0</v>
      </c>
      <c r="S176" s="37">
        <v>800000</v>
      </c>
      <c r="T176" s="37">
        <v>0</v>
      </c>
      <c r="U176" s="37">
        <v>0</v>
      </c>
      <c r="V176" s="37">
        <f>VLOOKUP(B176,'[1]INV. 2026'!$B:$J,9,0)</f>
        <v>0</v>
      </c>
      <c r="W176" s="59">
        <f t="shared" si="10"/>
        <v>1200000</v>
      </c>
      <c r="X176" s="60">
        <f t="shared" si="8"/>
        <v>3</v>
      </c>
      <c r="Y176" s="60">
        <f t="shared" si="11"/>
        <v>2</v>
      </c>
      <c r="Z176" s="60">
        <f t="shared" si="9"/>
        <v>3</v>
      </c>
    </row>
    <row r="177" spans="1:26">
      <c r="A177" s="12">
        <v>173</v>
      </c>
      <c r="B177" s="16" t="s">
        <v>249</v>
      </c>
      <c r="C177" s="16"/>
      <c r="D177" s="16"/>
      <c r="E177" s="12" t="s">
        <v>345</v>
      </c>
      <c r="F177" s="12"/>
      <c r="G177" s="13"/>
      <c r="H177" s="14"/>
      <c r="I177" s="24" t="s">
        <v>116</v>
      </c>
      <c r="J177" s="37"/>
      <c r="K177" s="37"/>
      <c r="L177" s="37"/>
      <c r="M177" s="37"/>
      <c r="N177" s="38"/>
      <c r="O177" s="41"/>
      <c r="P177" s="39">
        <v>400000</v>
      </c>
      <c r="Q177" s="37"/>
      <c r="R177" s="37">
        <v>0</v>
      </c>
      <c r="S177" s="37">
        <v>0</v>
      </c>
      <c r="T177" s="37">
        <v>400000</v>
      </c>
      <c r="U177" s="37">
        <v>400000</v>
      </c>
      <c r="V177" s="37">
        <f>VLOOKUP(B177,'[1]INV. 2026'!$B:$J,9,0)</f>
        <v>0</v>
      </c>
      <c r="W177" s="59">
        <f t="shared" si="10"/>
        <v>1200000</v>
      </c>
      <c r="X177" s="60">
        <f t="shared" si="8"/>
        <v>3</v>
      </c>
      <c r="Y177" s="60">
        <f t="shared" si="11"/>
        <v>3</v>
      </c>
      <c r="Z177" s="60">
        <f t="shared" si="9"/>
        <v>3</v>
      </c>
    </row>
    <row r="178" spans="1:26">
      <c r="A178" s="12">
        <v>174</v>
      </c>
      <c r="B178" s="16" t="s">
        <v>553</v>
      </c>
      <c r="C178" s="16">
        <v>1042767190</v>
      </c>
      <c r="D178" s="16">
        <v>3146496028</v>
      </c>
      <c r="E178" s="12" t="s">
        <v>351</v>
      </c>
      <c r="F178" s="12"/>
      <c r="G178" s="13"/>
      <c r="H178" s="14"/>
      <c r="I178" s="24" t="s">
        <v>116</v>
      </c>
      <c r="J178" s="37"/>
      <c r="K178" s="37"/>
      <c r="L178" s="37"/>
      <c r="M178" s="37"/>
      <c r="N178" s="38"/>
      <c r="O178" s="41"/>
      <c r="P178" s="39">
        <v>400000</v>
      </c>
      <c r="Q178" s="37"/>
      <c r="R178" s="37">
        <v>400000</v>
      </c>
      <c r="S178" s="37">
        <v>600000</v>
      </c>
      <c r="T178" s="37">
        <v>0</v>
      </c>
      <c r="U178" s="37">
        <v>600000</v>
      </c>
      <c r="V178" s="37">
        <f>VLOOKUP(B178,'[1]INV. 2026'!$B:$J,9,0)</f>
        <v>600000</v>
      </c>
      <c r="W178" s="59">
        <f t="shared" si="10"/>
        <v>2600000</v>
      </c>
      <c r="X178" s="60">
        <f t="shared" si="8"/>
        <v>6.5</v>
      </c>
      <c r="Y178" s="60">
        <f t="shared" si="11"/>
        <v>5</v>
      </c>
      <c r="Z178" s="60">
        <f t="shared" si="9"/>
        <v>7</v>
      </c>
    </row>
    <row r="179" spans="1:26">
      <c r="A179" s="12">
        <v>175</v>
      </c>
      <c r="B179" s="16" t="s">
        <v>569</v>
      </c>
      <c r="C179" s="16">
        <v>54252099</v>
      </c>
      <c r="D179" s="16" t="s">
        <v>451</v>
      </c>
      <c r="E179" s="12" t="s">
        <v>347</v>
      </c>
      <c r="F179" s="12"/>
      <c r="G179" s="13"/>
      <c r="H179" s="14"/>
      <c r="I179" s="24" t="s">
        <v>116</v>
      </c>
      <c r="J179" s="37"/>
      <c r="K179" s="37"/>
      <c r="L179" s="37"/>
      <c r="M179" s="37"/>
      <c r="N179" s="38"/>
      <c r="O179" s="41"/>
      <c r="P179" s="39"/>
      <c r="Q179" s="37">
        <v>400000</v>
      </c>
      <c r="R179" s="37">
        <v>0</v>
      </c>
      <c r="S179" s="37">
        <v>0</v>
      </c>
      <c r="T179" s="37">
        <v>400000</v>
      </c>
      <c r="U179" s="37">
        <v>800000</v>
      </c>
      <c r="V179" s="37">
        <f>VLOOKUP(B179,'[1]INV. 2026'!$B:$J,9,0)</f>
        <v>0</v>
      </c>
      <c r="W179" s="59">
        <f t="shared" si="10"/>
        <v>1600000</v>
      </c>
      <c r="X179" s="60">
        <f t="shared" si="8"/>
        <v>4</v>
      </c>
      <c r="Y179" s="60">
        <f t="shared" si="11"/>
        <v>3</v>
      </c>
      <c r="Z179" s="60">
        <f t="shared" si="9"/>
        <v>4</v>
      </c>
    </row>
    <row r="180" spans="1:26">
      <c r="A180" s="12">
        <v>176</v>
      </c>
      <c r="B180" s="16" t="s">
        <v>452</v>
      </c>
      <c r="C180" s="16">
        <v>64543061</v>
      </c>
      <c r="D180" s="16">
        <v>3007191532</v>
      </c>
      <c r="E180" s="12" t="s">
        <v>230</v>
      </c>
      <c r="F180" s="12"/>
      <c r="G180" s="13"/>
      <c r="H180" s="14"/>
      <c r="I180" s="24" t="s">
        <v>116</v>
      </c>
      <c r="J180" s="37"/>
      <c r="K180" s="37"/>
      <c r="L180" s="37"/>
      <c r="M180" s="37"/>
      <c r="N180" s="38"/>
      <c r="O180" s="41"/>
      <c r="P180" s="39"/>
      <c r="Q180" s="37">
        <v>400000</v>
      </c>
      <c r="R180" s="37">
        <v>400000</v>
      </c>
      <c r="S180" s="37">
        <v>400000</v>
      </c>
      <c r="T180" s="37">
        <v>400000</v>
      </c>
      <c r="U180" s="37">
        <v>400000</v>
      </c>
      <c r="V180" s="37">
        <f>VLOOKUP(B180,'[1]INV. 2026'!$B:$J,9,0)</f>
        <v>400000</v>
      </c>
      <c r="W180" s="59">
        <f t="shared" si="10"/>
        <v>2400000</v>
      </c>
      <c r="X180" s="60">
        <f t="shared" si="8"/>
        <v>6</v>
      </c>
      <c r="Y180" s="60">
        <f t="shared" si="11"/>
        <v>6</v>
      </c>
      <c r="Z180" s="60">
        <f t="shared" si="9"/>
        <v>6</v>
      </c>
    </row>
    <row r="181" spans="1:26">
      <c r="A181" s="12">
        <v>177</v>
      </c>
      <c r="B181" s="16" t="s">
        <v>252</v>
      </c>
      <c r="C181" s="16">
        <v>1128051565</v>
      </c>
      <c r="D181" s="16"/>
      <c r="E181" s="12"/>
      <c r="F181" s="12"/>
      <c r="G181" s="13"/>
      <c r="H181" s="14"/>
      <c r="I181" s="24" t="s">
        <v>116</v>
      </c>
      <c r="J181" s="37"/>
      <c r="K181" s="37"/>
      <c r="L181" s="37"/>
      <c r="M181" s="37"/>
      <c r="N181" s="38"/>
      <c r="O181" s="41"/>
      <c r="P181" s="39"/>
      <c r="Q181" s="37">
        <v>400000</v>
      </c>
      <c r="R181" s="37">
        <v>0</v>
      </c>
      <c r="S181" s="37">
        <v>0</v>
      </c>
      <c r="T181" s="37">
        <v>0</v>
      </c>
      <c r="U181" s="37">
        <v>0</v>
      </c>
      <c r="V181" s="37">
        <f>VLOOKUP(B181,'[1]INV. 2026'!$B:$J,9,0)</f>
        <v>0</v>
      </c>
      <c r="W181" s="59">
        <f t="shared" si="10"/>
        <v>400000</v>
      </c>
      <c r="X181" s="60">
        <f t="shared" si="8"/>
        <v>1</v>
      </c>
      <c r="Y181" s="60">
        <f t="shared" si="11"/>
        <v>1</v>
      </c>
      <c r="Z181" s="60">
        <f t="shared" si="9"/>
        <v>1</v>
      </c>
    </row>
    <row r="182" spans="1:26">
      <c r="A182" s="12">
        <v>178</v>
      </c>
      <c r="B182" s="16" t="s">
        <v>282</v>
      </c>
      <c r="C182" s="16">
        <v>98533404</v>
      </c>
      <c r="D182" s="16">
        <v>3016089190</v>
      </c>
      <c r="E182" s="12" t="s">
        <v>253</v>
      </c>
      <c r="F182" s="12"/>
      <c r="G182" s="13"/>
      <c r="H182" s="14"/>
      <c r="I182" s="24" t="s">
        <v>116</v>
      </c>
      <c r="J182" s="37"/>
      <c r="K182" s="37"/>
      <c r="L182" s="37"/>
      <c r="M182" s="37"/>
      <c r="N182" s="38"/>
      <c r="O182" s="41"/>
      <c r="P182" s="39"/>
      <c r="Q182" s="37">
        <v>400000</v>
      </c>
      <c r="R182" s="37">
        <v>400000</v>
      </c>
      <c r="S182" s="37">
        <v>400000</v>
      </c>
      <c r="T182" s="37">
        <v>400000</v>
      </c>
      <c r="U182" s="37">
        <v>400000</v>
      </c>
      <c r="V182" s="37">
        <f>VLOOKUP(B182,'[1]INV. 2026'!$B:$J,9,0)</f>
        <v>400000</v>
      </c>
      <c r="W182" s="59">
        <f t="shared" si="10"/>
        <v>2400000</v>
      </c>
      <c r="X182" s="60">
        <f t="shared" si="8"/>
        <v>6</v>
      </c>
      <c r="Y182" s="60">
        <f t="shared" si="11"/>
        <v>6</v>
      </c>
      <c r="Z182" s="60">
        <f t="shared" si="9"/>
        <v>6</v>
      </c>
    </row>
    <row r="183" spans="1:26">
      <c r="A183" s="12">
        <v>179</v>
      </c>
      <c r="B183" s="16" t="s">
        <v>254</v>
      </c>
      <c r="C183" s="16"/>
      <c r="D183" s="16"/>
      <c r="E183" s="12" t="s">
        <v>465</v>
      </c>
      <c r="F183" s="12"/>
      <c r="G183" s="13"/>
      <c r="H183" s="14"/>
      <c r="I183" s="24" t="s">
        <v>116</v>
      </c>
      <c r="J183" s="37"/>
      <c r="K183" s="37"/>
      <c r="L183" s="37"/>
      <c r="M183" s="37"/>
      <c r="N183" s="38"/>
      <c r="O183" s="41"/>
      <c r="P183" s="39"/>
      <c r="Q183" s="37">
        <v>800000</v>
      </c>
      <c r="R183" s="37">
        <v>0</v>
      </c>
      <c r="S183" s="37">
        <v>800000</v>
      </c>
      <c r="T183" s="37">
        <v>0</v>
      </c>
      <c r="U183" s="37">
        <v>400000</v>
      </c>
      <c r="V183" s="37">
        <f>VLOOKUP(B183,'[1]INV. 2026'!$B:$J,9,0)</f>
        <v>0</v>
      </c>
      <c r="W183" s="59">
        <f t="shared" si="10"/>
        <v>2000000</v>
      </c>
      <c r="X183" s="60">
        <f t="shared" si="8"/>
        <v>5</v>
      </c>
      <c r="Y183" s="60">
        <f t="shared" si="11"/>
        <v>3</v>
      </c>
      <c r="Z183" s="60">
        <f t="shared" si="9"/>
        <v>5</v>
      </c>
    </row>
    <row r="184" spans="1:26">
      <c r="A184" s="12">
        <v>180</v>
      </c>
      <c r="B184" s="16" t="s">
        <v>255</v>
      </c>
      <c r="C184" s="16"/>
      <c r="D184" s="16"/>
      <c r="E184" s="12"/>
      <c r="F184" s="12"/>
      <c r="G184" s="13"/>
      <c r="H184" s="14"/>
      <c r="I184" s="24" t="s">
        <v>116</v>
      </c>
      <c r="J184" s="37"/>
      <c r="K184" s="37"/>
      <c r="L184" s="37"/>
      <c r="M184" s="37"/>
      <c r="N184" s="38"/>
      <c r="O184" s="41"/>
      <c r="P184" s="39"/>
      <c r="Q184" s="37">
        <v>400000</v>
      </c>
      <c r="R184" s="37">
        <v>0</v>
      </c>
      <c r="S184" s="37">
        <v>0</v>
      </c>
      <c r="T184" s="37">
        <v>0</v>
      </c>
      <c r="U184" s="37">
        <v>0</v>
      </c>
      <c r="V184" s="37">
        <f>VLOOKUP(B184,'[1]INV. 2026'!$B:$J,9,0)</f>
        <v>0</v>
      </c>
      <c r="W184" s="59">
        <f t="shared" si="10"/>
        <v>400000</v>
      </c>
      <c r="X184" s="60">
        <f t="shared" si="8"/>
        <v>1</v>
      </c>
      <c r="Y184" s="60">
        <f t="shared" si="11"/>
        <v>1</v>
      </c>
      <c r="Z184" s="60">
        <f t="shared" si="9"/>
        <v>1</v>
      </c>
    </row>
    <row r="185" spans="1:26">
      <c r="A185" s="12">
        <v>181</v>
      </c>
      <c r="B185" s="16" t="s">
        <v>256</v>
      </c>
      <c r="C185" s="16"/>
      <c r="D185" s="16"/>
      <c r="E185" s="12" t="s">
        <v>257</v>
      </c>
      <c r="F185" s="12"/>
      <c r="G185" s="13"/>
      <c r="H185" s="14"/>
      <c r="I185" s="24" t="s">
        <v>116</v>
      </c>
      <c r="J185" s="37"/>
      <c r="K185" s="37"/>
      <c r="L185" s="37"/>
      <c r="M185" s="37"/>
      <c r="N185" s="38"/>
      <c r="O185" s="41"/>
      <c r="P185" s="39"/>
      <c r="Q185" s="37">
        <v>500000</v>
      </c>
      <c r="R185" s="37">
        <v>900000</v>
      </c>
      <c r="S185" s="37">
        <v>0</v>
      </c>
      <c r="T185" s="37">
        <v>0</v>
      </c>
      <c r="U185" s="37">
        <v>0</v>
      </c>
      <c r="V185" s="37">
        <f>VLOOKUP(B185,'[1]INV. 2026'!$B:$J,9,0)</f>
        <v>0</v>
      </c>
      <c r="W185" s="59">
        <f t="shared" si="10"/>
        <v>1400000</v>
      </c>
      <c r="X185" s="60">
        <f t="shared" si="8"/>
        <v>3.5</v>
      </c>
      <c r="Y185" s="60">
        <f t="shared" si="11"/>
        <v>2</v>
      </c>
      <c r="Z185" s="60">
        <f t="shared" si="9"/>
        <v>4</v>
      </c>
    </row>
    <row r="186" spans="1:26">
      <c r="A186" s="12">
        <v>182</v>
      </c>
      <c r="B186" s="16" t="s">
        <v>258</v>
      </c>
      <c r="C186" s="16"/>
      <c r="D186" s="16"/>
      <c r="E186" s="12"/>
      <c r="F186" s="12"/>
      <c r="G186" s="13"/>
      <c r="H186" s="14"/>
      <c r="I186" s="24" t="s">
        <v>116</v>
      </c>
      <c r="J186" s="37"/>
      <c r="K186" s="37"/>
      <c r="L186" s="37"/>
      <c r="M186" s="37"/>
      <c r="N186" s="38"/>
      <c r="O186" s="41"/>
      <c r="P186" s="39"/>
      <c r="Q186" s="37">
        <v>600000</v>
      </c>
      <c r="R186" s="37">
        <v>0</v>
      </c>
      <c r="S186" s="37">
        <v>0</v>
      </c>
      <c r="T186" s="37">
        <v>0</v>
      </c>
      <c r="U186" s="37">
        <v>0</v>
      </c>
      <c r="V186" s="37">
        <f>VLOOKUP(B186,'[1]INV. 2026'!$B:$J,9,0)</f>
        <v>0</v>
      </c>
      <c r="W186" s="59">
        <f t="shared" si="10"/>
        <v>600000</v>
      </c>
      <c r="X186" s="60">
        <f t="shared" si="8"/>
        <v>1.5</v>
      </c>
      <c r="Y186" s="60">
        <f t="shared" si="11"/>
        <v>1</v>
      </c>
      <c r="Z186" s="60">
        <f t="shared" si="9"/>
        <v>2</v>
      </c>
    </row>
    <row r="187" spans="1:26">
      <c r="A187" s="12">
        <v>183</v>
      </c>
      <c r="B187" s="16" t="s">
        <v>473</v>
      </c>
      <c r="C187" s="16">
        <v>39302237</v>
      </c>
      <c r="D187" s="16">
        <v>3187333883</v>
      </c>
      <c r="E187" s="12" t="s">
        <v>474</v>
      </c>
      <c r="F187" s="12"/>
      <c r="G187" s="13"/>
      <c r="H187" s="14"/>
      <c r="I187" s="24" t="s">
        <v>116</v>
      </c>
      <c r="J187" s="37"/>
      <c r="K187" s="37"/>
      <c r="L187" s="37"/>
      <c r="M187" s="37"/>
      <c r="N187" s="38"/>
      <c r="O187" s="41"/>
      <c r="P187" s="40"/>
      <c r="Q187" s="37">
        <v>400000</v>
      </c>
      <c r="R187" s="37">
        <v>400000</v>
      </c>
      <c r="S187" s="37">
        <v>400000</v>
      </c>
      <c r="T187" s="37">
        <v>400000</v>
      </c>
      <c r="U187" s="37">
        <v>400000</v>
      </c>
      <c r="V187" s="37">
        <f>VLOOKUP(B187,'[1]INV. 2026'!$B:$J,9,0)</f>
        <v>400000</v>
      </c>
      <c r="W187" s="59">
        <f t="shared" si="10"/>
        <v>2400000</v>
      </c>
      <c r="X187" s="60">
        <f t="shared" si="8"/>
        <v>6</v>
      </c>
      <c r="Y187" s="60">
        <f t="shared" si="11"/>
        <v>6</v>
      </c>
      <c r="Z187" s="60">
        <f t="shared" si="9"/>
        <v>6</v>
      </c>
    </row>
    <row r="188" spans="1:26">
      <c r="A188" s="12">
        <v>184</v>
      </c>
      <c r="B188" s="16" t="s">
        <v>259</v>
      </c>
      <c r="C188" s="12"/>
      <c r="D188" s="16"/>
      <c r="E188" s="12"/>
      <c r="F188" s="12"/>
      <c r="G188" s="13"/>
      <c r="H188" s="14"/>
      <c r="I188" s="24" t="s">
        <v>116</v>
      </c>
      <c r="J188" s="37"/>
      <c r="K188" s="37"/>
      <c r="L188" s="37"/>
      <c r="M188" s="37"/>
      <c r="N188" s="38"/>
      <c r="O188" s="41"/>
      <c r="P188" s="40"/>
      <c r="Q188" s="39">
        <v>70000</v>
      </c>
      <c r="R188" s="37">
        <v>0</v>
      </c>
      <c r="S188" s="37">
        <v>0</v>
      </c>
      <c r="T188" s="37">
        <v>0</v>
      </c>
      <c r="U188" s="37">
        <v>0</v>
      </c>
      <c r="V188" s="37">
        <f>VLOOKUP(B188,'[1]INV. 2026'!$B:$J,9,0)</f>
        <v>0</v>
      </c>
      <c r="W188" s="59">
        <f t="shared" si="10"/>
        <v>70000</v>
      </c>
      <c r="X188" s="60">
        <f t="shared" si="8"/>
        <v>0.17499999999999999</v>
      </c>
      <c r="Y188" s="60">
        <f t="shared" si="11"/>
        <v>1</v>
      </c>
      <c r="Z188" s="60">
        <f t="shared" si="9"/>
        <v>1</v>
      </c>
    </row>
    <row r="189" spans="1:26">
      <c r="A189" s="12">
        <v>185</v>
      </c>
      <c r="B189" s="16" t="s">
        <v>261</v>
      </c>
      <c r="C189" s="16">
        <v>49741498</v>
      </c>
      <c r="D189" s="16"/>
      <c r="E189" s="12"/>
      <c r="F189" s="12"/>
      <c r="G189" s="13"/>
      <c r="H189" s="14"/>
      <c r="I189" s="24" t="s">
        <v>116</v>
      </c>
      <c r="J189" s="37"/>
      <c r="K189" s="37"/>
      <c r="L189" s="37"/>
      <c r="M189" s="37"/>
      <c r="N189" s="38"/>
      <c r="O189" s="41"/>
      <c r="P189" s="40"/>
      <c r="Q189" s="39">
        <v>400000</v>
      </c>
      <c r="R189" s="37">
        <v>0</v>
      </c>
      <c r="S189" s="37">
        <v>0</v>
      </c>
      <c r="T189" s="37">
        <v>0</v>
      </c>
      <c r="U189" s="37">
        <v>0</v>
      </c>
      <c r="V189" s="37">
        <f>VLOOKUP(B189,'[1]INV. 2026'!$B:$J,9,0)</f>
        <v>0</v>
      </c>
      <c r="W189" s="59">
        <f t="shared" si="10"/>
        <v>400000</v>
      </c>
      <c r="X189" s="60">
        <f t="shared" si="8"/>
        <v>1</v>
      </c>
      <c r="Y189" s="60">
        <f t="shared" si="11"/>
        <v>1</v>
      </c>
      <c r="Z189" s="60">
        <f t="shared" si="9"/>
        <v>1</v>
      </c>
    </row>
    <row r="190" spans="1:26">
      <c r="A190" s="12">
        <v>186</v>
      </c>
      <c r="B190" s="16" t="s">
        <v>263</v>
      </c>
      <c r="C190" s="16">
        <v>92257868</v>
      </c>
      <c r="D190" s="16">
        <v>3014216556</v>
      </c>
      <c r="E190" s="12" t="s">
        <v>529</v>
      </c>
      <c r="F190" s="12"/>
      <c r="G190" s="13"/>
      <c r="H190" s="14"/>
      <c r="I190" s="24" t="s">
        <v>116</v>
      </c>
      <c r="J190" s="37"/>
      <c r="K190" s="37"/>
      <c r="L190" s="37"/>
      <c r="M190" s="37"/>
      <c r="N190" s="38"/>
      <c r="O190" s="41"/>
      <c r="P190" s="40"/>
      <c r="Q190" s="39">
        <v>800000</v>
      </c>
      <c r="R190" s="37">
        <v>0</v>
      </c>
      <c r="S190" s="37">
        <v>0</v>
      </c>
      <c r="T190" s="37">
        <v>400000</v>
      </c>
      <c r="U190" s="37">
        <v>400000</v>
      </c>
      <c r="V190" s="37">
        <f>VLOOKUP(B190,'[1]INV. 2026'!$B:$J,9,0)</f>
        <v>0</v>
      </c>
      <c r="W190" s="59">
        <f t="shared" si="10"/>
        <v>1600000</v>
      </c>
      <c r="X190" s="60">
        <f t="shared" si="8"/>
        <v>4</v>
      </c>
      <c r="Y190" s="60">
        <f t="shared" si="11"/>
        <v>3</v>
      </c>
      <c r="Z190" s="60">
        <f t="shared" si="9"/>
        <v>4</v>
      </c>
    </row>
    <row r="191" spans="1:26">
      <c r="A191" s="12">
        <v>187</v>
      </c>
      <c r="B191" s="16" t="s">
        <v>268</v>
      </c>
      <c r="C191" s="16">
        <v>12610911</v>
      </c>
      <c r="D191" s="16">
        <v>3102029563</v>
      </c>
      <c r="E191" s="12" t="s">
        <v>253</v>
      </c>
      <c r="F191" s="12"/>
      <c r="G191" s="13"/>
      <c r="H191" s="14"/>
      <c r="I191" s="24" t="s">
        <v>116</v>
      </c>
      <c r="J191" s="37"/>
      <c r="K191" s="37"/>
      <c r="L191" s="37"/>
      <c r="M191" s="37"/>
      <c r="N191" s="38"/>
      <c r="O191" s="41"/>
      <c r="P191" s="40"/>
      <c r="Q191" s="39"/>
      <c r="R191" s="37">
        <v>400000</v>
      </c>
      <c r="S191" s="37">
        <v>400000</v>
      </c>
      <c r="T191" s="37">
        <v>0</v>
      </c>
      <c r="U191" s="37">
        <v>0</v>
      </c>
      <c r="V191" s="37">
        <f>VLOOKUP(B191,'[1]INV. 2026'!$B:$J,9,0)</f>
        <v>0</v>
      </c>
      <c r="W191" s="59">
        <f t="shared" si="10"/>
        <v>800000</v>
      </c>
      <c r="X191" s="60">
        <f t="shared" si="8"/>
        <v>2</v>
      </c>
      <c r="Y191" s="60">
        <f t="shared" si="11"/>
        <v>2</v>
      </c>
      <c r="Z191" s="60">
        <f t="shared" si="9"/>
        <v>2</v>
      </c>
    </row>
    <row r="192" spans="1:26">
      <c r="A192" s="12">
        <v>188</v>
      </c>
      <c r="B192" s="16" t="s">
        <v>269</v>
      </c>
      <c r="C192" s="16"/>
      <c r="D192" s="16"/>
      <c r="E192" s="12"/>
      <c r="F192" s="12"/>
      <c r="G192" s="13"/>
      <c r="H192" s="14"/>
      <c r="I192" s="24" t="s">
        <v>116</v>
      </c>
      <c r="J192" s="37"/>
      <c r="K192" s="37"/>
      <c r="L192" s="37"/>
      <c r="M192" s="37"/>
      <c r="N192" s="38"/>
      <c r="O192" s="41"/>
      <c r="P192" s="40"/>
      <c r="Q192" s="39"/>
      <c r="R192" s="37">
        <v>400000</v>
      </c>
      <c r="S192" s="37">
        <v>0</v>
      </c>
      <c r="T192" s="37">
        <v>0</v>
      </c>
      <c r="U192" s="37">
        <v>0</v>
      </c>
      <c r="V192" s="37">
        <f>VLOOKUP(B192,'[1]INV. 2026'!$B:$J,9,0)</f>
        <v>0</v>
      </c>
      <c r="W192" s="59">
        <f t="shared" si="10"/>
        <v>400000</v>
      </c>
      <c r="X192" s="60">
        <f t="shared" si="8"/>
        <v>1</v>
      </c>
      <c r="Y192" s="60">
        <f t="shared" si="11"/>
        <v>1</v>
      </c>
      <c r="Z192" s="60">
        <f t="shared" si="9"/>
        <v>1</v>
      </c>
    </row>
    <row r="193" spans="1:26">
      <c r="A193" s="12">
        <v>189</v>
      </c>
      <c r="B193" s="16" t="s">
        <v>271</v>
      </c>
      <c r="C193" s="16">
        <v>1093795671</v>
      </c>
      <c r="D193" s="16">
        <v>3202805549</v>
      </c>
      <c r="E193" s="12" t="s">
        <v>239</v>
      </c>
      <c r="F193" s="12"/>
      <c r="G193" s="13"/>
      <c r="H193" s="14"/>
      <c r="I193" s="24" t="s">
        <v>116</v>
      </c>
      <c r="J193" s="37"/>
      <c r="K193" s="37"/>
      <c r="L193" s="37"/>
      <c r="M193" s="37"/>
      <c r="N193" s="38"/>
      <c r="O193" s="41"/>
      <c r="P193" s="40"/>
      <c r="Q193" s="39"/>
      <c r="R193" s="37">
        <v>400000</v>
      </c>
      <c r="S193" s="37">
        <v>0</v>
      </c>
      <c r="T193" s="37">
        <v>0</v>
      </c>
      <c r="U193" s="37">
        <v>800000</v>
      </c>
      <c r="V193" s="37">
        <f>VLOOKUP(B193,'[1]INV. 2026'!$B:$J,9,0)</f>
        <v>0</v>
      </c>
      <c r="W193" s="59">
        <f t="shared" si="10"/>
        <v>1200000</v>
      </c>
      <c r="X193" s="60">
        <f t="shared" si="8"/>
        <v>3</v>
      </c>
      <c r="Y193" s="60">
        <f t="shared" si="11"/>
        <v>2</v>
      </c>
      <c r="Z193" s="60">
        <f t="shared" si="9"/>
        <v>3</v>
      </c>
    </row>
    <row r="194" spans="1:26">
      <c r="A194" s="12">
        <v>190</v>
      </c>
      <c r="B194" s="16" t="s">
        <v>453</v>
      </c>
      <c r="C194" s="16">
        <v>11794402</v>
      </c>
      <c r="D194" s="16">
        <v>3107027375</v>
      </c>
      <c r="E194" s="12" t="s">
        <v>347</v>
      </c>
      <c r="F194" s="12"/>
      <c r="G194" s="13"/>
      <c r="H194" s="14"/>
      <c r="I194" s="24" t="s">
        <v>116</v>
      </c>
      <c r="J194" s="37"/>
      <c r="K194" s="37"/>
      <c r="L194" s="37"/>
      <c r="M194" s="37"/>
      <c r="N194" s="38"/>
      <c r="O194" s="41"/>
      <c r="P194" s="40"/>
      <c r="Q194" s="40"/>
      <c r="R194" s="37">
        <v>800000</v>
      </c>
      <c r="S194" s="37">
        <v>800000</v>
      </c>
      <c r="T194" s="37">
        <v>800000</v>
      </c>
      <c r="U194" s="37">
        <v>800000</v>
      </c>
      <c r="V194" s="37">
        <f>VLOOKUP(B194,'[1]INV. 2026'!$B:$J,9,0)</f>
        <v>800000</v>
      </c>
      <c r="W194" s="59">
        <f t="shared" si="10"/>
        <v>4000000</v>
      </c>
      <c r="X194" s="60">
        <f t="shared" si="8"/>
        <v>10</v>
      </c>
      <c r="Y194" s="60">
        <f t="shared" si="11"/>
        <v>5</v>
      </c>
      <c r="Z194" s="60">
        <f t="shared" si="9"/>
        <v>10</v>
      </c>
    </row>
    <row r="195" spans="1:26">
      <c r="A195" s="12">
        <v>191</v>
      </c>
      <c r="B195" s="16" t="s">
        <v>272</v>
      </c>
      <c r="C195" s="16"/>
      <c r="D195" s="16"/>
      <c r="E195" s="12"/>
      <c r="F195" s="12"/>
      <c r="G195" s="13"/>
      <c r="H195" s="14"/>
      <c r="I195" s="24" t="s">
        <v>116</v>
      </c>
      <c r="J195" s="37"/>
      <c r="K195" s="37"/>
      <c r="L195" s="37"/>
      <c r="M195" s="37"/>
      <c r="N195" s="38"/>
      <c r="O195" s="41"/>
      <c r="P195" s="40"/>
      <c r="Q195" s="40"/>
      <c r="R195" s="37">
        <v>400000</v>
      </c>
      <c r="S195" s="37">
        <v>0</v>
      </c>
      <c r="T195" s="37">
        <v>0</v>
      </c>
      <c r="U195" s="37">
        <v>0</v>
      </c>
      <c r="V195" s="37">
        <f>VLOOKUP(B195,'[1]INV. 2026'!$B:$J,9,0)</f>
        <v>0</v>
      </c>
      <c r="W195" s="59">
        <f t="shared" si="10"/>
        <v>400000</v>
      </c>
      <c r="X195" s="60">
        <f t="shared" si="8"/>
        <v>1</v>
      </c>
      <c r="Y195" s="60">
        <f t="shared" si="11"/>
        <v>1</v>
      </c>
      <c r="Z195" s="60">
        <f t="shared" si="9"/>
        <v>1</v>
      </c>
    </row>
    <row r="196" spans="1:26">
      <c r="A196" s="12">
        <v>192</v>
      </c>
      <c r="B196" s="16" t="s">
        <v>273</v>
      </c>
      <c r="C196" s="16">
        <v>22528383</v>
      </c>
      <c r="D196" s="16"/>
      <c r="E196" s="12" t="s">
        <v>353</v>
      </c>
      <c r="F196" s="12"/>
      <c r="G196" s="13"/>
      <c r="H196" s="14"/>
      <c r="I196" s="24" t="s">
        <v>116</v>
      </c>
      <c r="J196" s="37"/>
      <c r="K196" s="37"/>
      <c r="L196" s="37"/>
      <c r="M196" s="37"/>
      <c r="N196" s="38"/>
      <c r="O196" s="41"/>
      <c r="P196" s="40"/>
      <c r="Q196" s="40"/>
      <c r="R196" s="39">
        <v>400000</v>
      </c>
      <c r="S196" s="37">
        <v>400000</v>
      </c>
      <c r="T196" s="37">
        <v>400000</v>
      </c>
      <c r="U196" s="37">
        <v>400000</v>
      </c>
      <c r="V196" s="37">
        <f>VLOOKUP(B196,'[1]INV. 2026'!$B:$J,9,0)</f>
        <v>400000</v>
      </c>
      <c r="W196" s="59">
        <f t="shared" si="10"/>
        <v>2000000</v>
      </c>
      <c r="X196" s="60">
        <f t="shared" si="8"/>
        <v>5</v>
      </c>
      <c r="Y196" s="60">
        <f t="shared" si="11"/>
        <v>5</v>
      </c>
      <c r="Z196" s="60">
        <f t="shared" si="9"/>
        <v>5</v>
      </c>
    </row>
    <row r="197" spans="1:26">
      <c r="A197" s="12">
        <v>193</v>
      </c>
      <c r="B197" s="16" t="s">
        <v>276</v>
      </c>
      <c r="C197" s="16"/>
      <c r="D197" s="16"/>
      <c r="E197" s="12" t="s">
        <v>257</v>
      </c>
      <c r="F197" s="12"/>
      <c r="G197" s="13"/>
      <c r="H197" s="14"/>
      <c r="I197" s="24" t="s">
        <v>116</v>
      </c>
      <c r="J197" s="37"/>
      <c r="K197" s="37"/>
      <c r="L197" s="37"/>
      <c r="M197" s="37"/>
      <c r="N197" s="38"/>
      <c r="O197" s="41"/>
      <c r="P197" s="40"/>
      <c r="Q197" s="40"/>
      <c r="R197" s="39">
        <v>400000</v>
      </c>
      <c r="S197" s="37">
        <v>400000</v>
      </c>
      <c r="T197" s="37">
        <v>400000</v>
      </c>
      <c r="U197" s="37">
        <v>400000</v>
      </c>
      <c r="V197" s="37">
        <f>VLOOKUP(B197,'[1]INV. 2026'!$B:$J,9,0)</f>
        <v>400000</v>
      </c>
      <c r="W197" s="59">
        <f t="shared" si="10"/>
        <v>2000000</v>
      </c>
      <c r="X197" s="60">
        <f t="shared" ref="X197:X215" si="12">W197/400000</f>
        <v>5</v>
      </c>
      <c r="Y197" s="60">
        <f t="shared" si="11"/>
        <v>5</v>
      </c>
      <c r="Z197" s="60">
        <f t="shared" ref="Z197:Z215" si="13">ROUNDUP(X197,0)</f>
        <v>5</v>
      </c>
    </row>
    <row r="198" spans="1:26">
      <c r="A198" s="12">
        <v>194</v>
      </c>
      <c r="B198" s="16" t="s">
        <v>554</v>
      </c>
      <c r="C198" s="16">
        <v>37315263</v>
      </c>
      <c r="D198" s="16">
        <v>3187750056</v>
      </c>
      <c r="E198" s="12" t="s">
        <v>344</v>
      </c>
      <c r="F198" s="12"/>
      <c r="G198" s="13"/>
      <c r="H198" s="14"/>
      <c r="I198" s="24" t="s">
        <v>116</v>
      </c>
      <c r="J198" s="37"/>
      <c r="K198" s="37"/>
      <c r="L198" s="37"/>
      <c r="M198" s="37"/>
      <c r="N198" s="38"/>
      <c r="O198" s="41"/>
      <c r="P198" s="40"/>
      <c r="Q198" s="40"/>
      <c r="R198" s="37">
        <v>400000</v>
      </c>
      <c r="S198" s="37">
        <v>400000</v>
      </c>
      <c r="T198" s="37">
        <v>0</v>
      </c>
      <c r="U198" s="37">
        <v>800000</v>
      </c>
      <c r="V198" s="37">
        <f>VLOOKUP(B198,'[1]INV. 2026'!$B:$J,9,0)</f>
        <v>0</v>
      </c>
      <c r="W198" s="59">
        <f t="shared" ref="W198:W261" si="14">SUM(J198:V198)</f>
        <v>1600000</v>
      </c>
      <c r="X198" s="60">
        <f t="shared" si="12"/>
        <v>4</v>
      </c>
      <c r="Y198" s="60">
        <f t="shared" ref="Y198:Y261" si="15">COUNTIF(J198:V198,"&gt;0")</f>
        <v>3</v>
      </c>
      <c r="Z198" s="60">
        <f t="shared" si="13"/>
        <v>4</v>
      </c>
    </row>
    <row r="199" spans="1:26">
      <c r="A199" s="12">
        <v>195</v>
      </c>
      <c r="B199" s="16" t="s">
        <v>279</v>
      </c>
      <c r="C199" s="16">
        <v>1067960477</v>
      </c>
      <c r="D199" s="16">
        <v>3196090283</v>
      </c>
      <c r="E199" s="12" t="s">
        <v>230</v>
      </c>
      <c r="F199" s="12"/>
      <c r="G199" s="13"/>
      <c r="H199" s="14"/>
      <c r="I199" s="24" t="s">
        <v>116</v>
      </c>
      <c r="J199" s="37"/>
      <c r="K199" s="37"/>
      <c r="L199" s="37"/>
      <c r="M199" s="37"/>
      <c r="N199" s="38"/>
      <c r="O199" s="41"/>
      <c r="P199" s="40"/>
      <c r="Q199" s="40"/>
      <c r="R199" s="37">
        <v>0</v>
      </c>
      <c r="S199" s="37">
        <v>400000</v>
      </c>
      <c r="T199" s="37">
        <v>400000</v>
      </c>
      <c r="U199" s="37">
        <v>0</v>
      </c>
      <c r="V199" s="37">
        <f>VLOOKUP(B199,'[1]INV. 2026'!$B:$J,9,0)</f>
        <v>0</v>
      </c>
      <c r="W199" s="59">
        <f t="shared" si="14"/>
        <v>800000</v>
      </c>
      <c r="X199" s="60">
        <f t="shared" si="12"/>
        <v>2</v>
      </c>
      <c r="Y199" s="60">
        <f t="shared" si="15"/>
        <v>2</v>
      </c>
      <c r="Z199" s="60">
        <f t="shared" si="13"/>
        <v>2</v>
      </c>
    </row>
    <row r="200" spans="1:26">
      <c r="A200" s="12">
        <v>196</v>
      </c>
      <c r="B200" s="16" t="s">
        <v>454</v>
      </c>
      <c r="C200" s="16">
        <v>1091669219</v>
      </c>
      <c r="D200" s="16">
        <v>3182787563</v>
      </c>
      <c r="E200" s="12" t="s">
        <v>344</v>
      </c>
      <c r="F200" s="12"/>
      <c r="G200" s="13"/>
      <c r="H200" s="14"/>
      <c r="I200" s="24" t="s">
        <v>116</v>
      </c>
      <c r="J200" s="37"/>
      <c r="K200" s="37"/>
      <c r="L200" s="37"/>
      <c r="M200" s="37"/>
      <c r="N200" s="38"/>
      <c r="O200" s="41"/>
      <c r="P200" s="40"/>
      <c r="Q200" s="40"/>
      <c r="R200" s="37">
        <v>0</v>
      </c>
      <c r="S200" s="37">
        <v>400000</v>
      </c>
      <c r="T200" s="37">
        <v>400000</v>
      </c>
      <c r="U200" s="37">
        <v>400000</v>
      </c>
      <c r="V200" s="37">
        <f>VLOOKUP(B200,'[1]INV. 2026'!$B:$J,9,0)</f>
        <v>0</v>
      </c>
      <c r="W200" s="59">
        <f t="shared" si="14"/>
        <v>1200000</v>
      </c>
      <c r="X200" s="60">
        <f t="shared" si="12"/>
        <v>3</v>
      </c>
      <c r="Y200" s="60">
        <f t="shared" si="15"/>
        <v>3</v>
      </c>
      <c r="Z200" s="60">
        <f t="shared" si="13"/>
        <v>3</v>
      </c>
    </row>
    <row r="201" spans="1:26">
      <c r="A201" s="12">
        <v>197</v>
      </c>
      <c r="B201" s="16" t="s">
        <v>280</v>
      </c>
      <c r="C201" s="16"/>
      <c r="D201" s="16"/>
      <c r="E201" s="12"/>
      <c r="F201" s="12"/>
      <c r="G201" s="13"/>
      <c r="H201" s="14"/>
      <c r="I201" s="24" t="s">
        <v>116</v>
      </c>
      <c r="J201" s="37"/>
      <c r="K201" s="37"/>
      <c r="L201" s="37"/>
      <c r="M201" s="37"/>
      <c r="N201" s="38"/>
      <c r="O201" s="41"/>
      <c r="P201" s="40"/>
      <c r="Q201" s="40"/>
      <c r="R201" s="37">
        <v>0</v>
      </c>
      <c r="S201" s="39">
        <v>100000</v>
      </c>
      <c r="T201" s="37">
        <v>0</v>
      </c>
      <c r="U201" s="37">
        <v>0</v>
      </c>
      <c r="V201" s="37">
        <f>VLOOKUP(B201,'[1]INV. 2026'!$B:$J,9,0)</f>
        <v>0</v>
      </c>
      <c r="W201" s="59">
        <f t="shared" si="14"/>
        <v>100000</v>
      </c>
      <c r="X201" s="60">
        <f t="shared" si="12"/>
        <v>0.25</v>
      </c>
      <c r="Y201" s="60">
        <f t="shared" si="15"/>
        <v>1</v>
      </c>
      <c r="Z201" s="60">
        <f t="shared" si="13"/>
        <v>1</v>
      </c>
    </row>
    <row r="202" spans="1:26">
      <c r="A202" s="12">
        <v>198</v>
      </c>
      <c r="B202" s="16" t="s">
        <v>281</v>
      </c>
      <c r="C202" s="16"/>
      <c r="D202" s="16"/>
      <c r="E202" s="12"/>
      <c r="F202" s="12"/>
      <c r="G202" s="13"/>
      <c r="H202" s="14"/>
      <c r="I202" s="24" t="s">
        <v>116</v>
      </c>
      <c r="J202" s="37"/>
      <c r="K202" s="37"/>
      <c r="L202" s="37"/>
      <c r="M202" s="37"/>
      <c r="N202" s="38"/>
      <c r="O202" s="41"/>
      <c r="P202" s="40"/>
      <c r="Q202" s="40"/>
      <c r="R202" s="37">
        <v>0</v>
      </c>
      <c r="S202" s="39">
        <v>400000</v>
      </c>
      <c r="T202" s="37">
        <v>0</v>
      </c>
      <c r="U202" s="37">
        <v>0</v>
      </c>
      <c r="V202" s="37">
        <f>VLOOKUP(B202,'[1]INV. 2026'!$B:$J,9,0)</f>
        <v>0</v>
      </c>
      <c r="W202" s="59">
        <f t="shared" si="14"/>
        <v>400000</v>
      </c>
      <c r="X202" s="60">
        <f t="shared" si="12"/>
        <v>1</v>
      </c>
      <c r="Y202" s="60">
        <f t="shared" si="15"/>
        <v>1</v>
      </c>
      <c r="Z202" s="60">
        <f t="shared" si="13"/>
        <v>1</v>
      </c>
    </row>
    <row r="203" spans="1:26">
      <c r="A203" s="12">
        <v>199</v>
      </c>
      <c r="B203" s="16" t="s">
        <v>283</v>
      </c>
      <c r="C203" s="16">
        <v>52809513</v>
      </c>
      <c r="D203" s="16">
        <v>3053034243</v>
      </c>
      <c r="E203" s="12" t="s">
        <v>455</v>
      </c>
      <c r="F203" s="12"/>
      <c r="G203" s="13"/>
      <c r="H203" s="14"/>
      <c r="I203" s="24" t="s">
        <v>116</v>
      </c>
      <c r="J203" s="37"/>
      <c r="K203" s="37"/>
      <c r="L203" s="37"/>
      <c r="M203" s="37"/>
      <c r="N203" s="38"/>
      <c r="O203" s="41"/>
      <c r="P203" s="40"/>
      <c r="Q203" s="40"/>
      <c r="R203" s="37">
        <v>0</v>
      </c>
      <c r="S203" s="39">
        <v>400000</v>
      </c>
      <c r="T203" s="37">
        <v>800000</v>
      </c>
      <c r="U203" s="37">
        <v>0</v>
      </c>
      <c r="V203" s="37">
        <f>VLOOKUP(B203,'[1]INV. 2026'!$B:$J,9,0)</f>
        <v>400000</v>
      </c>
      <c r="W203" s="59">
        <f t="shared" si="14"/>
        <v>1600000</v>
      </c>
      <c r="X203" s="60">
        <f t="shared" si="12"/>
        <v>4</v>
      </c>
      <c r="Y203" s="60">
        <f t="shared" si="15"/>
        <v>3</v>
      </c>
      <c r="Z203" s="60">
        <f t="shared" si="13"/>
        <v>4</v>
      </c>
    </row>
    <row r="204" spans="1:26">
      <c r="A204" s="12">
        <v>200</v>
      </c>
      <c r="B204" s="16" t="s">
        <v>284</v>
      </c>
      <c r="C204" s="16">
        <v>71273662</v>
      </c>
      <c r="D204" s="16"/>
      <c r="E204" s="12" t="s">
        <v>352</v>
      </c>
      <c r="F204" s="12"/>
      <c r="G204" s="13"/>
      <c r="H204" s="14"/>
      <c r="I204" s="24" t="s">
        <v>116</v>
      </c>
      <c r="J204" s="37"/>
      <c r="K204" s="37"/>
      <c r="L204" s="37"/>
      <c r="M204" s="37"/>
      <c r="N204" s="38"/>
      <c r="O204" s="41"/>
      <c r="P204" s="40"/>
      <c r="Q204" s="40"/>
      <c r="R204" s="37">
        <v>0</v>
      </c>
      <c r="S204" s="37">
        <v>400000</v>
      </c>
      <c r="T204" s="37">
        <v>0</v>
      </c>
      <c r="U204" s="37">
        <v>0</v>
      </c>
      <c r="V204" s="37" t="e">
        <f>VLOOKUP(B204,'[1]INV. 2026'!$B:$J,9,0)</f>
        <v>#N/A</v>
      </c>
      <c r="W204" s="59" t="e">
        <f t="shared" si="14"/>
        <v>#N/A</v>
      </c>
      <c r="X204" s="60" t="e">
        <f t="shared" si="12"/>
        <v>#N/A</v>
      </c>
      <c r="Y204" s="60">
        <f t="shared" si="15"/>
        <v>1</v>
      </c>
      <c r="Z204" s="60" t="e">
        <f t="shared" si="13"/>
        <v>#N/A</v>
      </c>
    </row>
    <row r="205" spans="1:26">
      <c r="A205" s="12">
        <v>201</v>
      </c>
      <c r="B205" s="16" t="s">
        <v>285</v>
      </c>
      <c r="C205" s="16">
        <v>1091681333</v>
      </c>
      <c r="D205" s="16">
        <v>3158769403</v>
      </c>
      <c r="E205" s="12"/>
      <c r="F205" s="12"/>
      <c r="G205" s="13"/>
      <c r="H205" s="14"/>
      <c r="I205" s="24" t="s">
        <v>116</v>
      </c>
      <c r="J205" s="37"/>
      <c r="K205" s="37"/>
      <c r="L205" s="37"/>
      <c r="M205" s="37"/>
      <c r="N205" s="38"/>
      <c r="O205" s="41"/>
      <c r="P205" s="40"/>
      <c r="Q205" s="40"/>
      <c r="R205" s="37">
        <v>0</v>
      </c>
      <c r="S205" s="37">
        <v>400000</v>
      </c>
      <c r="T205" s="37">
        <v>400000</v>
      </c>
      <c r="U205" s="37">
        <v>0</v>
      </c>
      <c r="V205" s="37">
        <f>VLOOKUP(B205,'[1]INV. 2026'!$B:$J,9,0)</f>
        <v>1200000</v>
      </c>
      <c r="W205" s="59">
        <f t="shared" si="14"/>
        <v>2000000</v>
      </c>
      <c r="X205" s="60">
        <f t="shared" si="12"/>
        <v>5</v>
      </c>
      <c r="Y205" s="60">
        <f t="shared" si="15"/>
        <v>3</v>
      </c>
      <c r="Z205" s="60">
        <f t="shared" si="13"/>
        <v>5</v>
      </c>
    </row>
    <row r="206" spans="1:26">
      <c r="A206" s="12">
        <v>202</v>
      </c>
      <c r="B206" s="16" t="s">
        <v>286</v>
      </c>
      <c r="C206" s="16"/>
      <c r="D206" s="16"/>
      <c r="E206" s="12"/>
      <c r="F206" s="12"/>
      <c r="G206" s="13"/>
      <c r="H206" s="14"/>
      <c r="I206" s="24" t="s">
        <v>116</v>
      </c>
      <c r="J206" s="37"/>
      <c r="K206" s="37"/>
      <c r="L206" s="37"/>
      <c r="M206" s="37"/>
      <c r="N206" s="38"/>
      <c r="O206" s="41"/>
      <c r="P206" s="40"/>
      <c r="Q206" s="40"/>
      <c r="R206" s="37">
        <v>0</v>
      </c>
      <c r="S206" s="37">
        <v>1130000</v>
      </c>
      <c r="T206" s="37">
        <v>0</v>
      </c>
      <c r="U206" s="37">
        <v>0</v>
      </c>
      <c r="V206" s="37">
        <f>VLOOKUP(B206,'[1]INV. 2026'!$B:$J,9,0)</f>
        <v>0</v>
      </c>
      <c r="W206" s="59">
        <f t="shared" si="14"/>
        <v>1130000</v>
      </c>
      <c r="X206" s="60">
        <f t="shared" si="12"/>
        <v>2.8250000000000002</v>
      </c>
      <c r="Y206" s="60">
        <f t="shared" si="15"/>
        <v>1</v>
      </c>
      <c r="Z206" s="60">
        <f t="shared" si="13"/>
        <v>3</v>
      </c>
    </row>
    <row r="207" spans="1:26">
      <c r="A207" s="12">
        <v>203</v>
      </c>
      <c r="B207" s="16" t="s">
        <v>288</v>
      </c>
      <c r="C207" s="16"/>
      <c r="D207" s="16"/>
      <c r="E207" s="12" t="s">
        <v>353</v>
      </c>
      <c r="F207" s="12"/>
      <c r="G207" s="13"/>
      <c r="H207" s="14"/>
      <c r="I207" s="24" t="s">
        <v>116</v>
      </c>
      <c r="J207" s="37"/>
      <c r="K207" s="37"/>
      <c r="L207" s="37"/>
      <c r="M207" s="37"/>
      <c r="N207" s="38"/>
      <c r="O207" s="41"/>
      <c r="P207" s="40"/>
      <c r="Q207" s="40"/>
      <c r="R207" s="37">
        <v>0</v>
      </c>
      <c r="S207" s="37">
        <v>460000</v>
      </c>
      <c r="T207" s="37">
        <v>0</v>
      </c>
      <c r="U207" s="37">
        <v>0</v>
      </c>
      <c r="V207" s="37">
        <f>VLOOKUP(B207,'[1]INV. 2026'!$B:$J,9,0)</f>
        <v>0</v>
      </c>
      <c r="W207" s="59">
        <f t="shared" si="14"/>
        <v>460000</v>
      </c>
      <c r="X207" s="60">
        <f t="shared" si="12"/>
        <v>1.1499999999999999</v>
      </c>
      <c r="Y207" s="60">
        <f t="shared" si="15"/>
        <v>1</v>
      </c>
      <c r="Z207" s="60">
        <f t="shared" si="13"/>
        <v>2</v>
      </c>
    </row>
    <row r="208" spans="1:26">
      <c r="A208" s="12">
        <v>204</v>
      </c>
      <c r="B208" s="16" t="s">
        <v>289</v>
      </c>
      <c r="C208" s="16" t="s">
        <v>570</v>
      </c>
      <c r="D208" s="16">
        <v>3170295457</v>
      </c>
      <c r="E208" s="12" t="s">
        <v>346</v>
      </c>
      <c r="F208" s="12"/>
      <c r="G208" s="13"/>
      <c r="H208" s="14"/>
      <c r="I208" s="24" t="s">
        <v>116</v>
      </c>
      <c r="J208" s="37"/>
      <c r="K208" s="37"/>
      <c r="L208" s="37"/>
      <c r="M208" s="37"/>
      <c r="N208" s="38"/>
      <c r="O208" s="41"/>
      <c r="P208" s="40"/>
      <c r="Q208" s="40"/>
      <c r="R208" s="37">
        <v>0</v>
      </c>
      <c r="S208" s="37">
        <v>400000</v>
      </c>
      <c r="T208" s="37">
        <v>0</v>
      </c>
      <c r="U208" s="37">
        <v>400000</v>
      </c>
      <c r="V208" s="37">
        <f>VLOOKUP(B208,'[1]INV. 2026'!$B:$J,9,0)</f>
        <v>1200000</v>
      </c>
      <c r="W208" s="59">
        <f t="shared" si="14"/>
        <v>2000000</v>
      </c>
      <c r="X208" s="60">
        <f t="shared" si="12"/>
        <v>5</v>
      </c>
      <c r="Y208" s="60">
        <f t="shared" si="15"/>
        <v>3</v>
      </c>
      <c r="Z208" s="60">
        <f t="shared" si="13"/>
        <v>5</v>
      </c>
    </row>
    <row r="209" spans="1:26">
      <c r="A209" s="12">
        <v>205</v>
      </c>
      <c r="B209" s="16" t="s">
        <v>290</v>
      </c>
      <c r="C209" s="16"/>
      <c r="D209" s="16"/>
      <c r="E209" s="12"/>
      <c r="F209" s="12"/>
      <c r="G209" s="13"/>
      <c r="H209" s="14"/>
      <c r="I209" s="24" t="s">
        <v>116</v>
      </c>
      <c r="J209" s="37"/>
      <c r="K209" s="37"/>
      <c r="L209" s="37"/>
      <c r="M209" s="37"/>
      <c r="N209" s="38"/>
      <c r="O209" s="41"/>
      <c r="P209" s="40"/>
      <c r="Q209" s="40"/>
      <c r="R209" s="37">
        <v>0</v>
      </c>
      <c r="S209" s="37">
        <v>400000</v>
      </c>
      <c r="T209" s="37">
        <v>0</v>
      </c>
      <c r="U209" s="37">
        <v>0</v>
      </c>
      <c r="V209" s="37">
        <f>VLOOKUP(B209,'[1]INV. 2026'!$B:$J,9,0)</f>
        <v>0</v>
      </c>
      <c r="W209" s="59">
        <f t="shared" si="14"/>
        <v>400000</v>
      </c>
      <c r="X209" s="60">
        <f t="shared" si="12"/>
        <v>1</v>
      </c>
      <c r="Y209" s="60">
        <f t="shared" si="15"/>
        <v>1</v>
      </c>
      <c r="Z209" s="60">
        <f t="shared" si="13"/>
        <v>1</v>
      </c>
    </row>
    <row r="210" spans="1:26">
      <c r="A210" s="12">
        <v>206</v>
      </c>
      <c r="B210" s="16" t="s">
        <v>354</v>
      </c>
      <c r="C210" s="16">
        <v>91175909</v>
      </c>
      <c r="D210" s="16">
        <v>3188566515</v>
      </c>
      <c r="E210" s="12" t="s">
        <v>253</v>
      </c>
      <c r="F210" s="12"/>
      <c r="G210" s="13"/>
      <c r="H210" s="14"/>
      <c r="I210" s="24" t="s">
        <v>116</v>
      </c>
      <c r="J210" s="37"/>
      <c r="K210" s="37"/>
      <c r="L210" s="37"/>
      <c r="M210" s="37"/>
      <c r="N210" s="38"/>
      <c r="O210" s="41"/>
      <c r="P210" s="40"/>
      <c r="Q210" s="40"/>
      <c r="R210" s="37">
        <v>0</v>
      </c>
      <c r="S210" s="37">
        <v>800000</v>
      </c>
      <c r="T210" s="37">
        <v>400000</v>
      </c>
      <c r="U210" s="37">
        <v>400000</v>
      </c>
      <c r="V210" s="37">
        <f>VLOOKUP(B210,'[1]INV. 2026'!$B:$J,9,0)</f>
        <v>0</v>
      </c>
      <c r="W210" s="59">
        <f t="shared" si="14"/>
        <v>1600000</v>
      </c>
      <c r="X210" s="60">
        <f t="shared" si="12"/>
        <v>4</v>
      </c>
      <c r="Y210" s="60">
        <f t="shared" si="15"/>
        <v>3</v>
      </c>
      <c r="Z210" s="60">
        <f t="shared" si="13"/>
        <v>4</v>
      </c>
    </row>
    <row r="211" spans="1:26">
      <c r="A211" s="12">
        <v>207</v>
      </c>
      <c r="B211" s="16" t="s">
        <v>355</v>
      </c>
      <c r="C211" s="16">
        <v>15517784</v>
      </c>
      <c r="D211" s="16"/>
      <c r="E211" s="12" t="s">
        <v>356</v>
      </c>
      <c r="F211" s="12"/>
      <c r="G211" s="13"/>
      <c r="H211" s="14"/>
      <c r="I211" s="24" t="s">
        <v>116</v>
      </c>
      <c r="J211" s="37"/>
      <c r="K211" s="37"/>
      <c r="L211" s="37"/>
      <c r="M211" s="37"/>
      <c r="N211" s="38"/>
      <c r="O211" s="41"/>
      <c r="P211" s="40"/>
      <c r="Q211" s="40"/>
      <c r="R211" s="37">
        <v>0</v>
      </c>
      <c r="S211" s="37">
        <v>400000</v>
      </c>
      <c r="T211" s="37">
        <v>400000</v>
      </c>
      <c r="U211" s="37">
        <v>0</v>
      </c>
      <c r="V211" s="37">
        <f>VLOOKUP(B211,'[1]INV. 2026'!$B:$J,9,0)</f>
        <v>0</v>
      </c>
      <c r="W211" s="59">
        <f t="shared" si="14"/>
        <v>800000</v>
      </c>
      <c r="X211" s="60">
        <f t="shared" si="12"/>
        <v>2</v>
      </c>
      <c r="Y211" s="60">
        <f t="shared" si="15"/>
        <v>2</v>
      </c>
      <c r="Z211" s="60">
        <f t="shared" si="13"/>
        <v>2</v>
      </c>
    </row>
    <row r="212" spans="1:26">
      <c r="A212" s="12">
        <v>208</v>
      </c>
      <c r="B212" s="16" t="s">
        <v>357</v>
      </c>
      <c r="C212" s="16">
        <v>1114884317</v>
      </c>
      <c r="D212" s="16">
        <v>3128481002</v>
      </c>
      <c r="E212" s="12" t="s">
        <v>358</v>
      </c>
      <c r="F212" s="12"/>
      <c r="G212" s="13"/>
      <c r="H212" s="14"/>
      <c r="I212" s="24" t="s">
        <v>116</v>
      </c>
      <c r="J212" s="37"/>
      <c r="K212" s="37"/>
      <c r="L212" s="37"/>
      <c r="M212" s="37"/>
      <c r="N212" s="38"/>
      <c r="O212" s="41"/>
      <c r="P212" s="40"/>
      <c r="Q212" s="40"/>
      <c r="R212" s="37">
        <v>0</v>
      </c>
      <c r="S212" s="37">
        <v>400000</v>
      </c>
      <c r="T212" s="37">
        <v>400000</v>
      </c>
      <c r="U212" s="37">
        <v>0</v>
      </c>
      <c r="V212" s="37">
        <f>VLOOKUP(B212,'[1]INV. 2026'!$B:$J,9,0)</f>
        <v>400000</v>
      </c>
      <c r="W212" s="59">
        <f t="shared" si="14"/>
        <v>1200000</v>
      </c>
      <c r="X212" s="60">
        <f t="shared" si="12"/>
        <v>3</v>
      </c>
      <c r="Y212" s="60">
        <f t="shared" si="15"/>
        <v>3</v>
      </c>
      <c r="Z212" s="60">
        <f t="shared" si="13"/>
        <v>3</v>
      </c>
    </row>
    <row r="213" spans="1:26">
      <c r="A213" s="12">
        <v>209</v>
      </c>
      <c r="B213" s="16" t="s">
        <v>359</v>
      </c>
      <c r="C213" s="16">
        <v>49742240</v>
      </c>
      <c r="D213" s="16">
        <v>3207260191</v>
      </c>
      <c r="E213" s="12" t="s">
        <v>358</v>
      </c>
      <c r="F213" s="12"/>
      <c r="G213" s="13"/>
      <c r="H213" s="14"/>
      <c r="I213" s="24" t="s">
        <v>116</v>
      </c>
      <c r="J213" s="37"/>
      <c r="K213" s="37"/>
      <c r="L213" s="37"/>
      <c r="M213" s="37"/>
      <c r="N213" s="38"/>
      <c r="O213" s="41"/>
      <c r="P213" s="40"/>
      <c r="Q213" s="40"/>
      <c r="R213" s="37">
        <v>0</v>
      </c>
      <c r="S213" s="37">
        <v>600000</v>
      </c>
      <c r="T213" s="37">
        <v>0</v>
      </c>
      <c r="U213" s="37">
        <v>400000</v>
      </c>
      <c r="V213" s="37">
        <f>VLOOKUP(B213,'[1]INV. 2026'!$B:$J,9,0)</f>
        <v>0</v>
      </c>
      <c r="W213" s="59">
        <f t="shared" si="14"/>
        <v>1000000</v>
      </c>
      <c r="X213" s="60">
        <f t="shared" si="12"/>
        <v>2.5</v>
      </c>
      <c r="Y213" s="60">
        <f t="shared" si="15"/>
        <v>2</v>
      </c>
      <c r="Z213" s="60">
        <f t="shared" si="13"/>
        <v>3</v>
      </c>
    </row>
    <row r="214" spans="1:26">
      <c r="A214" s="12">
        <v>210</v>
      </c>
      <c r="B214" s="16" t="s">
        <v>360</v>
      </c>
      <c r="C214" s="16">
        <v>1143355775</v>
      </c>
      <c r="D214" s="16">
        <v>3042425180</v>
      </c>
      <c r="E214" s="12" t="s">
        <v>350</v>
      </c>
      <c r="F214" s="12"/>
      <c r="G214" s="13"/>
      <c r="H214" s="14"/>
      <c r="I214" s="24" t="s">
        <v>116</v>
      </c>
      <c r="J214" s="37"/>
      <c r="K214" s="37"/>
      <c r="L214" s="37"/>
      <c r="M214" s="37"/>
      <c r="N214" s="38"/>
      <c r="O214" s="41"/>
      <c r="P214" s="40"/>
      <c r="Q214" s="40"/>
      <c r="R214" s="37">
        <v>0</v>
      </c>
      <c r="S214" s="37">
        <v>400000</v>
      </c>
      <c r="T214" s="37">
        <v>0</v>
      </c>
      <c r="U214" s="37">
        <v>400000</v>
      </c>
      <c r="V214" s="37">
        <f>VLOOKUP(B214,'[1]INV. 2026'!$B:$J,9,0)</f>
        <v>400000</v>
      </c>
      <c r="W214" s="59">
        <f t="shared" si="14"/>
        <v>1200000</v>
      </c>
      <c r="X214" s="60">
        <f t="shared" si="12"/>
        <v>3</v>
      </c>
      <c r="Y214" s="60">
        <f t="shared" si="15"/>
        <v>3</v>
      </c>
      <c r="Z214" s="60">
        <f t="shared" si="13"/>
        <v>3</v>
      </c>
    </row>
    <row r="215" spans="1:26">
      <c r="A215" s="12">
        <v>211</v>
      </c>
      <c r="B215" s="16" t="s">
        <v>456</v>
      </c>
      <c r="C215" s="16">
        <v>1015997321</v>
      </c>
      <c r="D215" s="16">
        <v>3177392885</v>
      </c>
      <c r="E215" s="12" t="s">
        <v>257</v>
      </c>
      <c r="F215" s="12"/>
      <c r="G215" s="13"/>
      <c r="H215" s="14"/>
      <c r="I215" s="24" t="s">
        <v>116</v>
      </c>
      <c r="J215" s="37"/>
      <c r="K215" s="37"/>
      <c r="L215" s="37"/>
      <c r="M215" s="37"/>
      <c r="N215" s="38"/>
      <c r="O215" s="41"/>
      <c r="P215" s="40"/>
      <c r="Q215" s="40"/>
      <c r="R215" s="37">
        <v>0</v>
      </c>
      <c r="S215" s="37">
        <v>0</v>
      </c>
      <c r="T215" s="37">
        <v>400000</v>
      </c>
      <c r="U215" s="37">
        <v>800000</v>
      </c>
      <c r="V215" s="37">
        <f>VLOOKUP(B215,'[1]INV. 2026'!$B:$J,9,0)</f>
        <v>0</v>
      </c>
      <c r="W215" s="59">
        <f t="shared" si="14"/>
        <v>1200000</v>
      </c>
      <c r="X215" s="60">
        <f t="shared" si="12"/>
        <v>3</v>
      </c>
      <c r="Y215" s="60">
        <f t="shared" si="15"/>
        <v>2</v>
      </c>
      <c r="Z215" s="60">
        <f t="shared" si="13"/>
        <v>3</v>
      </c>
    </row>
    <row r="216" spans="1:26">
      <c r="A216" s="12">
        <v>212</v>
      </c>
      <c r="B216" s="16" t="s">
        <v>457</v>
      </c>
      <c r="C216" s="16" t="s">
        <v>458</v>
      </c>
      <c r="D216" s="16">
        <v>3115871915</v>
      </c>
      <c r="E216" s="12" t="s">
        <v>239</v>
      </c>
      <c r="F216" s="12"/>
      <c r="G216" s="13"/>
      <c r="H216" s="14"/>
      <c r="I216" s="24" t="s">
        <v>116</v>
      </c>
      <c r="J216" s="37"/>
      <c r="K216" s="37"/>
      <c r="L216" s="37"/>
      <c r="M216" s="37"/>
      <c r="N216" s="38"/>
      <c r="O216" s="41"/>
      <c r="P216" s="40"/>
      <c r="Q216" s="40"/>
      <c r="R216" s="37">
        <v>0</v>
      </c>
      <c r="S216" s="37">
        <v>0</v>
      </c>
      <c r="T216" s="37">
        <v>400000</v>
      </c>
      <c r="U216" s="37">
        <v>400000</v>
      </c>
      <c r="V216" s="37">
        <f>VLOOKUP(B216,'[1]INV. 2026'!$B:$J,9,0)</f>
        <v>0</v>
      </c>
      <c r="W216" s="59">
        <f t="shared" si="14"/>
        <v>800000</v>
      </c>
      <c r="X216" s="60">
        <f t="shared" ref="X216" si="16">W216/400000</f>
        <v>2</v>
      </c>
      <c r="Y216" s="60">
        <f t="shared" si="15"/>
        <v>2</v>
      </c>
      <c r="Z216" s="60">
        <f t="shared" ref="Z216" si="17">ROUNDUP(X216,0)</f>
        <v>2</v>
      </c>
    </row>
    <row r="217" spans="1:26">
      <c r="A217" s="12">
        <v>213</v>
      </c>
      <c r="B217" s="16" t="s">
        <v>459</v>
      </c>
      <c r="C217" s="16">
        <v>1045737100</v>
      </c>
      <c r="D217" s="16">
        <v>3015184734</v>
      </c>
      <c r="E217" s="12" t="s">
        <v>350</v>
      </c>
      <c r="F217" s="12"/>
      <c r="G217" s="13"/>
      <c r="H217" s="14"/>
      <c r="I217" s="24" t="s">
        <v>116</v>
      </c>
      <c r="J217" s="37"/>
      <c r="K217" s="37"/>
      <c r="L217" s="37"/>
      <c r="M217" s="37"/>
      <c r="N217" s="38"/>
      <c r="O217" s="41"/>
      <c r="P217" s="40"/>
      <c r="Q217" s="40"/>
      <c r="R217" s="37">
        <v>0</v>
      </c>
      <c r="S217" s="37">
        <v>0</v>
      </c>
      <c r="T217" s="37">
        <v>400000</v>
      </c>
      <c r="U217" s="37">
        <v>400000</v>
      </c>
      <c r="V217" s="37">
        <f>VLOOKUP(B217,'[1]INV. 2026'!$B:$J,9,0)</f>
        <v>400000</v>
      </c>
      <c r="W217" s="59">
        <f t="shared" si="14"/>
        <v>1200000</v>
      </c>
      <c r="X217" s="60">
        <f t="shared" ref="X217:X268" si="18">W217/400000</f>
        <v>3</v>
      </c>
      <c r="Y217" s="60">
        <f t="shared" si="15"/>
        <v>3</v>
      </c>
      <c r="Z217" s="60">
        <f t="shared" ref="Z217:Z268" si="19">ROUNDUP(X217,0)</f>
        <v>3</v>
      </c>
    </row>
    <row r="218" spans="1:26">
      <c r="A218" s="12">
        <v>214</v>
      </c>
      <c r="B218" s="16" t="s">
        <v>460</v>
      </c>
      <c r="C218" s="16">
        <v>26258801</v>
      </c>
      <c r="D218" s="16">
        <v>3206877280</v>
      </c>
      <c r="E218" s="12" t="s">
        <v>347</v>
      </c>
      <c r="F218" s="12"/>
      <c r="G218" s="13"/>
      <c r="H218" s="14"/>
      <c r="I218" s="24" t="s">
        <v>116</v>
      </c>
      <c r="J218" s="37"/>
      <c r="K218" s="37"/>
      <c r="L218" s="37"/>
      <c r="M218" s="37"/>
      <c r="N218" s="38"/>
      <c r="O218" s="41"/>
      <c r="P218" s="40"/>
      <c r="Q218" s="40"/>
      <c r="R218" s="37">
        <v>0</v>
      </c>
      <c r="S218" s="37">
        <v>0</v>
      </c>
      <c r="T218" s="37">
        <v>800000</v>
      </c>
      <c r="U218" s="37">
        <v>400000</v>
      </c>
      <c r="V218" s="37">
        <f>VLOOKUP(B218,'[1]INV. 2026'!$B:$J,9,0)</f>
        <v>0</v>
      </c>
      <c r="W218" s="59">
        <f t="shared" si="14"/>
        <v>1200000</v>
      </c>
      <c r="X218" s="60">
        <f t="shared" si="18"/>
        <v>3</v>
      </c>
      <c r="Y218" s="60">
        <f t="shared" si="15"/>
        <v>2</v>
      </c>
      <c r="Z218" s="60">
        <f t="shared" si="19"/>
        <v>3</v>
      </c>
    </row>
    <row r="219" spans="1:26">
      <c r="A219" s="12">
        <v>215</v>
      </c>
      <c r="B219" s="16" t="s">
        <v>461</v>
      </c>
      <c r="C219" s="16">
        <v>88309418</v>
      </c>
      <c r="D219" s="16">
        <v>3203034511</v>
      </c>
      <c r="E219" s="12" t="s">
        <v>239</v>
      </c>
      <c r="F219" s="12"/>
      <c r="G219" s="13"/>
      <c r="H219" s="14"/>
      <c r="I219" s="24" t="s">
        <v>116</v>
      </c>
      <c r="J219" s="37"/>
      <c r="K219" s="37"/>
      <c r="L219" s="37"/>
      <c r="M219" s="37"/>
      <c r="N219" s="38"/>
      <c r="O219" s="41"/>
      <c r="P219" s="40"/>
      <c r="Q219" s="40"/>
      <c r="R219" s="37">
        <v>0</v>
      </c>
      <c r="S219" s="37">
        <v>0</v>
      </c>
      <c r="T219" s="37">
        <v>800000</v>
      </c>
      <c r="U219" s="37">
        <v>0</v>
      </c>
      <c r="V219" s="37">
        <f>VLOOKUP(B219,'[1]INV. 2026'!$B:$J,9,0)</f>
        <v>400000</v>
      </c>
      <c r="W219" s="59">
        <f t="shared" si="14"/>
        <v>1200000</v>
      </c>
      <c r="X219" s="60">
        <f t="shared" si="18"/>
        <v>3</v>
      </c>
      <c r="Y219" s="60">
        <f t="shared" si="15"/>
        <v>2</v>
      </c>
      <c r="Z219" s="60">
        <f t="shared" si="19"/>
        <v>3</v>
      </c>
    </row>
    <row r="220" spans="1:26">
      <c r="A220" s="12">
        <v>216</v>
      </c>
      <c r="B220" s="16" t="s">
        <v>462</v>
      </c>
      <c r="C220" s="16">
        <v>9093848</v>
      </c>
      <c r="D220" s="16">
        <v>3184909196</v>
      </c>
      <c r="E220" s="12" t="s">
        <v>463</v>
      </c>
      <c r="F220" s="12"/>
      <c r="G220" s="13"/>
      <c r="H220" s="14"/>
      <c r="I220" s="24" t="s">
        <v>116</v>
      </c>
      <c r="J220" s="37"/>
      <c r="K220" s="37"/>
      <c r="L220" s="37"/>
      <c r="M220" s="37"/>
      <c r="N220" s="38"/>
      <c r="O220" s="41"/>
      <c r="P220" s="40"/>
      <c r="Q220" s="40"/>
      <c r="R220" s="37">
        <v>0</v>
      </c>
      <c r="S220" s="37">
        <v>0</v>
      </c>
      <c r="T220" s="37">
        <v>250000</v>
      </c>
      <c r="U220" s="37">
        <v>250000</v>
      </c>
      <c r="V220" s="37">
        <f>VLOOKUP(B220,'[1]INV. 2026'!$B:$J,9,0)</f>
        <v>400000</v>
      </c>
      <c r="W220" s="59">
        <f t="shared" si="14"/>
        <v>900000</v>
      </c>
      <c r="X220" s="60">
        <f t="shared" si="18"/>
        <v>2.25</v>
      </c>
      <c r="Y220" s="60">
        <f t="shared" si="15"/>
        <v>3</v>
      </c>
      <c r="Z220" s="60">
        <f t="shared" si="19"/>
        <v>3</v>
      </c>
    </row>
    <row r="221" spans="1:26">
      <c r="A221" s="12">
        <v>217</v>
      </c>
      <c r="B221" s="16" t="s">
        <v>464</v>
      </c>
      <c r="C221" s="16">
        <v>1053798897</v>
      </c>
      <c r="D221" s="16">
        <v>3142872429</v>
      </c>
      <c r="E221" s="12" t="s">
        <v>465</v>
      </c>
      <c r="F221" s="12"/>
      <c r="G221" s="13"/>
      <c r="H221" s="14"/>
      <c r="I221" s="24" t="s">
        <v>116</v>
      </c>
      <c r="J221" s="37"/>
      <c r="K221" s="37"/>
      <c r="L221" s="37"/>
      <c r="M221" s="37"/>
      <c r="N221" s="38"/>
      <c r="O221" s="41"/>
      <c r="P221" s="40"/>
      <c r="Q221" s="40"/>
      <c r="R221" s="37">
        <v>0</v>
      </c>
      <c r="S221" s="37">
        <v>0</v>
      </c>
      <c r="T221" s="37">
        <v>400000</v>
      </c>
      <c r="U221" s="37">
        <v>400000</v>
      </c>
      <c r="V221" s="37">
        <f>VLOOKUP(B221,'[1]INV. 2026'!$B:$J,9,0)</f>
        <v>0</v>
      </c>
      <c r="W221" s="59">
        <f t="shared" si="14"/>
        <v>800000</v>
      </c>
      <c r="X221" s="60">
        <f t="shared" si="18"/>
        <v>2</v>
      </c>
      <c r="Y221" s="60">
        <f t="shared" si="15"/>
        <v>2</v>
      </c>
      <c r="Z221" s="60">
        <f t="shared" si="19"/>
        <v>2</v>
      </c>
    </row>
    <row r="222" spans="1:26">
      <c r="A222" s="12">
        <v>218</v>
      </c>
      <c r="B222" s="16" t="s">
        <v>466</v>
      </c>
      <c r="C222" s="16">
        <v>32556538</v>
      </c>
      <c r="D222" s="16">
        <v>3108936691</v>
      </c>
      <c r="E222" s="12" t="s">
        <v>571</v>
      </c>
      <c r="F222" s="12"/>
      <c r="G222" s="13"/>
      <c r="H222" s="14"/>
      <c r="I222" s="24" t="s">
        <v>116</v>
      </c>
      <c r="J222" s="37"/>
      <c r="K222" s="37"/>
      <c r="L222" s="37"/>
      <c r="M222" s="37"/>
      <c r="N222" s="38"/>
      <c r="O222" s="41"/>
      <c r="P222" s="40"/>
      <c r="Q222" s="40"/>
      <c r="R222" s="37">
        <v>0</v>
      </c>
      <c r="S222" s="37">
        <v>0</v>
      </c>
      <c r="T222" s="37">
        <v>20000</v>
      </c>
      <c r="U222" s="37">
        <v>20000</v>
      </c>
      <c r="V222" s="37">
        <f>VLOOKUP(B222,'[1]INV. 2026'!$B:$J,9,0)</f>
        <v>20000</v>
      </c>
      <c r="W222" s="59">
        <f t="shared" si="14"/>
        <v>60000</v>
      </c>
      <c r="X222" s="60">
        <f t="shared" si="18"/>
        <v>0.15</v>
      </c>
      <c r="Y222" s="60">
        <f t="shared" si="15"/>
        <v>3</v>
      </c>
      <c r="Z222" s="60">
        <f t="shared" si="19"/>
        <v>1</v>
      </c>
    </row>
    <row r="223" spans="1:26">
      <c r="A223" s="12">
        <v>219</v>
      </c>
      <c r="B223" s="16" t="s">
        <v>467</v>
      </c>
      <c r="C223" s="16">
        <v>28967914</v>
      </c>
      <c r="D223" s="16">
        <v>336684935</v>
      </c>
      <c r="E223" s="12" t="s">
        <v>468</v>
      </c>
      <c r="F223" s="12"/>
      <c r="G223" s="13"/>
      <c r="H223" s="14"/>
      <c r="I223" s="24" t="s">
        <v>116</v>
      </c>
      <c r="J223" s="37"/>
      <c r="K223" s="37"/>
      <c r="L223" s="37"/>
      <c r="M223" s="37"/>
      <c r="N223" s="38"/>
      <c r="O223" s="41"/>
      <c r="P223" s="40"/>
      <c r="Q223" s="40"/>
      <c r="R223" s="37">
        <v>0</v>
      </c>
      <c r="S223" s="37">
        <v>0</v>
      </c>
      <c r="T223" s="37">
        <v>400000</v>
      </c>
      <c r="U223" s="37">
        <v>0</v>
      </c>
      <c r="V223" s="37">
        <f>VLOOKUP(B223,'[1]INV. 2026'!$B:$J,9,0)</f>
        <v>0</v>
      </c>
      <c r="W223" s="59">
        <f t="shared" si="14"/>
        <v>400000</v>
      </c>
      <c r="X223" s="60">
        <f t="shared" si="18"/>
        <v>1</v>
      </c>
      <c r="Y223" s="60">
        <f t="shared" si="15"/>
        <v>1</v>
      </c>
      <c r="Z223" s="60">
        <f t="shared" si="19"/>
        <v>1</v>
      </c>
    </row>
    <row r="224" spans="1:26">
      <c r="A224" s="12">
        <v>220</v>
      </c>
      <c r="B224" s="16" t="s">
        <v>475</v>
      </c>
      <c r="C224" s="16">
        <v>1094228628</v>
      </c>
      <c r="D224" s="16">
        <v>3124214946</v>
      </c>
      <c r="E224" s="12" t="s">
        <v>239</v>
      </c>
      <c r="F224" s="12"/>
      <c r="G224" s="13"/>
      <c r="H224" s="14"/>
      <c r="I224" s="24" t="s">
        <v>116</v>
      </c>
      <c r="J224" s="37"/>
      <c r="K224" s="37"/>
      <c r="L224" s="37"/>
      <c r="M224" s="37"/>
      <c r="N224" s="38"/>
      <c r="O224" s="41"/>
      <c r="P224" s="40"/>
      <c r="Q224" s="40"/>
      <c r="R224" s="37">
        <v>0</v>
      </c>
      <c r="S224" s="37">
        <v>0</v>
      </c>
      <c r="T224" s="37">
        <v>200000</v>
      </c>
      <c r="U224" s="37">
        <v>200000</v>
      </c>
      <c r="V224" s="37">
        <f>VLOOKUP(B224,'[1]INV. 2026'!$B:$J,9,0)</f>
        <v>200000</v>
      </c>
      <c r="W224" s="59">
        <f t="shared" si="14"/>
        <v>600000</v>
      </c>
      <c r="X224" s="60">
        <f t="shared" si="18"/>
        <v>1.5</v>
      </c>
      <c r="Y224" s="60">
        <f t="shared" si="15"/>
        <v>3</v>
      </c>
      <c r="Z224" s="60">
        <f t="shared" si="19"/>
        <v>2</v>
      </c>
    </row>
    <row r="225" spans="1:26">
      <c r="A225" s="12">
        <v>221</v>
      </c>
      <c r="B225" s="16" t="s">
        <v>476</v>
      </c>
      <c r="C225" s="16">
        <v>88237561</v>
      </c>
      <c r="D225" s="16">
        <v>3204473656</v>
      </c>
      <c r="E225" s="12" t="s">
        <v>239</v>
      </c>
      <c r="F225" s="12"/>
      <c r="G225" s="13"/>
      <c r="H225" s="14"/>
      <c r="I225" s="24" t="s">
        <v>116</v>
      </c>
      <c r="J225" s="37"/>
      <c r="K225" s="37"/>
      <c r="L225" s="37"/>
      <c r="M225" s="37"/>
      <c r="N225" s="38"/>
      <c r="O225" s="41"/>
      <c r="P225" s="40"/>
      <c r="Q225" s="40"/>
      <c r="R225" s="37">
        <v>0</v>
      </c>
      <c r="S225" s="37">
        <v>0</v>
      </c>
      <c r="T225" s="37">
        <v>400000</v>
      </c>
      <c r="U225" s="37">
        <v>400000</v>
      </c>
      <c r="V225" s="37">
        <f>VLOOKUP(B225,'[1]INV. 2026'!$B:$J,9,0)</f>
        <v>400000</v>
      </c>
      <c r="W225" s="59">
        <f t="shared" si="14"/>
        <v>1200000</v>
      </c>
      <c r="X225" s="60">
        <f t="shared" si="18"/>
        <v>3</v>
      </c>
      <c r="Y225" s="60">
        <f t="shared" si="15"/>
        <v>3</v>
      </c>
      <c r="Z225" s="60">
        <f t="shared" si="19"/>
        <v>3</v>
      </c>
    </row>
    <row r="226" spans="1:26">
      <c r="A226" s="12">
        <v>222</v>
      </c>
      <c r="B226" s="16" t="s">
        <v>477</v>
      </c>
      <c r="C226" s="16" t="s">
        <v>478</v>
      </c>
      <c r="D226" s="16">
        <v>3102212862</v>
      </c>
      <c r="E226" s="12" t="s">
        <v>479</v>
      </c>
      <c r="F226" s="12"/>
      <c r="G226" s="13"/>
      <c r="H226" s="14"/>
      <c r="I226" s="24" t="s">
        <v>116</v>
      </c>
      <c r="J226" s="37"/>
      <c r="K226" s="37"/>
      <c r="L226" s="37"/>
      <c r="M226" s="37"/>
      <c r="N226" s="38"/>
      <c r="O226" s="41"/>
      <c r="P226" s="40"/>
      <c r="Q226" s="40"/>
      <c r="R226" s="37">
        <v>0</v>
      </c>
      <c r="S226" s="37">
        <v>0</v>
      </c>
      <c r="T226" s="37">
        <v>400000</v>
      </c>
      <c r="U226" s="37">
        <v>400000</v>
      </c>
      <c r="V226" s="37">
        <f>VLOOKUP(B226,'[1]INV. 2026'!$B:$J,9,0)</f>
        <v>0</v>
      </c>
      <c r="W226" s="59">
        <f t="shared" si="14"/>
        <v>800000</v>
      </c>
      <c r="X226" s="60">
        <f t="shared" si="18"/>
        <v>2</v>
      </c>
      <c r="Y226" s="60">
        <f t="shared" si="15"/>
        <v>2</v>
      </c>
      <c r="Z226" s="60">
        <f t="shared" si="19"/>
        <v>2</v>
      </c>
    </row>
    <row r="227" spans="1:26">
      <c r="A227" s="12">
        <v>223</v>
      </c>
      <c r="B227" s="16" t="s">
        <v>480</v>
      </c>
      <c r="C227" s="16" t="s">
        <v>481</v>
      </c>
      <c r="D227" s="16">
        <v>3173802748</v>
      </c>
      <c r="E227" s="12" t="s">
        <v>479</v>
      </c>
      <c r="F227" s="12"/>
      <c r="G227" s="13"/>
      <c r="H227" s="14"/>
      <c r="I227" s="24" t="s">
        <v>116</v>
      </c>
      <c r="J227" s="37"/>
      <c r="K227" s="37"/>
      <c r="L227" s="37"/>
      <c r="M227" s="37"/>
      <c r="N227" s="38"/>
      <c r="O227" s="41"/>
      <c r="P227" s="40"/>
      <c r="Q227" s="40"/>
      <c r="R227" s="37">
        <v>0</v>
      </c>
      <c r="S227" s="37">
        <v>0</v>
      </c>
      <c r="T227" s="37">
        <v>400000</v>
      </c>
      <c r="U227" s="37">
        <v>400000</v>
      </c>
      <c r="V227" s="37">
        <f>VLOOKUP(B227,'[1]INV. 2026'!$B:$J,9,0)</f>
        <v>0</v>
      </c>
      <c r="W227" s="59">
        <f t="shared" si="14"/>
        <v>800000</v>
      </c>
      <c r="X227" s="60">
        <f t="shared" ref="X227:X243" si="20">W227/400000</f>
        <v>2</v>
      </c>
      <c r="Y227" s="60">
        <f t="shared" si="15"/>
        <v>2</v>
      </c>
      <c r="Z227" s="60">
        <f t="shared" ref="Z227:Z243" si="21">ROUNDUP(X227,0)</f>
        <v>2</v>
      </c>
    </row>
    <row r="228" spans="1:26">
      <c r="A228" s="12">
        <v>224</v>
      </c>
      <c r="B228" s="16" t="s">
        <v>482</v>
      </c>
      <c r="C228" s="16" t="s">
        <v>483</v>
      </c>
      <c r="D228" s="16">
        <v>3174007835</v>
      </c>
      <c r="E228" s="12" t="s">
        <v>479</v>
      </c>
      <c r="F228" s="12"/>
      <c r="G228" s="13"/>
      <c r="H228" s="14"/>
      <c r="I228" s="24" t="s">
        <v>116</v>
      </c>
      <c r="J228" s="37"/>
      <c r="K228" s="37"/>
      <c r="L228" s="37"/>
      <c r="M228" s="37"/>
      <c r="N228" s="38"/>
      <c r="O228" s="41"/>
      <c r="P228" s="40"/>
      <c r="Q228" s="40"/>
      <c r="R228" s="37">
        <v>0</v>
      </c>
      <c r="S228" s="37">
        <v>0</v>
      </c>
      <c r="T228" s="37">
        <v>800000</v>
      </c>
      <c r="U228" s="37">
        <v>400000</v>
      </c>
      <c r="V228" s="37">
        <f>VLOOKUP(B228,'[1]INV. 2026'!$B:$J,9,0)</f>
        <v>0</v>
      </c>
      <c r="W228" s="59">
        <f t="shared" si="14"/>
        <v>1200000</v>
      </c>
      <c r="X228" s="60">
        <f t="shared" si="20"/>
        <v>3</v>
      </c>
      <c r="Y228" s="60">
        <f t="shared" si="15"/>
        <v>2</v>
      </c>
      <c r="Z228" s="60">
        <f t="shared" si="21"/>
        <v>3</v>
      </c>
    </row>
    <row r="229" spans="1:26">
      <c r="A229" s="12">
        <v>225</v>
      </c>
      <c r="B229" s="16" t="s">
        <v>484</v>
      </c>
      <c r="C229" s="16" t="s">
        <v>485</v>
      </c>
      <c r="D229" s="16">
        <v>3008286649</v>
      </c>
      <c r="E229" s="12" t="s">
        <v>479</v>
      </c>
      <c r="F229" s="12"/>
      <c r="G229" s="13"/>
      <c r="H229" s="14"/>
      <c r="I229" s="24" t="s">
        <v>116</v>
      </c>
      <c r="J229" s="37"/>
      <c r="K229" s="37"/>
      <c r="L229" s="37"/>
      <c r="M229" s="37"/>
      <c r="N229" s="38"/>
      <c r="O229" s="41"/>
      <c r="P229" s="40"/>
      <c r="Q229" s="40"/>
      <c r="R229" s="37">
        <v>0</v>
      </c>
      <c r="S229" s="37">
        <v>0</v>
      </c>
      <c r="T229" s="37">
        <v>400000</v>
      </c>
      <c r="U229" s="37">
        <v>400000</v>
      </c>
      <c r="V229" s="37">
        <f>VLOOKUP(B229,'[1]INV. 2026'!$B:$J,9,0)</f>
        <v>0</v>
      </c>
      <c r="W229" s="59">
        <f t="shared" si="14"/>
        <v>800000</v>
      </c>
      <c r="X229" s="60">
        <f t="shared" si="20"/>
        <v>2</v>
      </c>
      <c r="Y229" s="60">
        <f t="shared" si="15"/>
        <v>2</v>
      </c>
      <c r="Z229" s="60">
        <f t="shared" si="21"/>
        <v>2</v>
      </c>
    </row>
    <row r="230" spans="1:26">
      <c r="A230" s="12">
        <v>226</v>
      </c>
      <c r="B230" s="16" t="s">
        <v>486</v>
      </c>
      <c r="C230" s="16" t="s">
        <v>487</v>
      </c>
      <c r="D230" s="16">
        <v>3212079648</v>
      </c>
      <c r="E230" s="12" t="s">
        <v>479</v>
      </c>
      <c r="F230" s="12"/>
      <c r="G230" s="13"/>
      <c r="H230" s="14"/>
      <c r="I230" s="24" t="s">
        <v>116</v>
      </c>
      <c r="J230" s="37"/>
      <c r="K230" s="37"/>
      <c r="L230" s="37"/>
      <c r="M230" s="37"/>
      <c r="N230" s="38"/>
      <c r="O230" s="41"/>
      <c r="P230" s="40"/>
      <c r="Q230" s="40"/>
      <c r="R230" s="37">
        <v>0</v>
      </c>
      <c r="S230" s="37">
        <v>0</v>
      </c>
      <c r="T230" s="37">
        <v>400000</v>
      </c>
      <c r="U230" s="37">
        <v>400000</v>
      </c>
      <c r="V230" s="37">
        <f>VLOOKUP(B230,'[1]INV. 2026'!$B:$J,9,0)</f>
        <v>0</v>
      </c>
      <c r="W230" s="59">
        <f t="shared" si="14"/>
        <v>800000</v>
      </c>
      <c r="X230" s="60">
        <f t="shared" si="20"/>
        <v>2</v>
      </c>
      <c r="Y230" s="60">
        <f t="shared" si="15"/>
        <v>2</v>
      </c>
      <c r="Z230" s="60">
        <f t="shared" si="21"/>
        <v>2</v>
      </c>
    </row>
    <row r="231" spans="1:26">
      <c r="A231" s="12">
        <v>227</v>
      </c>
      <c r="B231" s="16" t="s">
        <v>488</v>
      </c>
      <c r="C231" s="16" t="s">
        <v>489</v>
      </c>
      <c r="D231" s="16">
        <v>3212648565</v>
      </c>
      <c r="E231" s="12" t="s">
        <v>490</v>
      </c>
      <c r="F231" s="12"/>
      <c r="G231" s="13"/>
      <c r="H231" s="14"/>
      <c r="I231" s="24" t="s">
        <v>116</v>
      </c>
      <c r="J231" s="37"/>
      <c r="K231" s="37"/>
      <c r="L231" s="37"/>
      <c r="M231" s="37"/>
      <c r="N231" s="38"/>
      <c r="O231" s="41"/>
      <c r="P231" s="40"/>
      <c r="Q231" s="40"/>
      <c r="R231" s="37">
        <v>0</v>
      </c>
      <c r="S231" s="37">
        <v>0</v>
      </c>
      <c r="T231" s="37">
        <v>400000</v>
      </c>
      <c r="U231" s="37">
        <v>400000</v>
      </c>
      <c r="V231" s="37">
        <f>VLOOKUP(B231,'[1]INV. 2026'!$B:$J,9,0)</f>
        <v>0</v>
      </c>
      <c r="W231" s="59">
        <f t="shared" si="14"/>
        <v>800000</v>
      </c>
      <c r="X231" s="60">
        <f t="shared" si="20"/>
        <v>2</v>
      </c>
      <c r="Y231" s="60">
        <f t="shared" si="15"/>
        <v>2</v>
      </c>
      <c r="Z231" s="60">
        <f t="shared" si="21"/>
        <v>2</v>
      </c>
    </row>
    <row r="232" spans="1:26">
      <c r="A232" s="12">
        <v>228</v>
      </c>
      <c r="B232" s="16" t="s">
        <v>491</v>
      </c>
      <c r="C232" s="16" t="s">
        <v>492</v>
      </c>
      <c r="D232" s="16">
        <v>3156601344</v>
      </c>
      <c r="E232" s="12" t="s">
        <v>493</v>
      </c>
      <c r="F232" s="12"/>
      <c r="G232" s="13"/>
      <c r="H232" s="14"/>
      <c r="I232" s="24" t="s">
        <v>116</v>
      </c>
      <c r="J232" s="37"/>
      <c r="K232" s="37"/>
      <c r="L232" s="37"/>
      <c r="M232" s="37"/>
      <c r="N232" s="38"/>
      <c r="O232" s="41"/>
      <c r="P232" s="40"/>
      <c r="Q232" s="40"/>
      <c r="R232" s="37">
        <v>0</v>
      </c>
      <c r="S232" s="37">
        <v>0</v>
      </c>
      <c r="T232" s="37">
        <v>400000</v>
      </c>
      <c r="U232" s="37">
        <v>400000</v>
      </c>
      <c r="V232" s="37">
        <f>VLOOKUP(B232,'[1]INV. 2026'!$B:$J,9,0)</f>
        <v>0</v>
      </c>
      <c r="W232" s="59">
        <f t="shared" si="14"/>
        <v>800000</v>
      </c>
      <c r="X232" s="60">
        <f t="shared" si="20"/>
        <v>2</v>
      </c>
      <c r="Y232" s="60">
        <f t="shared" si="15"/>
        <v>2</v>
      </c>
      <c r="Z232" s="60">
        <f t="shared" si="21"/>
        <v>2</v>
      </c>
    </row>
    <row r="233" spans="1:26">
      <c r="A233" s="12">
        <v>229</v>
      </c>
      <c r="B233" s="16" t="s">
        <v>494</v>
      </c>
      <c r="C233" s="16" t="s">
        <v>495</v>
      </c>
      <c r="D233" s="16">
        <v>3114967016</v>
      </c>
      <c r="E233" s="12" t="s">
        <v>496</v>
      </c>
      <c r="F233" s="12"/>
      <c r="G233" s="13"/>
      <c r="H233" s="14"/>
      <c r="I233" s="24" t="s">
        <v>116</v>
      </c>
      <c r="J233" s="37"/>
      <c r="K233" s="37"/>
      <c r="L233" s="37"/>
      <c r="M233" s="37"/>
      <c r="N233" s="38"/>
      <c r="O233" s="41"/>
      <c r="P233" s="40"/>
      <c r="Q233" s="40"/>
      <c r="R233" s="37">
        <v>0</v>
      </c>
      <c r="S233" s="37">
        <v>0</v>
      </c>
      <c r="T233" s="37">
        <v>400000</v>
      </c>
      <c r="U233" s="37">
        <v>0</v>
      </c>
      <c r="V233" s="37">
        <f>VLOOKUP(B233,'[1]INV. 2026'!$B:$J,9,0)</f>
        <v>0</v>
      </c>
      <c r="W233" s="59">
        <f t="shared" si="14"/>
        <v>400000</v>
      </c>
      <c r="X233" s="60">
        <f t="shared" si="20"/>
        <v>1</v>
      </c>
      <c r="Y233" s="60">
        <f t="shared" si="15"/>
        <v>1</v>
      </c>
      <c r="Z233" s="60">
        <f t="shared" si="21"/>
        <v>1</v>
      </c>
    </row>
    <row r="234" spans="1:26">
      <c r="A234" s="12">
        <v>230</v>
      </c>
      <c r="B234" s="16" t="s">
        <v>497</v>
      </c>
      <c r="C234" s="16" t="s">
        <v>498</v>
      </c>
      <c r="D234" s="16">
        <v>3214289394</v>
      </c>
      <c r="E234" s="12" t="s">
        <v>496</v>
      </c>
      <c r="F234" s="12"/>
      <c r="G234" s="13"/>
      <c r="H234" s="14"/>
      <c r="I234" s="24" t="s">
        <v>116</v>
      </c>
      <c r="J234" s="37"/>
      <c r="K234" s="37"/>
      <c r="L234" s="37"/>
      <c r="M234" s="37"/>
      <c r="N234" s="38"/>
      <c r="O234" s="41"/>
      <c r="P234" s="40"/>
      <c r="Q234" s="40"/>
      <c r="R234" s="37">
        <v>0</v>
      </c>
      <c r="S234" s="37">
        <v>0</v>
      </c>
      <c r="T234" s="37">
        <v>400000</v>
      </c>
      <c r="U234" s="37">
        <v>400000</v>
      </c>
      <c r="V234" s="37">
        <f>VLOOKUP(B234,'[1]INV. 2026'!$B:$J,9,0)</f>
        <v>0</v>
      </c>
      <c r="W234" s="59">
        <f t="shared" si="14"/>
        <v>800000</v>
      </c>
      <c r="X234" s="60">
        <f t="shared" si="20"/>
        <v>2</v>
      </c>
      <c r="Y234" s="60">
        <f t="shared" si="15"/>
        <v>2</v>
      </c>
      <c r="Z234" s="60">
        <f t="shared" si="21"/>
        <v>2</v>
      </c>
    </row>
    <row r="235" spans="1:26">
      <c r="A235" s="12">
        <v>231</v>
      </c>
      <c r="B235" s="16" t="s">
        <v>499</v>
      </c>
      <c r="C235" s="16" t="s">
        <v>500</v>
      </c>
      <c r="D235" s="16">
        <v>3214411717</v>
      </c>
      <c r="E235" s="12" t="s">
        <v>501</v>
      </c>
      <c r="F235" s="12"/>
      <c r="G235" s="13"/>
      <c r="H235" s="14"/>
      <c r="I235" s="24" t="s">
        <v>116</v>
      </c>
      <c r="J235" s="37"/>
      <c r="K235" s="37"/>
      <c r="L235" s="37"/>
      <c r="M235" s="37"/>
      <c r="N235" s="38"/>
      <c r="O235" s="41"/>
      <c r="P235" s="40"/>
      <c r="Q235" s="40"/>
      <c r="R235" s="37">
        <v>0</v>
      </c>
      <c r="S235" s="37">
        <v>0</v>
      </c>
      <c r="T235" s="37">
        <v>400000</v>
      </c>
      <c r="U235" s="37">
        <v>400000</v>
      </c>
      <c r="V235" s="37">
        <f>VLOOKUP(B235,'[1]INV. 2026'!$B:$J,9,0)</f>
        <v>0</v>
      </c>
      <c r="W235" s="59">
        <f t="shared" si="14"/>
        <v>800000</v>
      </c>
      <c r="X235" s="60">
        <f t="shared" si="20"/>
        <v>2</v>
      </c>
      <c r="Y235" s="60">
        <f t="shared" si="15"/>
        <v>2</v>
      </c>
      <c r="Z235" s="60">
        <f t="shared" si="21"/>
        <v>2</v>
      </c>
    </row>
    <row r="236" spans="1:26">
      <c r="A236" s="12">
        <v>232</v>
      </c>
      <c r="B236" s="16" t="s">
        <v>502</v>
      </c>
      <c r="C236" s="16" t="s">
        <v>503</v>
      </c>
      <c r="D236" s="16">
        <v>3204014480</v>
      </c>
      <c r="E236" s="12" t="s">
        <v>504</v>
      </c>
      <c r="F236" s="12"/>
      <c r="G236" s="13"/>
      <c r="H236" s="14"/>
      <c r="I236" s="24" t="s">
        <v>116</v>
      </c>
      <c r="J236" s="37"/>
      <c r="K236" s="37"/>
      <c r="L236" s="37"/>
      <c r="M236" s="37"/>
      <c r="N236" s="38"/>
      <c r="O236" s="41"/>
      <c r="P236" s="40"/>
      <c r="Q236" s="40"/>
      <c r="R236" s="37">
        <v>0</v>
      </c>
      <c r="S236" s="37">
        <v>0</v>
      </c>
      <c r="T236" s="37">
        <v>400000</v>
      </c>
      <c r="U236" s="37">
        <v>0</v>
      </c>
      <c r="V236" s="37">
        <f>VLOOKUP(B236,'[1]INV. 2026'!$B:$J,9,0)</f>
        <v>0</v>
      </c>
      <c r="W236" s="59">
        <f t="shared" si="14"/>
        <v>400000</v>
      </c>
      <c r="X236" s="60">
        <f t="shared" si="20"/>
        <v>1</v>
      </c>
      <c r="Y236" s="60">
        <f t="shared" si="15"/>
        <v>1</v>
      </c>
      <c r="Z236" s="60">
        <f t="shared" si="21"/>
        <v>1</v>
      </c>
    </row>
    <row r="237" spans="1:26">
      <c r="A237" s="12">
        <v>233</v>
      </c>
      <c r="B237" s="16" t="s">
        <v>505</v>
      </c>
      <c r="C237" s="16" t="s">
        <v>506</v>
      </c>
      <c r="D237" s="16">
        <v>3114612778</v>
      </c>
      <c r="E237" s="12" t="s">
        <v>501</v>
      </c>
      <c r="F237" s="12"/>
      <c r="G237" s="13"/>
      <c r="H237" s="14"/>
      <c r="I237" s="24" t="s">
        <v>116</v>
      </c>
      <c r="J237" s="37"/>
      <c r="K237" s="37"/>
      <c r="L237" s="37"/>
      <c r="M237" s="37"/>
      <c r="N237" s="38"/>
      <c r="O237" s="41"/>
      <c r="P237" s="40"/>
      <c r="Q237" s="40"/>
      <c r="R237" s="37">
        <v>0</v>
      </c>
      <c r="S237" s="37">
        <v>0</v>
      </c>
      <c r="T237" s="37">
        <v>400000</v>
      </c>
      <c r="U237" s="37">
        <v>400000</v>
      </c>
      <c r="V237" s="37">
        <f>VLOOKUP(B237,'[1]INV. 2026'!$B:$J,9,0)</f>
        <v>0</v>
      </c>
      <c r="W237" s="59">
        <f t="shared" si="14"/>
        <v>800000</v>
      </c>
      <c r="X237" s="60">
        <f t="shared" si="20"/>
        <v>2</v>
      </c>
      <c r="Y237" s="60">
        <f t="shared" si="15"/>
        <v>2</v>
      </c>
      <c r="Z237" s="60">
        <f t="shared" si="21"/>
        <v>2</v>
      </c>
    </row>
    <row r="238" spans="1:26">
      <c r="A238" s="12">
        <v>234</v>
      </c>
      <c r="B238" s="16" t="s">
        <v>507</v>
      </c>
      <c r="C238" s="16">
        <v>85203032</v>
      </c>
      <c r="D238" s="16">
        <v>3107315557</v>
      </c>
      <c r="E238" s="12" t="s">
        <v>508</v>
      </c>
      <c r="F238" s="12"/>
      <c r="G238" s="13"/>
      <c r="H238" s="14"/>
      <c r="I238" s="24" t="s">
        <v>116</v>
      </c>
      <c r="J238" s="37"/>
      <c r="K238" s="37"/>
      <c r="L238" s="37"/>
      <c r="M238" s="37"/>
      <c r="N238" s="38"/>
      <c r="O238" s="41"/>
      <c r="P238" s="40"/>
      <c r="Q238" s="40"/>
      <c r="R238" s="37">
        <v>0</v>
      </c>
      <c r="S238" s="37">
        <v>0</v>
      </c>
      <c r="T238" s="37">
        <v>400000</v>
      </c>
      <c r="U238" s="37">
        <v>400000</v>
      </c>
      <c r="V238" s="37">
        <f>VLOOKUP(B238,'[1]INV. 2026'!$B:$J,9,0)</f>
        <v>0</v>
      </c>
      <c r="W238" s="59">
        <f t="shared" si="14"/>
        <v>800000</v>
      </c>
      <c r="X238" s="60">
        <f t="shared" si="20"/>
        <v>2</v>
      </c>
      <c r="Y238" s="60">
        <f t="shared" si="15"/>
        <v>2</v>
      </c>
      <c r="Z238" s="60">
        <f t="shared" si="21"/>
        <v>2</v>
      </c>
    </row>
    <row r="239" spans="1:26">
      <c r="A239" s="12">
        <v>235</v>
      </c>
      <c r="B239" s="16" t="s">
        <v>509</v>
      </c>
      <c r="C239" s="16">
        <v>1067904102</v>
      </c>
      <c r="D239" s="16">
        <v>3137896402</v>
      </c>
      <c r="E239" s="12" t="s">
        <v>572</v>
      </c>
      <c r="F239" s="12"/>
      <c r="G239" s="13"/>
      <c r="H239" s="14"/>
      <c r="I239" s="24" t="s">
        <v>116</v>
      </c>
      <c r="J239" s="37"/>
      <c r="K239" s="37"/>
      <c r="L239" s="37"/>
      <c r="M239" s="37"/>
      <c r="N239" s="38"/>
      <c r="O239" s="41"/>
      <c r="P239" s="40"/>
      <c r="Q239" s="40"/>
      <c r="R239" s="37">
        <v>0</v>
      </c>
      <c r="S239" s="37">
        <v>0</v>
      </c>
      <c r="T239" s="37">
        <v>400000</v>
      </c>
      <c r="U239" s="37">
        <v>400000</v>
      </c>
      <c r="V239" s="37">
        <f>VLOOKUP(B239,'[1]INV. 2026'!$B:$J,9,0)</f>
        <v>0</v>
      </c>
      <c r="W239" s="59">
        <f t="shared" si="14"/>
        <v>800000</v>
      </c>
      <c r="X239" s="60">
        <f t="shared" si="20"/>
        <v>2</v>
      </c>
      <c r="Y239" s="60">
        <f t="shared" si="15"/>
        <v>2</v>
      </c>
      <c r="Z239" s="60">
        <f t="shared" si="21"/>
        <v>2</v>
      </c>
    </row>
    <row r="240" spans="1:26">
      <c r="A240" s="12">
        <v>236</v>
      </c>
      <c r="B240" s="16" t="s">
        <v>510</v>
      </c>
      <c r="C240" s="16">
        <v>50901037</v>
      </c>
      <c r="D240" s="16">
        <v>3205707487</v>
      </c>
      <c r="E240" s="12" t="s">
        <v>620</v>
      </c>
      <c r="F240" s="12"/>
      <c r="G240" s="13"/>
      <c r="H240" s="14"/>
      <c r="I240" s="24" t="s">
        <v>116</v>
      </c>
      <c r="J240" s="37"/>
      <c r="K240" s="37"/>
      <c r="L240" s="37"/>
      <c r="M240" s="37"/>
      <c r="N240" s="38"/>
      <c r="O240" s="41"/>
      <c r="P240" s="40"/>
      <c r="Q240" s="40"/>
      <c r="R240" s="37">
        <v>0</v>
      </c>
      <c r="S240" s="37">
        <v>0</v>
      </c>
      <c r="T240" s="37">
        <v>400000</v>
      </c>
      <c r="U240" s="37">
        <v>400000</v>
      </c>
      <c r="V240" s="37">
        <f>VLOOKUP(B240,'[1]INV. 2026'!$B:$J,9,0)</f>
        <v>0</v>
      </c>
      <c r="W240" s="59">
        <f t="shared" si="14"/>
        <v>800000</v>
      </c>
      <c r="X240" s="60">
        <f t="shared" si="20"/>
        <v>2</v>
      </c>
      <c r="Y240" s="60">
        <f t="shared" si="15"/>
        <v>2</v>
      </c>
      <c r="Z240" s="60">
        <f t="shared" si="21"/>
        <v>2</v>
      </c>
    </row>
    <row r="241" spans="1:26">
      <c r="A241" s="12">
        <v>237</v>
      </c>
      <c r="B241" s="16" t="s">
        <v>511</v>
      </c>
      <c r="C241" s="16">
        <v>1002371747</v>
      </c>
      <c r="D241" s="16">
        <v>3017076403</v>
      </c>
      <c r="E241" s="12" t="s">
        <v>512</v>
      </c>
      <c r="F241" s="12"/>
      <c r="G241" s="13"/>
      <c r="H241" s="14"/>
      <c r="I241" s="24" t="s">
        <v>116</v>
      </c>
      <c r="J241" s="37"/>
      <c r="K241" s="37"/>
      <c r="L241" s="37"/>
      <c r="M241" s="37"/>
      <c r="N241" s="38"/>
      <c r="O241" s="41"/>
      <c r="P241" s="40"/>
      <c r="Q241" s="40"/>
      <c r="R241" s="37">
        <v>0</v>
      </c>
      <c r="S241" s="37">
        <v>0</v>
      </c>
      <c r="T241" s="37">
        <v>400000</v>
      </c>
      <c r="U241" s="37">
        <v>400000</v>
      </c>
      <c r="V241" s="37">
        <f>VLOOKUP(B241,'[1]INV. 2026'!$B:$J,9,0)</f>
        <v>0</v>
      </c>
      <c r="W241" s="59">
        <f t="shared" si="14"/>
        <v>800000</v>
      </c>
      <c r="X241" s="60">
        <f t="shared" si="20"/>
        <v>2</v>
      </c>
      <c r="Y241" s="60">
        <f t="shared" si="15"/>
        <v>2</v>
      </c>
      <c r="Z241" s="60">
        <f t="shared" si="21"/>
        <v>2</v>
      </c>
    </row>
    <row r="242" spans="1:26">
      <c r="A242" s="12">
        <v>238</v>
      </c>
      <c r="B242" s="16" t="s">
        <v>513</v>
      </c>
      <c r="C242" s="16">
        <v>1066737038</v>
      </c>
      <c r="D242" s="16">
        <v>3122228619</v>
      </c>
      <c r="E242" s="12" t="s">
        <v>514</v>
      </c>
      <c r="F242" s="12"/>
      <c r="G242" s="13"/>
      <c r="H242" s="14"/>
      <c r="I242" s="24" t="s">
        <v>116</v>
      </c>
      <c r="J242" s="37"/>
      <c r="K242" s="37"/>
      <c r="L242" s="37"/>
      <c r="M242" s="37"/>
      <c r="N242" s="38"/>
      <c r="O242" s="41"/>
      <c r="P242" s="40"/>
      <c r="Q242" s="40"/>
      <c r="R242" s="37">
        <v>0</v>
      </c>
      <c r="S242" s="37">
        <v>0</v>
      </c>
      <c r="T242" s="37">
        <v>400000</v>
      </c>
      <c r="U242" s="37">
        <v>400000</v>
      </c>
      <c r="V242" s="37">
        <f>VLOOKUP(B242,'[1]INV. 2026'!$B:$J,9,0)</f>
        <v>0</v>
      </c>
      <c r="W242" s="59">
        <f t="shared" si="14"/>
        <v>800000</v>
      </c>
      <c r="X242" s="60">
        <f t="shared" si="20"/>
        <v>2</v>
      </c>
      <c r="Y242" s="60">
        <f t="shared" si="15"/>
        <v>2</v>
      </c>
      <c r="Z242" s="60">
        <f t="shared" si="21"/>
        <v>2</v>
      </c>
    </row>
    <row r="243" spans="1:26">
      <c r="A243" s="12">
        <v>239</v>
      </c>
      <c r="B243" s="16" t="s">
        <v>515</v>
      </c>
      <c r="C243" s="16">
        <v>1064996539</v>
      </c>
      <c r="D243" s="16">
        <v>3135513063</v>
      </c>
      <c r="E243" s="12" t="s">
        <v>508</v>
      </c>
      <c r="F243" s="12"/>
      <c r="G243" s="13"/>
      <c r="H243" s="14"/>
      <c r="I243" s="24" t="s">
        <v>116</v>
      </c>
      <c r="J243" s="37"/>
      <c r="K243" s="37"/>
      <c r="L243" s="37"/>
      <c r="M243" s="37"/>
      <c r="N243" s="38"/>
      <c r="O243" s="41"/>
      <c r="P243" s="40"/>
      <c r="Q243" s="40"/>
      <c r="R243" s="37">
        <v>0</v>
      </c>
      <c r="S243" s="37">
        <v>0</v>
      </c>
      <c r="T243" s="37">
        <v>400000</v>
      </c>
      <c r="U243" s="37">
        <v>400000</v>
      </c>
      <c r="V243" s="37">
        <f>VLOOKUP(B243,'[1]INV. 2026'!$B:$J,9,0)</f>
        <v>0</v>
      </c>
      <c r="W243" s="59">
        <f t="shared" si="14"/>
        <v>800000</v>
      </c>
      <c r="X243" s="60">
        <f t="shared" si="20"/>
        <v>2</v>
      </c>
      <c r="Y243" s="60">
        <f t="shared" si="15"/>
        <v>2</v>
      </c>
      <c r="Z243" s="60">
        <f t="shared" si="21"/>
        <v>2</v>
      </c>
    </row>
    <row r="244" spans="1:26">
      <c r="A244" s="12">
        <v>240</v>
      </c>
      <c r="B244" s="16" t="s">
        <v>516</v>
      </c>
      <c r="C244" s="16">
        <v>1067884505</v>
      </c>
      <c r="D244" s="16">
        <v>3215857733</v>
      </c>
      <c r="E244" s="12" t="s">
        <v>517</v>
      </c>
      <c r="F244" s="12"/>
      <c r="G244" s="13"/>
      <c r="H244" s="14"/>
      <c r="I244" s="24" t="s">
        <v>116</v>
      </c>
      <c r="J244" s="37"/>
      <c r="K244" s="37"/>
      <c r="L244" s="37"/>
      <c r="M244" s="37"/>
      <c r="N244" s="38"/>
      <c r="O244" s="41"/>
      <c r="P244" s="40"/>
      <c r="Q244" s="40"/>
      <c r="R244" s="37">
        <v>0</v>
      </c>
      <c r="S244" s="37">
        <v>0</v>
      </c>
      <c r="T244" s="37">
        <v>400000</v>
      </c>
      <c r="U244" s="37">
        <v>400000</v>
      </c>
      <c r="V244" s="37">
        <f>VLOOKUP(B244,'[1]INV. 2026'!$B:$J,9,0)</f>
        <v>0</v>
      </c>
      <c r="W244" s="59">
        <f t="shared" si="14"/>
        <v>800000</v>
      </c>
      <c r="X244" s="60">
        <f t="shared" si="18"/>
        <v>2</v>
      </c>
      <c r="Y244" s="60">
        <f t="shared" si="15"/>
        <v>2</v>
      </c>
      <c r="Z244" s="60">
        <f t="shared" si="19"/>
        <v>2</v>
      </c>
    </row>
    <row r="245" spans="1:26">
      <c r="A245" s="12">
        <v>241</v>
      </c>
      <c r="B245" s="16" t="s">
        <v>518</v>
      </c>
      <c r="C245" s="16">
        <v>30777006</v>
      </c>
      <c r="D245" s="16">
        <v>3186436044</v>
      </c>
      <c r="E245" s="12" t="s">
        <v>508</v>
      </c>
      <c r="F245" s="12"/>
      <c r="G245" s="13"/>
      <c r="H245" s="14"/>
      <c r="I245" s="24" t="s">
        <v>116</v>
      </c>
      <c r="J245" s="37"/>
      <c r="K245" s="37"/>
      <c r="L245" s="37"/>
      <c r="M245" s="37"/>
      <c r="N245" s="38"/>
      <c r="O245" s="41"/>
      <c r="P245" s="40"/>
      <c r="Q245" s="40"/>
      <c r="R245" s="37">
        <v>0</v>
      </c>
      <c r="S245" s="37">
        <v>0</v>
      </c>
      <c r="T245" s="37">
        <v>400000</v>
      </c>
      <c r="U245" s="37">
        <v>400000</v>
      </c>
      <c r="V245" s="37">
        <f>VLOOKUP(B245,'[1]INV. 2026'!$B:$J,9,0)</f>
        <v>0</v>
      </c>
      <c r="W245" s="59">
        <f t="shared" si="14"/>
        <v>800000</v>
      </c>
      <c r="X245" s="60">
        <f t="shared" ref="X245:X251" si="22">W245/400000</f>
        <v>2</v>
      </c>
      <c r="Y245" s="60">
        <f t="shared" si="15"/>
        <v>2</v>
      </c>
      <c r="Z245" s="60">
        <f t="shared" ref="Z245:Z251" si="23">ROUNDUP(X245,0)</f>
        <v>2</v>
      </c>
    </row>
    <row r="246" spans="1:26">
      <c r="A246" s="12">
        <v>242</v>
      </c>
      <c r="B246" s="16" t="s">
        <v>519</v>
      </c>
      <c r="C246" s="16">
        <v>34962463</v>
      </c>
      <c r="D246" s="16">
        <v>3205294049</v>
      </c>
      <c r="E246" s="12" t="s">
        <v>508</v>
      </c>
      <c r="F246" s="12"/>
      <c r="G246" s="13"/>
      <c r="H246" s="14"/>
      <c r="I246" s="24" t="s">
        <v>116</v>
      </c>
      <c r="J246" s="37"/>
      <c r="K246" s="37"/>
      <c r="L246" s="37"/>
      <c r="M246" s="37"/>
      <c r="N246" s="38"/>
      <c r="O246" s="41"/>
      <c r="P246" s="40"/>
      <c r="Q246" s="40"/>
      <c r="R246" s="37">
        <v>0</v>
      </c>
      <c r="S246" s="37">
        <v>0</v>
      </c>
      <c r="T246" s="37">
        <v>400000</v>
      </c>
      <c r="U246" s="37">
        <v>400000</v>
      </c>
      <c r="V246" s="37">
        <f>VLOOKUP(B246,'[1]INV. 2026'!$B:$J,9,0)</f>
        <v>0</v>
      </c>
      <c r="W246" s="59">
        <f t="shared" si="14"/>
        <v>800000</v>
      </c>
      <c r="X246" s="60">
        <f t="shared" si="22"/>
        <v>2</v>
      </c>
      <c r="Y246" s="60">
        <f t="shared" si="15"/>
        <v>2</v>
      </c>
      <c r="Z246" s="60">
        <f t="shared" si="23"/>
        <v>2</v>
      </c>
    </row>
    <row r="247" spans="1:26">
      <c r="A247" s="12">
        <v>243</v>
      </c>
      <c r="B247" s="16" t="s">
        <v>520</v>
      </c>
      <c r="C247" s="16">
        <v>1067922782</v>
      </c>
      <c r="D247" s="16">
        <v>3013999279</v>
      </c>
      <c r="E247" s="12" t="s">
        <v>572</v>
      </c>
      <c r="F247" s="12"/>
      <c r="G247" s="13"/>
      <c r="H247" s="14"/>
      <c r="I247" s="24" t="s">
        <v>116</v>
      </c>
      <c r="J247" s="37"/>
      <c r="K247" s="37"/>
      <c r="L247" s="37"/>
      <c r="M247" s="37"/>
      <c r="N247" s="38"/>
      <c r="O247" s="41"/>
      <c r="P247" s="40"/>
      <c r="Q247" s="40"/>
      <c r="R247" s="37">
        <v>0</v>
      </c>
      <c r="S247" s="37">
        <v>0</v>
      </c>
      <c r="T247" s="37">
        <v>400000</v>
      </c>
      <c r="U247" s="37">
        <v>400000</v>
      </c>
      <c r="V247" s="37">
        <f>VLOOKUP(B247,'[1]INV. 2026'!$B:$J,9,0)</f>
        <v>0</v>
      </c>
      <c r="W247" s="59">
        <f t="shared" si="14"/>
        <v>800000</v>
      </c>
      <c r="X247" s="60">
        <f t="shared" si="22"/>
        <v>2</v>
      </c>
      <c r="Y247" s="60">
        <f t="shared" si="15"/>
        <v>2</v>
      </c>
      <c r="Z247" s="60">
        <f t="shared" si="23"/>
        <v>2</v>
      </c>
    </row>
    <row r="248" spans="1:26">
      <c r="A248" s="12">
        <v>244</v>
      </c>
      <c r="B248" s="16" t="s">
        <v>521</v>
      </c>
      <c r="C248" s="16">
        <v>1133795577</v>
      </c>
      <c r="D248" s="16">
        <v>3013994780</v>
      </c>
      <c r="E248" s="12" t="s">
        <v>572</v>
      </c>
      <c r="F248" s="12"/>
      <c r="G248" s="13"/>
      <c r="H248" s="14"/>
      <c r="I248" s="24" t="s">
        <v>116</v>
      </c>
      <c r="J248" s="37"/>
      <c r="K248" s="37"/>
      <c r="L248" s="37"/>
      <c r="M248" s="37"/>
      <c r="N248" s="38"/>
      <c r="O248" s="41"/>
      <c r="P248" s="40"/>
      <c r="Q248" s="40"/>
      <c r="R248" s="37">
        <v>0</v>
      </c>
      <c r="S248" s="37">
        <v>0</v>
      </c>
      <c r="T248" s="37">
        <v>400000</v>
      </c>
      <c r="U248" s="37">
        <v>400000</v>
      </c>
      <c r="V248" s="37">
        <f>VLOOKUP(B248,'[1]INV. 2026'!$B:$J,9,0)</f>
        <v>0</v>
      </c>
      <c r="W248" s="59">
        <f t="shared" si="14"/>
        <v>800000</v>
      </c>
      <c r="X248" s="60">
        <f t="shared" si="22"/>
        <v>2</v>
      </c>
      <c r="Y248" s="60">
        <f t="shared" si="15"/>
        <v>2</v>
      </c>
      <c r="Z248" s="60">
        <f t="shared" si="23"/>
        <v>2</v>
      </c>
    </row>
    <row r="249" spans="1:26">
      <c r="A249" s="12">
        <v>245</v>
      </c>
      <c r="B249" s="16" t="s">
        <v>522</v>
      </c>
      <c r="C249" s="16">
        <v>78753440</v>
      </c>
      <c r="D249" s="16">
        <v>3217473284</v>
      </c>
      <c r="E249" s="12" t="s">
        <v>508</v>
      </c>
      <c r="F249" s="12"/>
      <c r="G249" s="13"/>
      <c r="H249" s="14"/>
      <c r="I249" s="24" t="s">
        <v>116</v>
      </c>
      <c r="J249" s="37"/>
      <c r="K249" s="37"/>
      <c r="L249" s="37"/>
      <c r="M249" s="37"/>
      <c r="N249" s="38"/>
      <c r="O249" s="41"/>
      <c r="P249" s="40"/>
      <c r="Q249" s="40"/>
      <c r="R249" s="37">
        <v>0</v>
      </c>
      <c r="S249" s="37">
        <v>0</v>
      </c>
      <c r="T249" s="37">
        <v>400000</v>
      </c>
      <c r="U249" s="37">
        <v>400000</v>
      </c>
      <c r="V249" s="37">
        <f>VLOOKUP(B249,'[1]INV. 2026'!$B:$J,9,0)</f>
        <v>0</v>
      </c>
      <c r="W249" s="59">
        <f t="shared" si="14"/>
        <v>800000</v>
      </c>
      <c r="X249" s="60">
        <f t="shared" si="22"/>
        <v>2</v>
      </c>
      <c r="Y249" s="60">
        <f t="shared" si="15"/>
        <v>2</v>
      </c>
      <c r="Z249" s="60">
        <f t="shared" si="23"/>
        <v>2</v>
      </c>
    </row>
    <row r="250" spans="1:26">
      <c r="A250" s="12">
        <v>246</v>
      </c>
      <c r="B250" s="16" t="s">
        <v>523</v>
      </c>
      <c r="C250" s="16">
        <v>34979435</v>
      </c>
      <c r="D250" s="16">
        <v>3205025275</v>
      </c>
      <c r="E250" s="12" t="s">
        <v>508</v>
      </c>
      <c r="F250" s="12"/>
      <c r="G250" s="13"/>
      <c r="H250" s="14"/>
      <c r="I250" s="24" t="s">
        <v>116</v>
      </c>
      <c r="J250" s="37"/>
      <c r="K250" s="37"/>
      <c r="L250" s="37"/>
      <c r="M250" s="37"/>
      <c r="N250" s="38"/>
      <c r="O250" s="41"/>
      <c r="P250" s="40"/>
      <c r="Q250" s="40"/>
      <c r="R250" s="37">
        <v>0</v>
      </c>
      <c r="S250" s="37">
        <v>0</v>
      </c>
      <c r="T250" s="37">
        <v>400000</v>
      </c>
      <c r="U250" s="37">
        <v>400000</v>
      </c>
      <c r="V250" s="37">
        <f>VLOOKUP(B250,'[1]INV. 2026'!$B:$J,9,0)</f>
        <v>0</v>
      </c>
      <c r="W250" s="59">
        <f t="shared" si="14"/>
        <v>800000</v>
      </c>
      <c r="X250" s="60">
        <f t="shared" si="22"/>
        <v>2</v>
      </c>
      <c r="Y250" s="60">
        <f t="shared" si="15"/>
        <v>2</v>
      </c>
      <c r="Z250" s="60">
        <f t="shared" si="23"/>
        <v>2</v>
      </c>
    </row>
    <row r="251" spans="1:26">
      <c r="A251" s="12">
        <v>247</v>
      </c>
      <c r="B251" s="16" t="s">
        <v>524</v>
      </c>
      <c r="C251" s="16">
        <v>78323723</v>
      </c>
      <c r="D251" s="16">
        <v>3136913916</v>
      </c>
      <c r="E251" s="12" t="s">
        <v>514</v>
      </c>
      <c r="F251" s="12"/>
      <c r="G251" s="13"/>
      <c r="H251" s="14"/>
      <c r="I251" s="24" t="s">
        <v>116</v>
      </c>
      <c r="J251" s="37"/>
      <c r="K251" s="37"/>
      <c r="L251" s="37"/>
      <c r="M251" s="37"/>
      <c r="N251" s="38"/>
      <c r="O251" s="41"/>
      <c r="P251" s="40"/>
      <c r="Q251" s="40"/>
      <c r="R251" s="37">
        <v>0</v>
      </c>
      <c r="S251" s="37">
        <v>0</v>
      </c>
      <c r="T251" s="37">
        <v>400000</v>
      </c>
      <c r="U251" s="37">
        <v>400000</v>
      </c>
      <c r="V251" s="37">
        <f>VLOOKUP(B251,'[1]INV. 2026'!$B:$J,9,0)</f>
        <v>0</v>
      </c>
      <c r="W251" s="59">
        <f t="shared" si="14"/>
        <v>800000</v>
      </c>
      <c r="X251" s="60">
        <f t="shared" si="22"/>
        <v>2</v>
      </c>
      <c r="Y251" s="60">
        <f t="shared" si="15"/>
        <v>2</v>
      </c>
      <c r="Z251" s="60">
        <f t="shared" si="23"/>
        <v>2</v>
      </c>
    </row>
    <row r="252" spans="1:26">
      <c r="A252" s="12">
        <v>248</v>
      </c>
      <c r="B252" s="16" t="s">
        <v>525</v>
      </c>
      <c r="C252" s="16">
        <v>1003404028</v>
      </c>
      <c r="D252" s="16">
        <v>3205172305</v>
      </c>
      <c r="E252" s="12" t="s">
        <v>508</v>
      </c>
      <c r="F252" s="12"/>
      <c r="G252" s="13"/>
      <c r="H252" s="14"/>
      <c r="I252" s="24" t="s">
        <v>116</v>
      </c>
      <c r="J252" s="37"/>
      <c r="K252" s="37"/>
      <c r="L252" s="37"/>
      <c r="M252" s="37"/>
      <c r="N252" s="38"/>
      <c r="O252" s="41"/>
      <c r="P252" s="40"/>
      <c r="Q252" s="40"/>
      <c r="R252" s="37">
        <v>0</v>
      </c>
      <c r="S252" s="37">
        <v>0</v>
      </c>
      <c r="T252" s="37">
        <v>400000</v>
      </c>
      <c r="U252" s="37">
        <v>400000</v>
      </c>
      <c r="V252" s="37">
        <f>VLOOKUP(B252,'[1]INV. 2026'!$B:$J,9,0)</f>
        <v>0</v>
      </c>
      <c r="W252" s="59">
        <f t="shared" si="14"/>
        <v>800000</v>
      </c>
      <c r="X252" s="60">
        <f t="shared" si="18"/>
        <v>2</v>
      </c>
      <c r="Y252" s="60">
        <f t="shared" si="15"/>
        <v>2</v>
      </c>
      <c r="Z252" s="60">
        <f t="shared" si="19"/>
        <v>2</v>
      </c>
    </row>
    <row r="253" spans="1:26">
      <c r="A253" s="12">
        <v>249</v>
      </c>
      <c r="B253" s="16" t="s">
        <v>526</v>
      </c>
      <c r="C253" s="16">
        <v>30843113</v>
      </c>
      <c r="D253" s="16">
        <v>3135249664</v>
      </c>
      <c r="E253" s="12" t="s">
        <v>512</v>
      </c>
      <c r="F253" s="12"/>
      <c r="G253" s="13"/>
      <c r="H253" s="14"/>
      <c r="I253" s="24" t="s">
        <v>116</v>
      </c>
      <c r="J253" s="37"/>
      <c r="K253" s="37"/>
      <c r="L253" s="37"/>
      <c r="M253" s="37"/>
      <c r="N253" s="38"/>
      <c r="O253" s="41"/>
      <c r="P253" s="40"/>
      <c r="Q253" s="40"/>
      <c r="R253" s="37">
        <v>0</v>
      </c>
      <c r="S253" s="37">
        <v>0</v>
      </c>
      <c r="T253" s="37">
        <v>400000</v>
      </c>
      <c r="U253" s="37">
        <v>400000</v>
      </c>
      <c r="V253" s="37">
        <f>VLOOKUP(B253,'[1]INV. 2026'!$B:$J,9,0)</f>
        <v>0</v>
      </c>
      <c r="W253" s="59">
        <f t="shared" si="14"/>
        <v>800000</v>
      </c>
      <c r="X253" s="60">
        <f t="shared" si="18"/>
        <v>2</v>
      </c>
      <c r="Y253" s="60">
        <f t="shared" si="15"/>
        <v>2</v>
      </c>
      <c r="Z253" s="60">
        <f t="shared" si="19"/>
        <v>2</v>
      </c>
    </row>
    <row r="254" spans="1:26">
      <c r="A254" s="12">
        <v>250</v>
      </c>
      <c r="B254" s="16" t="s">
        <v>527</v>
      </c>
      <c r="C254" s="16">
        <v>15647945</v>
      </c>
      <c r="D254" s="16">
        <v>3105193541</v>
      </c>
      <c r="E254" s="12" t="s">
        <v>512</v>
      </c>
      <c r="F254" s="12"/>
      <c r="G254" s="13"/>
      <c r="H254" s="14"/>
      <c r="I254" s="24" t="s">
        <v>116</v>
      </c>
      <c r="J254" s="37"/>
      <c r="K254" s="37"/>
      <c r="L254" s="37"/>
      <c r="M254" s="37"/>
      <c r="N254" s="38"/>
      <c r="O254" s="41"/>
      <c r="P254" s="40"/>
      <c r="Q254" s="40"/>
      <c r="R254" s="37">
        <v>0</v>
      </c>
      <c r="S254" s="37">
        <v>0</v>
      </c>
      <c r="T254" s="37">
        <v>400000</v>
      </c>
      <c r="U254" s="37">
        <v>400000</v>
      </c>
      <c r="V254" s="37">
        <f>VLOOKUP(B254,'[1]INV. 2026'!$B:$J,9,0)</f>
        <v>0</v>
      </c>
      <c r="W254" s="59">
        <f t="shared" si="14"/>
        <v>800000</v>
      </c>
      <c r="X254" s="60">
        <f t="shared" si="18"/>
        <v>2</v>
      </c>
      <c r="Y254" s="60">
        <f t="shared" si="15"/>
        <v>2</v>
      </c>
      <c r="Z254" s="60">
        <f t="shared" si="19"/>
        <v>2</v>
      </c>
    </row>
    <row r="255" spans="1:26">
      <c r="A255" s="12">
        <v>251</v>
      </c>
      <c r="B255" s="16" t="s">
        <v>530</v>
      </c>
      <c r="C255" s="16">
        <v>1088296001</v>
      </c>
      <c r="D255" s="16"/>
      <c r="E255" s="12" t="s">
        <v>455</v>
      </c>
      <c r="F255" s="12"/>
      <c r="G255" s="13"/>
      <c r="H255" s="14"/>
      <c r="I255" s="24" t="s">
        <v>116</v>
      </c>
      <c r="J255" s="37"/>
      <c r="K255" s="37"/>
      <c r="L255" s="37"/>
      <c r="M255" s="37"/>
      <c r="N255" s="38"/>
      <c r="O255" s="41"/>
      <c r="P255" s="40"/>
      <c r="Q255" s="40"/>
      <c r="R255" s="37">
        <v>0</v>
      </c>
      <c r="S255" s="37">
        <v>0</v>
      </c>
      <c r="T255" s="37">
        <v>200000</v>
      </c>
      <c r="U255" s="37">
        <v>0</v>
      </c>
      <c r="V255" s="37">
        <f>VLOOKUP(B255,'[1]INV. 2026'!$B:$J,9,0)</f>
        <v>0</v>
      </c>
      <c r="W255" s="59">
        <f t="shared" si="14"/>
        <v>200000</v>
      </c>
      <c r="X255" s="60">
        <f t="shared" si="18"/>
        <v>0.5</v>
      </c>
      <c r="Y255" s="60">
        <f t="shared" si="15"/>
        <v>1</v>
      </c>
      <c r="Z255" s="60">
        <f t="shared" si="19"/>
        <v>1</v>
      </c>
    </row>
    <row r="256" spans="1:26">
      <c r="A256" s="12">
        <v>252</v>
      </c>
      <c r="B256" s="16" t="s">
        <v>531</v>
      </c>
      <c r="C256" s="16">
        <v>60319496</v>
      </c>
      <c r="D256" s="16">
        <v>3114112215</v>
      </c>
      <c r="E256" s="12" t="s">
        <v>239</v>
      </c>
      <c r="F256" s="12"/>
      <c r="G256" s="13"/>
      <c r="H256" s="14"/>
      <c r="I256" s="24" t="s">
        <v>116</v>
      </c>
      <c r="J256" s="37"/>
      <c r="K256" s="37"/>
      <c r="L256" s="37"/>
      <c r="M256" s="37"/>
      <c r="N256" s="38"/>
      <c r="O256" s="41"/>
      <c r="P256" s="40"/>
      <c r="Q256" s="40"/>
      <c r="R256" s="37">
        <v>0</v>
      </c>
      <c r="S256" s="37">
        <v>0</v>
      </c>
      <c r="T256" s="37">
        <v>200000</v>
      </c>
      <c r="U256" s="37">
        <v>200000</v>
      </c>
      <c r="V256" s="37">
        <f>VLOOKUP(B256,'[1]INV. 2026'!$B:$J,9,0)</f>
        <v>0</v>
      </c>
      <c r="W256" s="59">
        <f t="shared" si="14"/>
        <v>400000</v>
      </c>
      <c r="X256" s="60">
        <f t="shared" si="18"/>
        <v>1</v>
      </c>
      <c r="Y256" s="60">
        <f t="shared" si="15"/>
        <v>2</v>
      </c>
      <c r="Z256" s="60">
        <f t="shared" si="19"/>
        <v>1</v>
      </c>
    </row>
    <row r="257" spans="1:26">
      <c r="A257" s="12">
        <v>253</v>
      </c>
      <c r="B257" s="16" t="s">
        <v>532</v>
      </c>
      <c r="C257" s="16">
        <v>1121969843</v>
      </c>
      <c r="D257" s="16">
        <v>3026352060</v>
      </c>
      <c r="E257" s="12" t="s">
        <v>533</v>
      </c>
      <c r="F257" s="12"/>
      <c r="G257" s="13"/>
      <c r="H257" s="14"/>
      <c r="I257" s="24" t="s">
        <v>116</v>
      </c>
      <c r="J257" s="37"/>
      <c r="K257" s="37"/>
      <c r="L257" s="37"/>
      <c r="M257" s="37"/>
      <c r="N257" s="38"/>
      <c r="O257" s="41"/>
      <c r="P257" s="40"/>
      <c r="Q257" s="40"/>
      <c r="R257" s="37">
        <v>0</v>
      </c>
      <c r="S257" s="37">
        <v>0</v>
      </c>
      <c r="T257" s="37">
        <v>400000</v>
      </c>
      <c r="U257" s="37">
        <v>450000</v>
      </c>
      <c r="V257" s="37">
        <f>VLOOKUP(B257,'[1]INV. 2026'!$B:$J,9,0)</f>
        <v>0</v>
      </c>
      <c r="W257" s="59">
        <f t="shared" si="14"/>
        <v>850000</v>
      </c>
      <c r="X257" s="60">
        <f t="shared" si="18"/>
        <v>2.125</v>
      </c>
      <c r="Y257" s="60">
        <f t="shared" si="15"/>
        <v>2</v>
      </c>
      <c r="Z257" s="60">
        <f t="shared" si="19"/>
        <v>3</v>
      </c>
    </row>
    <row r="258" spans="1:26">
      <c r="A258" s="12">
        <v>254</v>
      </c>
      <c r="B258" s="16" t="s">
        <v>535</v>
      </c>
      <c r="C258" s="16">
        <v>70322335</v>
      </c>
      <c r="D258" s="16">
        <v>3106907142</v>
      </c>
      <c r="E258" s="12" t="s">
        <v>356</v>
      </c>
      <c r="F258" s="12"/>
      <c r="G258" s="13"/>
      <c r="H258" s="14"/>
      <c r="I258" s="24" t="s">
        <v>116</v>
      </c>
      <c r="J258" s="37"/>
      <c r="K258" s="37"/>
      <c r="L258" s="37"/>
      <c r="M258" s="37"/>
      <c r="N258" s="38"/>
      <c r="O258" s="41"/>
      <c r="P258" s="40"/>
      <c r="Q258" s="40"/>
      <c r="R258" s="37">
        <v>0</v>
      </c>
      <c r="S258" s="37">
        <v>0</v>
      </c>
      <c r="T258" s="37">
        <v>400000</v>
      </c>
      <c r="U258" s="37">
        <v>400000</v>
      </c>
      <c r="V258" s="37">
        <f>VLOOKUP(B258,'[1]INV. 2026'!$B:$J,9,0)</f>
        <v>0</v>
      </c>
      <c r="W258" s="59">
        <f t="shared" si="14"/>
        <v>800000</v>
      </c>
      <c r="X258" s="60">
        <f t="shared" si="18"/>
        <v>2</v>
      </c>
      <c r="Y258" s="60">
        <f t="shared" si="15"/>
        <v>2</v>
      </c>
      <c r="Z258" s="60">
        <f t="shared" si="19"/>
        <v>2</v>
      </c>
    </row>
    <row r="259" spans="1:26">
      <c r="A259" s="12">
        <v>255</v>
      </c>
      <c r="B259" s="16" t="s">
        <v>536</v>
      </c>
      <c r="C259" s="16">
        <v>72049339</v>
      </c>
      <c r="D259" s="16">
        <v>3148093554</v>
      </c>
      <c r="E259" s="12" t="s">
        <v>356</v>
      </c>
      <c r="F259" s="12"/>
      <c r="G259" s="13"/>
      <c r="H259" s="14"/>
      <c r="I259" s="24" t="s">
        <v>116</v>
      </c>
      <c r="J259" s="37"/>
      <c r="K259" s="37"/>
      <c r="L259" s="37"/>
      <c r="M259" s="37"/>
      <c r="N259" s="38"/>
      <c r="O259" s="41"/>
      <c r="P259" s="40"/>
      <c r="Q259" s="40"/>
      <c r="R259" s="37">
        <v>0</v>
      </c>
      <c r="S259" s="37">
        <v>0</v>
      </c>
      <c r="T259" s="37">
        <v>400000</v>
      </c>
      <c r="U259" s="37">
        <v>0</v>
      </c>
      <c r="V259" s="37">
        <f>VLOOKUP(B259,'[1]INV. 2026'!$B:$J,9,0)</f>
        <v>0</v>
      </c>
      <c r="W259" s="59">
        <f t="shared" si="14"/>
        <v>400000</v>
      </c>
      <c r="X259" s="60">
        <f t="shared" si="18"/>
        <v>1</v>
      </c>
      <c r="Y259" s="60">
        <f t="shared" si="15"/>
        <v>1</v>
      </c>
      <c r="Z259" s="60">
        <f t="shared" si="19"/>
        <v>1</v>
      </c>
    </row>
    <row r="260" spans="1:26">
      <c r="A260" s="12">
        <v>256</v>
      </c>
      <c r="B260" s="16" t="s">
        <v>537</v>
      </c>
      <c r="C260" s="16">
        <v>71273662</v>
      </c>
      <c r="D260" s="16">
        <v>3103476233</v>
      </c>
      <c r="E260" s="12" t="s">
        <v>352</v>
      </c>
      <c r="F260" s="12"/>
      <c r="G260" s="13"/>
      <c r="H260" s="14"/>
      <c r="I260" s="24" t="s">
        <v>116</v>
      </c>
      <c r="J260" s="37"/>
      <c r="K260" s="37"/>
      <c r="L260" s="37"/>
      <c r="M260" s="37"/>
      <c r="N260" s="38"/>
      <c r="O260" s="41"/>
      <c r="P260" s="40"/>
      <c r="Q260" s="40"/>
      <c r="R260" s="37">
        <v>0</v>
      </c>
      <c r="S260" s="37">
        <v>0</v>
      </c>
      <c r="T260" s="37">
        <v>400000</v>
      </c>
      <c r="U260" s="37">
        <v>0</v>
      </c>
      <c r="V260" s="37">
        <f>VLOOKUP(B260,'[1]INV. 2026'!$B:$J,9,0)</f>
        <v>400000</v>
      </c>
      <c r="W260" s="59">
        <f t="shared" si="14"/>
        <v>800000</v>
      </c>
      <c r="X260" s="60">
        <f t="shared" si="18"/>
        <v>2</v>
      </c>
      <c r="Y260" s="60">
        <f t="shared" si="15"/>
        <v>2</v>
      </c>
      <c r="Z260" s="60">
        <f t="shared" si="19"/>
        <v>2</v>
      </c>
    </row>
    <row r="261" spans="1:26">
      <c r="A261" s="12">
        <v>257</v>
      </c>
      <c r="B261" s="16" t="s">
        <v>538</v>
      </c>
      <c r="C261" s="16">
        <v>64556783</v>
      </c>
      <c r="D261" s="16">
        <v>3017981102</v>
      </c>
      <c r="E261" s="12" t="s">
        <v>539</v>
      </c>
      <c r="F261" s="12"/>
      <c r="G261" s="13"/>
      <c r="H261" s="14"/>
      <c r="I261" s="24" t="s">
        <v>116</v>
      </c>
      <c r="J261" s="37"/>
      <c r="K261" s="37"/>
      <c r="L261" s="37"/>
      <c r="M261" s="37"/>
      <c r="N261" s="38"/>
      <c r="O261" s="41"/>
      <c r="P261" s="40"/>
      <c r="Q261" s="40"/>
      <c r="R261" s="37">
        <v>0</v>
      </c>
      <c r="S261" s="37">
        <v>0</v>
      </c>
      <c r="T261" s="37">
        <v>400000</v>
      </c>
      <c r="U261" s="37">
        <v>400000</v>
      </c>
      <c r="V261" s="37">
        <f>VLOOKUP(B261,'[1]INV. 2026'!$B:$J,9,0)</f>
        <v>0</v>
      </c>
      <c r="W261" s="59">
        <f t="shared" si="14"/>
        <v>800000</v>
      </c>
      <c r="X261" s="60">
        <f t="shared" si="18"/>
        <v>2</v>
      </c>
      <c r="Y261" s="60">
        <f t="shared" si="15"/>
        <v>2</v>
      </c>
      <c r="Z261" s="60">
        <f t="shared" si="19"/>
        <v>2</v>
      </c>
    </row>
    <row r="262" spans="1:26">
      <c r="A262" s="12">
        <v>258</v>
      </c>
      <c r="B262" s="16" t="s">
        <v>540</v>
      </c>
      <c r="C262" s="16">
        <v>30771251</v>
      </c>
      <c r="D262" s="16" t="s">
        <v>541</v>
      </c>
      <c r="E262" s="12" t="s">
        <v>539</v>
      </c>
      <c r="F262" s="12"/>
      <c r="G262" s="13"/>
      <c r="H262" s="14"/>
      <c r="I262" s="24" t="s">
        <v>116</v>
      </c>
      <c r="J262" s="37"/>
      <c r="K262" s="37"/>
      <c r="L262" s="37"/>
      <c r="M262" s="37"/>
      <c r="N262" s="38"/>
      <c r="O262" s="41"/>
      <c r="P262" s="40"/>
      <c r="Q262" s="40"/>
      <c r="R262" s="37">
        <v>0</v>
      </c>
      <c r="S262" s="37">
        <v>0</v>
      </c>
      <c r="T262" s="37">
        <v>400000</v>
      </c>
      <c r="U262" s="37">
        <v>400000</v>
      </c>
      <c r="V262" s="37">
        <f>VLOOKUP(B262,'[1]INV. 2026'!$B:$J,9,0)</f>
        <v>0</v>
      </c>
      <c r="W262" s="59">
        <f t="shared" ref="W262:W296" si="24">SUM(J262:V262)</f>
        <v>800000</v>
      </c>
      <c r="X262" s="60">
        <f t="shared" si="18"/>
        <v>2</v>
      </c>
      <c r="Y262" s="60">
        <f t="shared" ref="Y262:Y296" si="25">COUNTIF(J262:V262,"&gt;0")</f>
        <v>2</v>
      </c>
      <c r="Z262" s="60">
        <f t="shared" si="19"/>
        <v>2</v>
      </c>
    </row>
    <row r="263" spans="1:26">
      <c r="A263" s="12">
        <v>259</v>
      </c>
      <c r="B263" s="16" t="s">
        <v>542</v>
      </c>
      <c r="C263" s="16">
        <v>45758051</v>
      </c>
      <c r="D263" s="16" t="s">
        <v>543</v>
      </c>
      <c r="E263" s="12" t="s">
        <v>539</v>
      </c>
      <c r="F263" s="12"/>
      <c r="G263" s="13"/>
      <c r="H263" s="14"/>
      <c r="I263" s="24" t="s">
        <v>116</v>
      </c>
      <c r="J263" s="37"/>
      <c r="K263" s="37"/>
      <c r="L263" s="37"/>
      <c r="M263" s="37"/>
      <c r="N263" s="38"/>
      <c r="O263" s="41"/>
      <c r="P263" s="40"/>
      <c r="Q263" s="40"/>
      <c r="R263" s="37">
        <v>0</v>
      </c>
      <c r="S263" s="37">
        <v>0</v>
      </c>
      <c r="T263" s="37">
        <v>400000</v>
      </c>
      <c r="U263" s="37">
        <v>0</v>
      </c>
      <c r="V263" s="37">
        <f>VLOOKUP(B263,'[1]INV. 2026'!$B:$J,9,0)</f>
        <v>0</v>
      </c>
      <c r="W263" s="59">
        <f t="shared" si="24"/>
        <v>400000</v>
      </c>
      <c r="X263" s="60">
        <f t="shared" si="18"/>
        <v>1</v>
      </c>
      <c r="Y263" s="60">
        <f t="shared" si="25"/>
        <v>1</v>
      </c>
      <c r="Z263" s="60">
        <f t="shared" si="19"/>
        <v>1</v>
      </c>
    </row>
    <row r="264" spans="1:26">
      <c r="A264" s="12">
        <v>260</v>
      </c>
      <c r="B264" s="16" t="s">
        <v>544</v>
      </c>
      <c r="C264" s="16">
        <v>88137146</v>
      </c>
      <c r="D264" s="16">
        <v>3157943643</v>
      </c>
      <c r="E264" s="12" t="s">
        <v>344</v>
      </c>
      <c r="F264" s="12"/>
      <c r="G264" s="13"/>
      <c r="H264" s="14"/>
      <c r="I264" s="24" t="s">
        <v>116</v>
      </c>
      <c r="J264" s="37"/>
      <c r="K264" s="37"/>
      <c r="L264" s="37"/>
      <c r="M264" s="37"/>
      <c r="N264" s="38"/>
      <c r="O264" s="41"/>
      <c r="P264" s="40"/>
      <c r="Q264" s="40"/>
      <c r="R264" s="37">
        <v>0</v>
      </c>
      <c r="S264" s="37">
        <v>0</v>
      </c>
      <c r="T264" s="37">
        <v>400000</v>
      </c>
      <c r="U264" s="37">
        <v>400000</v>
      </c>
      <c r="V264" s="37">
        <f>VLOOKUP(B264,'[1]INV. 2026'!$B:$J,9,0)</f>
        <v>0</v>
      </c>
      <c r="W264" s="59">
        <f t="shared" si="24"/>
        <v>800000</v>
      </c>
      <c r="X264" s="60">
        <f t="shared" si="18"/>
        <v>2</v>
      </c>
      <c r="Y264" s="60">
        <f t="shared" si="25"/>
        <v>2</v>
      </c>
      <c r="Z264" s="60">
        <f t="shared" si="19"/>
        <v>2</v>
      </c>
    </row>
    <row r="265" spans="1:26">
      <c r="A265" s="12">
        <v>261</v>
      </c>
      <c r="B265" s="16" t="s">
        <v>545</v>
      </c>
      <c r="C265" s="16">
        <v>88284263</v>
      </c>
      <c r="D265" s="16">
        <v>88284263</v>
      </c>
      <c r="E265" s="12" t="s">
        <v>344</v>
      </c>
      <c r="F265" s="12"/>
      <c r="G265" s="13"/>
      <c r="H265" s="14"/>
      <c r="I265" s="24" t="s">
        <v>116</v>
      </c>
      <c r="J265" s="37"/>
      <c r="K265" s="37"/>
      <c r="L265" s="37"/>
      <c r="M265" s="37"/>
      <c r="N265" s="38"/>
      <c r="O265" s="41"/>
      <c r="P265" s="40"/>
      <c r="Q265" s="40"/>
      <c r="R265" s="37">
        <v>0</v>
      </c>
      <c r="S265" s="37">
        <v>0</v>
      </c>
      <c r="T265" s="37">
        <v>400000</v>
      </c>
      <c r="U265" s="37">
        <v>400000</v>
      </c>
      <c r="V265" s="37">
        <f>VLOOKUP(B265,'[1]INV. 2026'!$B:$J,9,0)</f>
        <v>400000</v>
      </c>
      <c r="W265" s="59">
        <f t="shared" si="24"/>
        <v>1200000</v>
      </c>
      <c r="X265" s="60">
        <f t="shared" si="18"/>
        <v>3</v>
      </c>
      <c r="Y265" s="60">
        <f t="shared" si="25"/>
        <v>3</v>
      </c>
      <c r="Z265" s="60">
        <f t="shared" si="19"/>
        <v>3</v>
      </c>
    </row>
    <row r="266" spans="1:26">
      <c r="A266" s="12">
        <v>262</v>
      </c>
      <c r="B266" s="16" t="s">
        <v>546</v>
      </c>
      <c r="C266" s="16">
        <v>77179718</v>
      </c>
      <c r="D266" s="16">
        <v>3214184733</v>
      </c>
      <c r="E266" s="12" t="s">
        <v>344</v>
      </c>
      <c r="F266" s="12"/>
      <c r="G266" s="13"/>
      <c r="H266" s="14"/>
      <c r="I266" s="24" t="s">
        <v>116</v>
      </c>
      <c r="J266" s="37"/>
      <c r="K266" s="37"/>
      <c r="L266" s="37"/>
      <c r="M266" s="37"/>
      <c r="N266" s="38"/>
      <c r="O266" s="41"/>
      <c r="P266" s="40"/>
      <c r="Q266" s="40"/>
      <c r="R266" s="37">
        <v>0</v>
      </c>
      <c r="S266" s="37">
        <v>0</v>
      </c>
      <c r="T266" s="37">
        <v>400000</v>
      </c>
      <c r="U266" s="37">
        <v>400000</v>
      </c>
      <c r="V266" s="37">
        <f>VLOOKUP(B266,'[1]INV. 2026'!$B:$J,9,0)</f>
        <v>0</v>
      </c>
      <c r="W266" s="59">
        <f t="shared" si="24"/>
        <v>800000</v>
      </c>
      <c r="X266" s="60">
        <f t="shared" si="18"/>
        <v>2</v>
      </c>
      <c r="Y266" s="60">
        <f t="shared" si="25"/>
        <v>2</v>
      </c>
      <c r="Z266" s="60">
        <f t="shared" si="19"/>
        <v>2</v>
      </c>
    </row>
    <row r="267" spans="1:26">
      <c r="A267" s="12">
        <v>263</v>
      </c>
      <c r="B267" s="16" t="s">
        <v>555</v>
      </c>
      <c r="C267" s="16">
        <v>16354014</v>
      </c>
      <c r="D267" s="16"/>
      <c r="E267" s="12" t="s">
        <v>346</v>
      </c>
      <c r="F267" s="12"/>
      <c r="G267" s="13"/>
      <c r="H267" s="14"/>
      <c r="I267" s="24" t="s">
        <v>116</v>
      </c>
      <c r="J267" s="37"/>
      <c r="K267" s="37"/>
      <c r="L267" s="37"/>
      <c r="M267" s="37"/>
      <c r="N267" s="38"/>
      <c r="O267" s="41"/>
      <c r="P267" s="40"/>
      <c r="Q267" s="40"/>
      <c r="R267" s="37">
        <v>0</v>
      </c>
      <c r="S267" s="37">
        <v>0</v>
      </c>
      <c r="T267" s="37">
        <v>400000</v>
      </c>
      <c r="U267" s="37">
        <v>400000</v>
      </c>
      <c r="V267" s="37">
        <f>VLOOKUP(B267,'[1]INV. 2026'!$B:$J,9,0)</f>
        <v>0</v>
      </c>
      <c r="W267" s="59">
        <f t="shared" si="24"/>
        <v>800000</v>
      </c>
      <c r="X267" s="60">
        <f t="shared" si="18"/>
        <v>2</v>
      </c>
      <c r="Y267" s="60">
        <f t="shared" si="25"/>
        <v>2</v>
      </c>
      <c r="Z267" s="60">
        <f t="shared" si="19"/>
        <v>2</v>
      </c>
    </row>
    <row r="268" spans="1:26">
      <c r="A268" s="12">
        <v>264</v>
      </c>
      <c r="B268" s="16" t="s">
        <v>556</v>
      </c>
      <c r="C268" s="16">
        <v>26257532</v>
      </c>
      <c r="D268" s="16" t="s">
        <v>557</v>
      </c>
      <c r="E268" s="12" t="s">
        <v>347</v>
      </c>
      <c r="F268" s="12"/>
      <c r="G268" s="13"/>
      <c r="H268" s="14"/>
      <c r="I268" s="24" t="s">
        <v>116</v>
      </c>
      <c r="J268" s="37"/>
      <c r="K268" s="37"/>
      <c r="L268" s="37"/>
      <c r="M268" s="37"/>
      <c r="N268" s="38"/>
      <c r="O268" s="41"/>
      <c r="P268" s="40"/>
      <c r="Q268" s="40"/>
      <c r="R268" s="37">
        <v>0</v>
      </c>
      <c r="S268" s="37">
        <v>0</v>
      </c>
      <c r="T268" s="37">
        <v>0</v>
      </c>
      <c r="U268" s="37">
        <v>400000</v>
      </c>
      <c r="V268" s="37">
        <f>VLOOKUP(B268,'[1]INV. 2026'!$B:$J,9,0)</f>
        <v>400000</v>
      </c>
      <c r="W268" s="59">
        <f t="shared" si="24"/>
        <v>800000</v>
      </c>
      <c r="X268" s="60">
        <f t="shared" si="18"/>
        <v>2</v>
      </c>
      <c r="Y268" s="60">
        <f t="shared" si="25"/>
        <v>2</v>
      </c>
      <c r="Z268" s="60">
        <f t="shared" si="19"/>
        <v>2</v>
      </c>
    </row>
    <row r="269" spans="1:26">
      <c r="A269" s="12">
        <v>265</v>
      </c>
      <c r="B269" s="16" t="s">
        <v>558</v>
      </c>
      <c r="C269" s="16"/>
      <c r="D269" s="16"/>
      <c r="E269" s="12" t="s">
        <v>559</v>
      </c>
      <c r="F269" s="12"/>
      <c r="G269" s="13"/>
      <c r="H269" s="14"/>
      <c r="I269" s="24" t="s">
        <v>116</v>
      </c>
      <c r="J269" s="37"/>
      <c r="K269" s="37"/>
      <c r="L269" s="37"/>
      <c r="M269" s="37"/>
      <c r="N269" s="38"/>
      <c r="O269" s="41"/>
      <c r="P269" s="40"/>
      <c r="Q269" s="40"/>
      <c r="R269" s="37">
        <v>0</v>
      </c>
      <c r="S269" s="37">
        <v>0</v>
      </c>
      <c r="T269" s="37">
        <v>0</v>
      </c>
      <c r="U269" s="37">
        <v>200000</v>
      </c>
      <c r="V269" s="37">
        <f>VLOOKUP(B269,'[1]INV. 2026'!$B:$J,9,0)</f>
        <v>0</v>
      </c>
      <c r="W269" s="59">
        <f t="shared" si="24"/>
        <v>200000</v>
      </c>
      <c r="X269" s="60">
        <f t="shared" ref="X269:X296" si="26">W269/400000</f>
        <v>0.5</v>
      </c>
      <c r="Y269" s="60">
        <f t="shared" si="25"/>
        <v>1</v>
      </c>
      <c r="Z269" s="60">
        <f t="shared" ref="Z269:Z296" si="27">ROUNDUP(X269,0)</f>
        <v>1</v>
      </c>
    </row>
    <row r="270" spans="1:26">
      <c r="A270" s="12">
        <v>266</v>
      </c>
      <c r="B270" s="16" t="s">
        <v>573</v>
      </c>
      <c r="C270" s="16">
        <v>72295408</v>
      </c>
      <c r="D270" s="16"/>
      <c r="E270" s="12" t="s">
        <v>574</v>
      </c>
      <c r="F270" s="12"/>
      <c r="G270" s="13"/>
      <c r="H270" s="14"/>
      <c r="I270" s="24" t="s">
        <v>116</v>
      </c>
      <c r="J270" s="37"/>
      <c r="K270" s="37"/>
      <c r="L270" s="37"/>
      <c r="M270" s="37"/>
      <c r="N270" s="38"/>
      <c r="O270" s="41"/>
      <c r="P270" s="40"/>
      <c r="Q270" s="40"/>
      <c r="R270" s="37">
        <v>0</v>
      </c>
      <c r="S270" s="37">
        <v>0</v>
      </c>
      <c r="T270" s="37">
        <v>0</v>
      </c>
      <c r="U270" s="37">
        <v>50000</v>
      </c>
      <c r="V270" s="37">
        <f>VLOOKUP(B270,'[1]INV. 2026'!$B:$J,9,0)</f>
        <v>0</v>
      </c>
      <c r="W270" s="59">
        <f t="shared" si="24"/>
        <v>50000</v>
      </c>
      <c r="X270" s="60">
        <f t="shared" si="26"/>
        <v>0.125</v>
      </c>
      <c r="Y270" s="60">
        <f t="shared" si="25"/>
        <v>1</v>
      </c>
      <c r="Z270" s="60">
        <f t="shared" si="27"/>
        <v>1</v>
      </c>
    </row>
    <row r="271" spans="1:26">
      <c r="A271" s="12">
        <v>267</v>
      </c>
      <c r="B271" s="16" t="s">
        <v>575</v>
      </c>
      <c r="C271" s="16">
        <v>3770607</v>
      </c>
      <c r="D271" s="16">
        <v>3126624361</v>
      </c>
      <c r="E271" s="12" t="s">
        <v>574</v>
      </c>
      <c r="F271" s="12"/>
      <c r="G271" s="13"/>
      <c r="H271" s="14"/>
      <c r="I271" s="24" t="s">
        <v>116</v>
      </c>
      <c r="J271" s="37"/>
      <c r="K271" s="37"/>
      <c r="L271" s="37"/>
      <c r="M271" s="37"/>
      <c r="N271" s="38"/>
      <c r="O271" s="41"/>
      <c r="P271" s="40"/>
      <c r="Q271" s="40"/>
      <c r="R271" s="37">
        <v>0</v>
      </c>
      <c r="S271" s="37">
        <v>0</v>
      </c>
      <c r="T271" s="37">
        <v>0</v>
      </c>
      <c r="U271" s="37">
        <v>400000</v>
      </c>
      <c r="V271" s="37">
        <f>VLOOKUP(B271,'[1]INV. 2026'!$B:$J,9,0)</f>
        <v>0</v>
      </c>
      <c r="W271" s="59">
        <f t="shared" si="24"/>
        <v>400000</v>
      </c>
      <c r="X271" s="60">
        <f t="shared" si="26"/>
        <v>1</v>
      </c>
      <c r="Y271" s="60">
        <f t="shared" si="25"/>
        <v>1</v>
      </c>
      <c r="Z271" s="60">
        <f t="shared" si="27"/>
        <v>1</v>
      </c>
    </row>
    <row r="272" spans="1:26">
      <c r="A272" s="12">
        <v>268</v>
      </c>
      <c r="B272" s="16" t="s">
        <v>576</v>
      </c>
      <c r="C272" s="16">
        <v>1075271930</v>
      </c>
      <c r="D272" s="16" t="s">
        <v>577</v>
      </c>
      <c r="E272" s="12" t="s">
        <v>578</v>
      </c>
      <c r="F272" s="12"/>
      <c r="G272" s="13"/>
      <c r="H272" s="14"/>
      <c r="I272" s="24" t="s">
        <v>116</v>
      </c>
      <c r="J272" s="37"/>
      <c r="K272" s="37"/>
      <c r="L272" s="37"/>
      <c r="M272" s="37"/>
      <c r="N272" s="38"/>
      <c r="O272" s="41"/>
      <c r="P272" s="40"/>
      <c r="Q272" s="40"/>
      <c r="R272" s="37">
        <v>0</v>
      </c>
      <c r="S272" s="37">
        <v>0</v>
      </c>
      <c r="T272" s="37">
        <v>0</v>
      </c>
      <c r="U272" s="37">
        <v>400000</v>
      </c>
      <c r="V272" s="37">
        <f>VLOOKUP(B272,'[1]INV. 2026'!$B:$J,9,0)</f>
        <v>400000</v>
      </c>
      <c r="W272" s="59">
        <f t="shared" si="24"/>
        <v>800000</v>
      </c>
      <c r="X272" s="60">
        <f t="shared" si="26"/>
        <v>2</v>
      </c>
      <c r="Y272" s="60">
        <f t="shared" si="25"/>
        <v>2</v>
      </c>
      <c r="Z272" s="60">
        <f t="shared" si="27"/>
        <v>2</v>
      </c>
    </row>
    <row r="273" spans="1:26">
      <c r="A273" s="12">
        <v>269</v>
      </c>
      <c r="B273" s="16" t="s">
        <v>579</v>
      </c>
      <c r="C273" s="16">
        <v>1093789365</v>
      </c>
      <c r="D273" s="16"/>
      <c r="E273" s="12" t="s">
        <v>346</v>
      </c>
      <c r="F273" s="12"/>
      <c r="G273" s="13"/>
      <c r="H273" s="14"/>
      <c r="I273" s="24" t="s">
        <v>116</v>
      </c>
      <c r="J273" s="37"/>
      <c r="K273" s="37"/>
      <c r="L273" s="37"/>
      <c r="M273" s="37"/>
      <c r="N273" s="38"/>
      <c r="O273" s="41"/>
      <c r="P273" s="40"/>
      <c r="Q273" s="40"/>
      <c r="R273" s="37">
        <v>0</v>
      </c>
      <c r="S273" s="37">
        <v>0</v>
      </c>
      <c r="T273" s="37">
        <v>0</v>
      </c>
      <c r="U273" s="37">
        <v>1400000</v>
      </c>
      <c r="V273" s="37">
        <f>VLOOKUP(B273,'[1]INV. 2026'!$B:$J,9,0)</f>
        <v>0</v>
      </c>
      <c r="W273" s="59">
        <f t="shared" si="24"/>
        <v>1400000</v>
      </c>
      <c r="X273" s="60">
        <f t="shared" si="26"/>
        <v>3.5</v>
      </c>
      <c r="Y273" s="60">
        <f t="shared" si="25"/>
        <v>1</v>
      </c>
      <c r="Z273" s="60">
        <f t="shared" si="27"/>
        <v>4</v>
      </c>
    </row>
    <row r="274" spans="1:26">
      <c r="A274" s="12">
        <v>270</v>
      </c>
      <c r="B274" s="16" t="s">
        <v>580</v>
      </c>
      <c r="C274" s="16">
        <v>1090399128</v>
      </c>
      <c r="D274" s="16"/>
      <c r="E274" s="12" t="s">
        <v>346</v>
      </c>
      <c r="F274" s="12"/>
      <c r="G274" s="13"/>
      <c r="H274" s="14"/>
      <c r="I274" s="24" t="s">
        <v>116</v>
      </c>
      <c r="J274" s="37"/>
      <c r="K274" s="37"/>
      <c r="L274" s="37"/>
      <c r="M274" s="37"/>
      <c r="N274" s="38"/>
      <c r="O274" s="41"/>
      <c r="P274" s="40"/>
      <c r="Q274" s="40"/>
      <c r="R274" s="37">
        <v>0</v>
      </c>
      <c r="S274" s="37">
        <v>0</v>
      </c>
      <c r="T274" s="37">
        <v>0</v>
      </c>
      <c r="U274" s="37">
        <v>400000</v>
      </c>
      <c r="V274" s="37">
        <f>VLOOKUP(B274,'[1]INV. 2026'!$B:$J,9,0)</f>
        <v>0</v>
      </c>
      <c r="W274" s="59">
        <f t="shared" si="24"/>
        <v>400000</v>
      </c>
      <c r="X274" s="60">
        <f t="shared" si="26"/>
        <v>1</v>
      </c>
      <c r="Y274" s="60">
        <f t="shared" si="25"/>
        <v>1</v>
      </c>
      <c r="Z274" s="60">
        <f t="shared" si="27"/>
        <v>1</v>
      </c>
    </row>
    <row r="275" spans="1:26">
      <c r="A275" s="12">
        <v>271</v>
      </c>
      <c r="B275" s="16" t="s">
        <v>581</v>
      </c>
      <c r="C275" s="16">
        <v>98552933</v>
      </c>
      <c r="D275" s="16">
        <v>3184873565</v>
      </c>
      <c r="E275" s="12" t="s">
        <v>253</v>
      </c>
      <c r="F275" s="12"/>
      <c r="G275" s="13"/>
      <c r="H275" s="14"/>
      <c r="I275" s="24" t="s">
        <v>116</v>
      </c>
      <c r="J275" s="37"/>
      <c r="K275" s="37"/>
      <c r="L275" s="37"/>
      <c r="M275" s="37"/>
      <c r="N275" s="38"/>
      <c r="O275" s="41"/>
      <c r="P275" s="40"/>
      <c r="Q275" s="40"/>
      <c r="R275" s="37">
        <v>0</v>
      </c>
      <c r="S275" s="37">
        <v>0</v>
      </c>
      <c r="T275" s="37">
        <v>0</v>
      </c>
      <c r="U275" s="37">
        <v>400000</v>
      </c>
      <c r="V275" s="37">
        <f>VLOOKUP(B275,'[1]INV. 2026'!$B:$J,9,0)</f>
        <v>0</v>
      </c>
      <c r="W275" s="59">
        <f t="shared" si="24"/>
        <v>400000</v>
      </c>
      <c r="X275" s="60">
        <f t="shared" si="26"/>
        <v>1</v>
      </c>
      <c r="Y275" s="60">
        <f t="shared" si="25"/>
        <v>1</v>
      </c>
      <c r="Z275" s="60">
        <f t="shared" si="27"/>
        <v>1</v>
      </c>
    </row>
    <row r="276" spans="1:26">
      <c r="A276" s="12">
        <v>272</v>
      </c>
      <c r="B276" s="16" t="s">
        <v>582</v>
      </c>
      <c r="C276" s="16">
        <v>45758051</v>
      </c>
      <c r="D276" s="16"/>
      <c r="E276" s="12" t="s">
        <v>539</v>
      </c>
      <c r="F276" s="12"/>
      <c r="G276" s="13"/>
      <c r="H276" s="14"/>
      <c r="I276" s="24" t="s">
        <v>116</v>
      </c>
      <c r="J276" s="37"/>
      <c r="K276" s="37"/>
      <c r="L276" s="37"/>
      <c r="M276" s="37"/>
      <c r="N276" s="38"/>
      <c r="O276" s="41"/>
      <c r="P276" s="40"/>
      <c r="Q276" s="40"/>
      <c r="R276" s="37">
        <v>0</v>
      </c>
      <c r="S276" s="37">
        <v>0</v>
      </c>
      <c r="T276" s="37">
        <v>0</v>
      </c>
      <c r="U276" s="37">
        <v>400000</v>
      </c>
      <c r="V276" s="37">
        <f>VLOOKUP(B276,'[1]INV. 2026'!$B:$J,9,0)</f>
        <v>0</v>
      </c>
      <c r="W276" s="59">
        <f t="shared" si="24"/>
        <v>400000</v>
      </c>
      <c r="X276" s="60">
        <f t="shared" ref="X276:X294" si="28">W276/400000</f>
        <v>1</v>
      </c>
      <c r="Y276" s="60">
        <f t="shared" si="25"/>
        <v>1</v>
      </c>
      <c r="Z276" s="60">
        <f t="shared" ref="Z276:Z294" si="29">ROUNDUP(X276,0)</f>
        <v>1</v>
      </c>
    </row>
    <row r="277" spans="1:26">
      <c r="A277" s="12">
        <v>273</v>
      </c>
      <c r="B277" s="16" t="s">
        <v>583</v>
      </c>
      <c r="C277" s="16">
        <v>1091662369</v>
      </c>
      <c r="D277" s="16">
        <v>3155529907</v>
      </c>
      <c r="E277" s="12" t="s">
        <v>344</v>
      </c>
      <c r="F277" s="12"/>
      <c r="G277" s="13"/>
      <c r="H277" s="14"/>
      <c r="I277" s="24" t="s">
        <v>116</v>
      </c>
      <c r="J277" s="37"/>
      <c r="K277" s="37"/>
      <c r="L277" s="37"/>
      <c r="M277" s="37"/>
      <c r="N277" s="38"/>
      <c r="O277" s="41"/>
      <c r="P277" s="40"/>
      <c r="Q277" s="40"/>
      <c r="R277" s="37">
        <v>0</v>
      </c>
      <c r="S277" s="37">
        <v>0</v>
      </c>
      <c r="T277" s="37">
        <v>0</v>
      </c>
      <c r="U277" s="37">
        <v>400000</v>
      </c>
      <c r="V277" s="37">
        <f>VLOOKUP(B277,'[1]INV. 2026'!$B:$J,9,0)</f>
        <v>0</v>
      </c>
      <c r="W277" s="59">
        <f t="shared" si="24"/>
        <v>400000</v>
      </c>
      <c r="X277" s="60">
        <f t="shared" si="28"/>
        <v>1</v>
      </c>
      <c r="Y277" s="60">
        <f t="shared" si="25"/>
        <v>1</v>
      </c>
      <c r="Z277" s="60">
        <f t="shared" si="29"/>
        <v>1</v>
      </c>
    </row>
    <row r="278" spans="1:26">
      <c r="A278" s="12"/>
      <c r="B278" s="16" t="s">
        <v>586</v>
      </c>
      <c r="C278" s="16">
        <v>16071816</v>
      </c>
      <c r="D278" s="16">
        <v>3176880448</v>
      </c>
      <c r="E278" s="12" t="s">
        <v>352</v>
      </c>
      <c r="F278" s="12"/>
      <c r="G278" s="13"/>
      <c r="H278" s="14"/>
      <c r="I278" s="24" t="s">
        <v>116</v>
      </c>
      <c r="J278" s="37"/>
      <c r="K278" s="37"/>
      <c r="L278" s="37"/>
      <c r="M278" s="37"/>
      <c r="N278" s="38"/>
      <c r="O278" s="41"/>
      <c r="P278" s="40"/>
      <c r="Q278" s="40"/>
      <c r="R278" s="37">
        <v>0</v>
      </c>
      <c r="S278" s="37">
        <v>0</v>
      </c>
      <c r="T278" s="37">
        <v>0</v>
      </c>
      <c r="U278" s="37">
        <v>80000</v>
      </c>
      <c r="V278" s="37">
        <f>VLOOKUP(B278,'[1]INV. 2026'!$B:$J,9,0)</f>
        <v>150000</v>
      </c>
      <c r="W278" s="59">
        <f t="shared" si="24"/>
        <v>230000</v>
      </c>
      <c r="X278" s="60">
        <f t="shared" si="28"/>
        <v>0.57499999999999996</v>
      </c>
      <c r="Y278" s="60">
        <f t="shared" si="25"/>
        <v>2</v>
      </c>
      <c r="Z278" s="60">
        <f t="shared" si="29"/>
        <v>1</v>
      </c>
    </row>
    <row r="279" spans="1:26">
      <c r="A279" s="12"/>
      <c r="B279" s="16" t="s">
        <v>587</v>
      </c>
      <c r="C279" s="16">
        <v>1122403315</v>
      </c>
      <c r="D279" s="16">
        <v>3135707447</v>
      </c>
      <c r="E279" s="12" t="s">
        <v>588</v>
      </c>
      <c r="F279" s="12"/>
      <c r="G279" s="13"/>
      <c r="H279" s="14"/>
      <c r="I279" s="24"/>
      <c r="J279" s="37"/>
      <c r="K279" s="37"/>
      <c r="L279" s="37"/>
      <c r="M279" s="37"/>
      <c r="N279" s="38"/>
      <c r="O279" s="41"/>
      <c r="P279" s="40"/>
      <c r="Q279" s="40"/>
      <c r="R279" s="37">
        <v>0</v>
      </c>
      <c r="S279" s="37">
        <v>0</v>
      </c>
      <c r="T279" s="37">
        <v>0</v>
      </c>
      <c r="U279" s="37">
        <v>400000</v>
      </c>
      <c r="V279" s="37">
        <f>VLOOKUP(B279,'[1]INV. 2026'!$B:$J,9,0)</f>
        <v>0</v>
      </c>
      <c r="W279" s="59">
        <f t="shared" si="24"/>
        <v>400000</v>
      </c>
      <c r="X279" s="60">
        <f t="shared" ref="X279:X291" si="30">W279/400000</f>
        <v>1</v>
      </c>
      <c r="Y279" s="60">
        <f t="shared" si="25"/>
        <v>1</v>
      </c>
      <c r="Z279" s="60">
        <f t="shared" ref="Z279:Z291" si="31">ROUNDUP(X279,0)</f>
        <v>1</v>
      </c>
    </row>
    <row r="280" spans="1:26">
      <c r="A280" s="12"/>
      <c r="B280" s="16" t="s">
        <v>589</v>
      </c>
      <c r="C280" s="16">
        <v>1090405714</v>
      </c>
      <c r="D280" s="16"/>
      <c r="E280" s="12" t="s">
        <v>346</v>
      </c>
      <c r="F280" s="12"/>
      <c r="G280" s="13"/>
      <c r="H280" s="14"/>
      <c r="I280" s="24"/>
      <c r="J280" s="37"/>
      <c r="K280" s="37"/>
      <c r="L280" s="37"/>
      <c r="M280" s="37"/>
      <c r="N280" s="38"/>
      <c r="O280" s="41"/>
      <c r="P280" s="40"/>
      <c r="Q280" s="40"/>
      <c r="R280" s="37">
        <v>0</v>
      </c>
      <c r="S280" s="37">
        <v>0</v>
      </c>
      <c r="T280" s="37">
        <v>0</v>
      </c>
      <c r="U280" s="37">
        <v>400000</v>
      </c>
      <c r="V280" s="37">
        <f>VLOOKUP(B280,'[1]INV. 2026'!$B:$J,9,0)</f>
        <v>0</v>
      </c>
      <c r="W280" s="59">
        <f t="shared" si="24"/>
        <v>400000</v>
      </c>
      <c r="X280" s="60">
        <f t="shared" si="30"/>
        <v>1</v>
      </c>
      <c r="Y280" s="60">
        <f t="shared" si="25"/>
        <v>1</v>
      </c>
      <c r="Z280" s="60">
        <f t="shared" si="31"/>
        <v>1</v>
      </c>
    </row>
    <row r="281" spans="1:26">
      <c r="A281" s="12"/>
      <c r="B281" s="16" t="s">
        <v>590</v>
      </c>
      <c r="C281" s="16"/>
      <c r="D281" s="16"/>
      <c r="E281" s="12" t="s">
        <v>351</v>
      </c>
      <c r="F281" s="12"/>
      <c r="G281" s="13"/>
      <c r="H281" s="14"/>
      <c r="I281" s="24"/>
      <c r="J281" s="37"/>
      <c r="K281" s="37"/>
      <c r="L281" s="37"/>
      <c r="M281" s="37"/>
      <c r="N281" s="38"/>
      <c r="O281" s="41"/>
      <c r="P281" s="40"/>
      <c r="Q281" s="40"/>
      <c r="R281" s="37">
        <v>0</v>
      </c>
      <c r="S281" s="37">
        <v>0</v>
      </c>
      <c r="T281" s="37">
        <v>0</v>
      </c>
      <c r="U281" s="37">
        <v>400000</v>
      </c>
      <c r="V281" s="37">
        <f>VLOOKUP(B281,'[1]INV. 2026'!$B:$J,9,0)</f>
        <v>0</v>
      </c>
      <c r="W281" s="59">
        <f t="shared" si="24"/>
        <v>400000</v>
      </c>
      <c r="X281" s="60">
        <f t="shared" si="30"/>
        <v>1</v>
      </c>
      <c r="Y281" s="60">
        <f t="shared" si="25"/>
        <v>1</v>
      </c>
      <c r="Z281" s="60">
        <f t="shared" si="31"/>
        <v>1</v>
      </c>
    </row>
    <row r="282" spans="1:26">
      <c r="A282" s="12"/>
      <c r="B282" s="16" t="s">
        <v>591</v>
      </c>
      <c r="C282" s="16"/>
      <c r="D282" s="16"/>
      <c r="E282" s="12" t="s">
        <v>455</v>
      </c>
      <c r="F282" s="12"/>
      <c r="G282" s="13"/>
      <c r="H282" s="14"/>
      <c r="I282" s="24"/>
      <c r="J282" s="37"/>
      <c r="K282" s="37"/>
      <c r="L282" s="37"/>
      <c r="M282" s="37"/>
      <c r="N282" s="38"/>
      <c r="O282" s="41"/>
      <c r="P282" s="40"/>
      <c r="Q282" s="40"/>
      <c r="R282" s="37">
        <v>0</v>
      </c>
      <c r="S282" s="37">
        <v>0</v>
      </c>
      <c r="T282" s="37">
        <v>0</v>
      </c>
      <c r="U282" s="37">
        <v>400000</v>
      </c>
      <c r="V282" s="37">
        <f>VLOOKUP(B282,'[1]INV. 2026'!$B:$J,9,0)</f>
        <v>0</v>
      </c>
      <c r="W282" s="59">
        <f t="shared" si="24"/>
        <v>400000</v>
      </c>
      <c r="X282" s="60">
        <f t="shared" si="30"/>
        <v>1</v>
      </c>
      <c r="Y282" s="60">
        <f t="shared" si="25"/>
        <v>1</v>
      </c>
      <c r="Z282" s="60">
        <f t="shared" si="31"/>
        <v>1</v>
      </c>
    </row>
    <row r="283" spans="1:26">
      <c r="A283" s="12"/>
      <c r="B283" s="16" t="s">
        <v>592</v>
      </c>
      <c r="C283" s="16"/>
      <c r="D283" s="16"/>
      <c r="E283" s="12" t="s">
        <v>346</v>
      </c>
      <c r="F283" s="12"/>
      <c r="G283" s="13"/>
      <c r="H283" s="14"/>
      <c r="I283" s="24"/>
      <c r="J283" s="37"/>
      <c r="K283" s="37"/>
      <c r="L283" s="37"/>
      <c r="M283" s="37"/>
      <c r="N283" s="38"/>
      <c r="O283" s="41"/>
      <c r="P283" s="40"/>
      <c r="Q283" s="40"/>
      <c r="R283" s="37">
        <v>0</v>
      </c>
      <c r="S283" s="37">
        <v>0</v>
      </c>
      <c r="T283" s="37">
        <v>0</v>
      </c>
      <c r="U283" s="37">
        <v>400000</v>
      </c>
      <c r="V283" s="37">
        <f>VLOOKUP(B283,'[1]INV. 2026'!$B:$J,9,0)</f>
        <v>0</v>
      </c>
      <c r="W283" s="59">
        <f t="shared" si="24"/>
        <v>400000</v>
      </c>
      <c r="X283" s="60">
        <f t="shared" si="30"/>
        <v>1</v>
      </c>
      <c r="Y283" s="60">
        <f t="shared" si="25"/>
        <v>1</v>
      </c>
      <c r="Z283" s="60">
        <f t="shared" si="31"/>
        <v>1</v>
      </c>
    </row>
    <row r="284" spans="1:26">
      <c r="A284" s="12"/>
      <c r="B284" s="16"/>
      <c r="C284" s="16"/>
      <c r="D284" s="16"/>
      <c r="E284" s="12"/>
      <c r="F284" s="12"/>
      <c r="G284" s="13"/>
      <c r="H284" s="14"/>
      <c r="I284" s="24"/>
      <c r="J284" s="37"/>
      <c r="K284" s="37"/>
      <c r="L284" s="37"/>
      <c r="M284" s="37"/>
      <c r="N284" s="38"/>
      <c r="O284" s="41"/>
      <c r="P284" s="40"/>
      <c r="Q284" s="40"/>
      <c r="R284" s="37">
        <v>0</v>
      </c>
      <c r="S284" s="37">
        <v>0</v>
      </c>
      <c r="T284" s="37">
        <v>0</v>
      </c>
      <c r="U284" s="37">
        <v>0</v>
      </c>
      <c r="V284" s="37" t="e">
        <f>VLOOKUP(B284,'[1]INV. 2026'!$B:$J,9,0)</f>
        <v>#N/A</v>
      </c>
      <c r="W284" s="59" t="e">
        <f t="shared" si="24"/>
        <v>#N/A</v>
      </c>
      <c r="X284" s="60" t="e">
        <f t="shared" si="30"/>
        <v>#N/A</v>
      </c>
      <c r="Y284" s="60">
        <f t="shared" si="25"/>
        <v>0</v>
      </c>
      <c r="Z284" s="60" t="e">
        <f t="shared" si="31"/>
        <v>#N/A</v>
      </c>
    </row>
    <row r="285" spans="1:26">
      <c r="A285" s="12"/>
      <c r="B285" s="16"/>
      <c r="C285" s="16"/>
      <c r="D285" s="16"/>
      <c r="E285" s="12"/>
      <c r="F285" s="12"/>
      <c r="G285" s="13"/>
      <c r="H285" s="14"/>
      <c r="I285" s="24"/>
      <c r="J285" s="37"/>
      <c r="K285" s="37"/>
      <c r="L285" s="37"/>
      <c r="M285" s="37"/>
      <c r="N285" s="38"/>
      <c r="O285" s="41"/>
      <c r="P285" s="40"/>
      <c r="Q285" s="40"/>
      <c r="R285" s="37">
        <v>0</v>
      </c>
      <c r="S285" s="37">
        <v>0</v>
      </c>
      <c r="T285" s="37">
        <v>0</v>
      </c>
      <c r="U285" s="37">
        <v>0</v>
      </c>
      <c r="V285" s="37" t="e">
        <f>VLOOKUP(B285,'[1]INV. 2026'!$B:$J,9,0)</f>
        <v>#N/A</v>
      </c>
      <c r="W285" s="59" t="e">
        <f t="shared" si="24"/>
        <v>#N/A</v>
      </c>
      <c r="X285" s="60" t="e">
        <f t="shared" si="30"/>
        <v>#N/A</v>
      </c>
      <c r="Y285" s="60">
        <f t="shared" si="25"/>
        <v>0</v>
      </c>
      <c r="Z285" s="60" t="e">
        <f t="shared" si="31"/>
        <v>#N/A</v>
      </c>
    </row>
    <row r="286" spans="1:26">
      <c r="A286" s="12"/>
      <c r="B286" s="16"/>
      <c r="C286" s="16"/>
      <c r="D286" s="16"/>
      <c r="E286" s="12"/>
      <c r="F286" s="12"/>
      <c r="G286" s="13"/>
      <c r="H286" s="14"/>
      <c r="I286" s="24"/>
      <c r="J286" s="37"/>
      <c r="K286" s="37"/>
      <c r="L286" s="37"/>
      <c r="M286" s="37"/>
      <c r="N286" s="38"/>
      <c r="O286" s="41"/>
      <c r="P286" s="40"/>
      <c r="Q286" s="40"/>
      <c r="R286" s="37">
        <v>0</v>
      </c>
      <c r="S286" s="37">
        <v>0</v>
      </c>
      <c r="T286" s="37">
        <v>0</v>
      </c>
      <c r="U286" s="37">
        <v>0</v>
      </c>
      <c r="V286" s="37" t="e">
        <f>VLOOKUP(B286,'[1]INV. 2026'!$B:$J,9,0)</f>
        <v>#N/A</v>
      </c>
      <c r="W286" s="59" t="e">
        <f t="shared" si="24"/>
        <v>#N/A</v>
      </c>
      <c r="X286" s="60" t="e">
        <f t="shared" si="30"/>
        <v>#N/A</v>
      </c>
      <c r="Y286" s="60">
        <f t="shared" si="25"/>
        <v>0</v>
      </c>
      <c r="Z286" s="60" t="e">
        <f t="shared" si="31"/>
        <v>#N/A</v>
      </c>
    </row>
    <row r="287" spans="1:26">
      <c r="A287" s="12"/>
      <c r="B287" s="16"/>
      <c r="C287" s="16"/>
      <c r="D287" s="16"/>
      <c r="E287" s="12"/>
      <c r="F287" s="12"/>
      <c r="G287" s="13"/>
      <c r="H287" s="14"/>
      <c r="I287" s="24"/>
      <c r="J287" s="37"/>
      <c r="K287" s="37"/>
      <c r="L287" s="37"/>
      <c r="M287" s="37"/>
      <c r="N287" s="38"/>
      <c r="O287" s="41"/>
      <c r="P287" s="40"/>
      <c r="Q287" s="40"/>
      <c r="R287" s="37">
        <v>0</v>
      </c>
      <c r="S287" s="37">
        <v>0</v>
      </c>
      <c r="T287" s="37">
        <v>0</v>
      </c>
      <c r="U287" s="37">
        <v>0</v>
      </c>
      <c r="V287" s="37" t="e">
        <f>VLOOKUP(B287,'[1]INV. 2026'!$B:$J,9,0)</f>
        <v>#N/A</v>
      </c>
      <c r="W287" s="59" t="e">
        <f t="shared" si="24"/>
        <v>#N/A</v>
      </c>
      <c r="X287" s="60" t="e">
        <f t="shared" si="30"/>
        <v>#N/A</v>
      </c>
      <c r="Y287" s="60">
        <f t="shared" si="25"/>
        <v>0</v>
      </c>
      <c r="Z287" s="60" t="e">
        <f t="shared" si="31"/>
        <v>#N/A</v>
      </c>
    </row>
    <row r="288" spans="1:26">
      <c r="A288" s="12"/>
      <c r="B288" s="16"/>
      <c r="C288" s="16"/>
      <c r="D288" s="16"/>
      <c r="E288" s="12"/>
      <c r="F288" s="12"/>
      <c r="G288" s="13"/>
      <c r="H288" s="14"/>
      <c r="I288" s="24"/>
      <c r="J288" s="37"/>
      <c r="K288" s="37"/>
      <c r="L288" s="37"/>
      <c r="M288" s="37"/>
      <c r="N288" s="38"/>
      <c r="O288" s="41"/>
      <c r="P288" s="40"/>
      <c r="Q288" s="40"/>
      <c r="R288" s="37">
        <v>0</v>
      </c>
      <c r="S288" s="37">
        <v>0</v>
      </c>
      <c r="T288" s="37">
        <v>0</v>
      </c>
      <c r="U288" s="37">
        <v>0</v>
      </c>
      <c r="V288" s="37" t="e">
        <f>VLOOKUP(B288,'[1]INV. 2026'!$B:$J,9,0)</f>
        <v>#N/A</v>
      </c>
      <c r="W288" s="59" t="e">
        <f t="shared" si="24"/>
        <v>#N/A</v>
      </c>
      <c r="X288" s="60" t="e">
        <f t="shared" si="30"/>
        <v>#N/A</v>
      </c>
      <c r="Y288" s="60">
        <f t="shared" si="25"/>
        <v>0</v>
      </c>
      <c r="Z288" s="60" t="e">
        <f t="shared" si="31"/>
        <v>#N/A</v>
      </c>
    </row>
    <row r="289" spans="1:26">
      <c r="A289" s="12"/>
      <c r="B289" s="16"/>
      <c r="C289" s="16"/>
      <c r="D289" s="16"/>
      <c r="E289" s="12"/>
      <c r="F289" s="12"/>
      <c r="G289" s="13"/>
      <c r="H289" s="14"/>
      <c r="I289" s="24"/>
      <c r="J289" s="37"/>
      <c r="K289" s="37"/>
      <c r="L289" s="37"/>
      <c r="M289" s="37"/>
      <c r="N289" s="38"/>
      <c r="O289" s="41"/>
      <c r="P289" s="40"/>
      <c r="Q289" s="40"/>
      <c r="R289" s="37">
        <v>0</v>
      </c>
      <c r="S289" s="37">
        <v>0</v>
      </c>
      <c r="T289" s="37">
        <v>0</v>
      </c>
      <c r="U289" s="37">
        <v>0</v>
      </c>
      <c r="V289" s="37" t="e">
        <f>VLOOKUP(B289,'[1]INV. 2026'!$B:$J,9,0)</f>
        <v>#N/A</v>
      </c>
      <c r="W289" s="59" t="e">
        <f t="shared" si="24"/>
        <v>#N/A</v>
      </c>
      <c r="X289" s="60" t="e">
        <f t="shared" si="30"/>
        <v>#N/A</v>
      </c>
      <c r="Y289" s="60">
        <f t="shared" si="25"/>
        <v>0</v>
      </c>
      <c r="Z289" s="60" t="e">
        <f t="shared" si="31"/>
        <v>#N/A</v>
      </c>
    </row>
    <row r="290" spans="1:26">
      <c r="A290" s="12"/>
      <c r="B290" s="16"/>
      <c r="C290" s="16"/>
      <c r="D290" s="16"/>
      <c r="E290" s="12"/>
      <c r="F290" s="12"/>
      <c r="G290" s="13"/>
      <c r="H290" s="14"/>
      <c r="I290" s="24"/>
      <c r="J290" s="37"/>
      <c r="K290" s="37"/>
      <c r="L290" s="37"/>
      <c r="M290" s="37"/>
      <c r="N290" s="38"/>
      <c r="O290" s="41"/>
      <c r="P290" s="40"/>
      <c r="Q290" s="40"/>
      <c r="R290" s="37">
        <v>0</v>
      </c>
      <c r="S290" s="37">
        <v>0</v>
      </c>
      <c r="T290" s="37">
        <v>0</v>
      </c>
      <c r="U290" s="37">
        <v>0</v>
      </c>
      <c r="V290" s="37" t="e">
        <f>VLOOKUP(B290,'[1]INV. 2026'!$B:$J,9,0)</f>
        <v>#N/A</v>
      </c>
      <c r="W290" s="59" t="e">
        <f t="shared" si="24"/>
        <v>#N/A</v>
      </c>
      <c r="X290" s="60" t="e">
        <f t="shared" si="30"/>
        <v>#N/A</v>
      </c>
      <c r="Y290" s="60">
        <f t="shared" si="25"/>
        <v>0</v>
      </c>
      <c r="Z290" s="60" t="e">
        <f t="shared" si="31"/>
        <v>#N/A</v>
      </c>
    </row>
    <row r="291" spans="1:26">
      <c r="A291" s="12"/>
      <c r="B291" s="16"/>
      <c r="C291" s="16"/>
      <c r="D291" s="16"/>
      <c r="E291" s="12"/>
      <c r="F291" s="12"/>
      <c r="G291" s="13"/>
      <c r="H291" s="14"/>
      <c r="I291" s="24"/>
      <c r="J291" s="37"/>
      <c r="K291" s="37"/>
      <c r="L291" s="37"/>
      <c r="M291" s="37"/>
      <c r="N291" s="38"/>
      <c r="O291" s="41"/>
      <c r="P291" s="40"/>
      <c r="Q291" s="40"/>
      <c r="R291" s="37">
        <v>0</v>
      </c>
      <c r="S291" s="37">
        <v>0</v>
      </c>
      <c r="T291" s="37">
        <v>0</v>
      </c>
      <c r="U291" s="37">
        <v>0</v>
      </c>
      <c r="V291" s="37" t="e">
        <f>VLOOKUP(B291,'[1]INV. 2026'!$B:$J,9,0)</f>
        <v>#N/A</v>
      </c>
      <c r="W291" s="59" t="e">
        <f t="shared" si="24"/>
        <v>#N/A</v>
      </c>
      <c r="X291" s="60" t="e">
        <f t="shared" si="30"/>
        <v>#N/A</v>
      </c>
      <c r="Y291" s="60">
        <f t="shared" si="25"/>
        <v>0</v>
      </c>
      <c r="Z291" s="60" t="e">
        <f t="shared" si="31"/>
        <v>#N/A</v>
      </c>
    </row>
    <row r="292" spans="1:26">
      <c r="A292" s="12"/>
      <c r="B292" s="16"/>
      <c r="C292" s="16"/>
      <c r="D292" s="16"/>
      <c r="E292" s="12"/>
      <c r="F292" s="12"/>
      <c r="G292" s="13"/>
      <c r="H292" s="14"/>
      <c r="I292" s="24"/>
      <c r="J292" s="37"/>
      <c r="K292" s="37"/>
      <c r="L292" s="37"/>
      <c r="M292" s="37"/>
      <c r="N292" s="38"/>
      <c r="O292" s="41"/>
      <c r="P292" s="40"/>
      <c r="Q292" s="40"/>
      <c r="R292" s="37">
        <v>0</v>
      </c>
      <c r="S292" s="37">
        <v>0</v>
      </c>
      <c r="T292" s="37">
        <v>0</v>
      </c>
      <c r="U292" s="37">
        <v>0</v>
      </c>
      <c r="V292" s="37" t="e">
        <f>VLOOKUP(B292,'[1]INV. 2026'!$B:$J,9,0)</f>
        <v>#N/A</v>
      </c>
      <c r="W292" s="59" t="e">
        <f t="shared" si="24"/>
        <v>#N/A</v>
      </c>
      <c r="X292" s="60" t="e">
        <f t="shared" si="28"/>
        <v>#N/A</v>
      </c>
      <c r="Y292" s="60">
        <f t="shared" si="25"/>
        <v>0</v>
      </c>
      <c r="Z292" s="60" t="e">
        <f t="shared" si="29"/>
        <v>#N/A</v>
      </c>
    </row>
    <row r="293" spans="1:26">
      <c r="A293" s="12"/>
      <c r="B293" s="16"/>
      <c r="C293" s="16"/>
      <c r="D293" s="16"/>
      <c r="E293" s="12"/>
      <c r="F293" s="12"/>
      <c r="G293" s="13"/>
      <c r="H293" s="14"/>
      <c r="I293" s="24"/>
      <c r="J293" s="37"/>
      <c r="K293" s="37"/>
      <c r="L293" s="37"/>
      <c r="M293" s="37"/>
      <c r="N293" s="38"/>
      <c r="O293" s="41"/>
      <c r="P293" s="40"/>
      <c r="Q293" s="40"/>
      <c r="R293" s="37">
        <v>0</v>
      </c>
      <c r="S293" s="37">
        <v>0</v>
      </c>
      <c r="T293" s="37">
        <v>0</v>
      </c>
      <c r="U293" s="37">
        <v>0</v>
      </c>
      <c r="V293" s="37" t="e">
        <f>VLOOKUP(B293,'[1]INV. 2026'!$B:$J,9,0)</f>
        <v>#N/A</v>
      </c>
      <c r="W293" s="59" t="e">
        <f t="shared" si="24"/>
        <v>#N/A</v>
      </c>
      <c r="X293" s="60" t="e">
        <f t="shared" si="28"/>
        <v>#N/A</v>
      </c>
      <c r="Y293" s="60">
        <f t="shared" si="25"/>
        <v>0</v>
      </c>
      <c r="Z293" s="60" t="e">
        <f t="shared" si="29"/>
        <v>#N/A</v>
      </c>
    </row>
    <row r="294" spans="1:26">
      <c r="A294" s="12"/>
      <c r="B294" s="16"/>
      <c r="C294" s="16"/>
      <c r="D294" s="16"/>
      <c r="E294" s="12"/>
      <c r="F294" s="12"/>
      <c r="G294" s="13"/>
      <c r="H294" s="14"/>
      <c r="I294" s="24"/>
      <c r="J294" s="37"/>
      <c r="K294" s="37"/>
      <c r="L294" s="37"/>
      <c r="M294" s="37"/>
      <c r="N294" s="38"/>
      <c r="O294" s="41"/>
      <c r="P294" s="40"/>
      <c r="Q294" s="40"/>
      <c r="R294" s="37">
        <v>0</v>
      </c>
      <c r="S294" s="37">
        <v>0</v>
      </c>
      <c r="T294" s="37">
        <v>0</v>
      </c>
      <c r="U294" s="37">
        <v>0</v>
      </c>
      <c r="V294" s="37" t="e">
        <f>VLOOKUP(B294,'[1]INV. 2026'!$B:$J,9,0)</f>
        <v>#N/A</v>
      </c>
      <c r="W294" s="59" t="e">
        <f t="shared" si="24"/>
        <v>#N/A</v>
      </c>
      <c r="X294" s="60" t="e">
        <f t="shared" si="28"/>
        <v>#N/A</v>
      </c>
      <c r="Y294" s="60">
        <f t="shared" si="25"/>
        <v>0</v>
      </c>
      <c r="Z294" s="60" t="e">
        <f t="shared" si="29"/>
        <v>#N/A</v>
      </c>
    </row>
    <row r="295" spans="1:26">
      <c r="A295" s="12"/>
      <c r="B295" s="16"/>
      <c r="C295" s="16"/>
      <c r="D295" s="16"/>
      <c r="E295" s="12"/>
      <c r="F295" s="12"/>
      <c r="G295" s="13"/>
      <c r="H295" s="14"/>
      <c r="I295" s="24"/>
      <c r="J295" s="37"/>
      <c r="K295" s="37"/>
      <c r="L295" s="37"/>
      <c r="M295" s="37"/>
      <c r="N295" s="38"/>
      <c r="O295" s="41"/>
      <c r="P295" s="40"/>
      <c r="Q295" s="40"/>
      <c r="R295" s="37">
        <v>0</v>
      </c>
      <c r="S295" s="37">
        <v>0</v>
      </c>
      <c r="T295" s="37">
        <v>0</v>
      </c>
      <c r="U295" s="37">
        <v>0</v>
      </c>
      <c r="V295" s="37" t="e">
        <f>VLOOKUP(B295,'[1]INV. 2026'!$B:$J,9,0)</f>
        <v>#N/A</v>
      </c>
      <c r="W295" s="59" t="e">
        <f t="shared" si="24"/>
        <v>#N/A</v>
      </c>
      <c r="X295" s="60" t="e">
        <f t="shared" si="26"/>
        <v>#N/A</v>
      </c>
      <c r="Y295" s="60">
        <f t="shared" si="25"/>
        <v>0</v>
      </c>
      <c r="Z295" s="60" t="e">
        <f t="shared" si="27"/>
        <v>#N/A</v>
      </c>
    </row>
    <row r="296" spans="1:26">
      <c r="A296" s="12"/>
      <c r="B296" s="16"/>
      <c r="C296" s="16"/>
      <c r="D296" s="16"/>
      <c r="E296" s="12"/>
      <c r="F296" s="12"/>
      <c r="G296" s="13"/>
      <c r="H296" s="14"/>
      <c r="I296" s="24"/>
      <c r="J296" s="37"/>
      <c r="K296" s="37"/>
      <c r="L296" s="37"/>
      <c r="M296" s="37"/>
      <c r="N296" s="38"/>
      <c r="O296" s="41"/>
      <c r="P296" s="40"/>
      <c r="Q296" s="40"/>
      <c r="R296" s="37">
        <v>0</v>
      </c>
      <c r="S296" s="37">
        <v>0</v>
      </c>
      <c r="T296" s="37">
        <v>0</v>
      </c>
      <c r="U296" s="37">
        <v>0</v>
      </c>
      <c r="V296" s="37" t="e">
        <f>VLOOKUP(B296,'[1]INV. 2026'!$B:$J,9,0)</f>
        <v>#N/A</v>
      </c>
      <c r="W296" s="59" t="e">
        <f t="shared" si="24"/>
        <v>#N/A</v>
      </c>
      <c r="X296" s="60" t="e">
        <f t="shared" si="26"/>
        <v>#N/A</v>
      </c>
      <c r="Y296" s="60">
        <f t="shared" si="25"/>
        <v>0</v>
      </c>
      <c r="Z296" s="60" t="e">
        <f t="shared" si="27"/>
        <v>#N/A</v>
      </c>
    </row>
    <row r="297" spans="1:26" s="52" customFormat="1" ht="12.75">
      <c r="A297" s="79"/>
      <c r="B297" s="80" t="s">
        <v>584</v>
      </c>
      <c r="C297" s="80"/>
      <c r="D297" s="80"/>
      <c r="E297" s="80"/>
      <c r="F297" s="80"/>
      <c r="G297" s="81">
        <f>SUM(G5:G268)</f>
        <v>102168000</v>
      </c>
      <c r="H297" s="82"/>
      <c r="I297" s="83"/>
      <c r="J297" s="84">
        <f t="shared" ref="J297:S297" si="32">SUM(J5:J268)</f>
        <v>23082000</v>
      </c>
      <c r="K297" s="84">
        <f t="shared" si="32"/>
        <v>19771600</v>
      </c>
      <c r="L297" s="84">
        <f t="shared" si="32"/>
        <v>40867000</v>
      </c>
      <c r="M297" s="84">
        <f t="shared" si="32"/>
        <v>42217250</v>
      </c>
      <c r="N297" s="84">
        <f t="shared" si="32"/>
        <v>53415000</v>
      </c>
      <c r="O297" s="84">
        <f t="shared" si="32"/>
        <v>34625000</v>
      </c>
      <c r="P297" s="85">
        <f t="shared" si="32"/>
        <v>47793000</v>
      </c>
      <c r="Q297" s="85">
        <f t="shared" si="32"/>
        <v>55225000</v>
      </c>
      <c r="R297" s="85">
        <f t="shared" si="32"/>
        <v>63734000</v>
      </c>
      <c r="S297" s="84">
        <f t="shared" si="32"/>
        <v>70300000</v>
      </c>
      <c r="T297" s="84">
        <f>SUM(T5:T296)</f>
        <v>92819059</v>
      </c>
      <c r="U297" s="84">
        <f>SUM(U5:U296)</f>
        <v>93925000</v>
      </c>
      <c r="V297" s="84" t="e">
        <f>SUM(V5:V296)</f>
        <v>#N/A</v>
      </c>
      <c r="W297" s="79"/>
      <c r="X297" s="79"/>
      <c r="Y297" s="79"/>
      <c r="Z297" s="79"/>
    </row>
    <row r="298" spans="1:26">
      <c r="A298" s="9"/>
      <c r="B298" s="9"/>
      <c r="C298" s="9"/>
      <c r="D298" s="9"/>
      <c r="E298" s="9"/>
      <c r="F298" s="9"/>
      <c r="G298" s="9"/>
      <c r="H298" s="9"/>
      <c r="I298" s="9"/>
      <c r="J298" s="10"/>
      <c r="K298" s="10"/>
      <c r="L298" s="10"/>
      <c r="M298" s="10"/>
      <c r="N298" s="10"/>
      <c r="O298" s="10"/>
      <c r="P298" s="2"/>
      <c r="Q298" s="2"/>
      <c r="R298" s="2"/>
      <c r="S298" s="10"/>
      <c r="T298" s="10"/>
      <c r="U298" s="10"/>
      <c r="V298" s="10"/>
    </row>
  </sheetData>
  <autoFilter ref="A4:Z297" xr:uid="{00000000-0001-0000-0000-000000000000}"/>
  <sortState xmlns:xlrd2="http://schemas.microsoft.com/office/spreadsheetml/2017/richdata2" ref="B1:I121">
    <sortCondition ref="B1:B121"/>
  </sortState>
  <mergeCells count="1">
    <mergeCell ref="J3:U3"/>
  </mergeCells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1F8F-33E4-4842-8F3B-218BE5B92993}">
  <sheetPr>
    <tabColor rgb="FFFF0000"/>
  </sheetPr>
  <dimension ref="A1:W76"/>
  <sheetViews>
    <sheetView zoomScale="80" zoomScaleNormal="80" workbookViewId="0">
      <pane ySplit="1" topLeftCell="A21" activePane="bottomLeft" state="frozen"/>
      <selection pane="bottomLeft"/>
    </sheetView>
  </sheetViews>
  <sheetFormatPr baseColWidth="10" defaultColWidth="9.140625" defaultRowHeight="15"/>
  <cols>
    <col min="1" max="1" width="4.85546875" customWidth="1"/>
    <col min="2" max="2" width="15.7109375" customWidth="1"/>
    <col min="3" max="3" width="41.140625" customWidth="1"/>
    <col min="4" max="4" width="14.42578125" customWidth="1"/>
    <col min="5" max="5" width="14" customWidth="1"/>
    <col min="6" max="6" width="17.7109375" customWidth="1"/>
    <col min="7" max="7" width="8" customWidth="1"/>
    <col min="8" max="8" width="14.42578125" customWidth="1"/>
    <col min="9" max="9" width="12.7109375" customWidth="1"/>
    <col min="10" max="10" width="14.5703125" customWidth="1"/>
    <col min="11" max="12" width="15.28515625" bestFit="1" customWidth="1"/>
    <col min="13" max="18" width="16.42578125" bestFit="1" customWidth="1"/>
    <col min="19" max="19" width="15.7109375" bestFit="1" customWidth="1"/>
    <col min="20" max="21" width="16.42578125" bestFit="1" customWidth="1"/>
    <col min="22" max="23" width="19" customWidth="1"/>
  </cols>
  <sheetData>
    <row r="1" spans="1:23">
      <c r="I1" s="1"/>
    </row>
    <row r="3" spans="1:23">
      <c r="I3" s="1"/>
    </row>
    <row r="4" spans="1:23">
      <c r="A4" s="11" t="s">
        <v>0</v>
      </c>
      <c r="B4" s="11" t="s">
        <v>315</v>
      </c>
      <c r="C4" s="11" t="s">
        <v>1</v>
      </c>
      <c r="D4" s="11" t="s">
        <v>204</v>
      </c>
      <c r="E4" s="11" t="s">
        <v>205</v>
      </c>
      <c r="F4" s="11" t="s">
        <v>117</v>
      </c>
      <c r="G4" s="11" t="s">
        <v>2</v>
      </c>
      <c r="H4" s="11" t="s">
        <v>207</v>
      </c>
      <c r="I4" s="11" t="s">
        <v>3</v>
      </c>
      <c r="J4" s="11" t="s">
        <v>114</v>
      </c>
      <c r="K4" s="11" t="s">
        <v>118</v>
      </c>
      <c r="L4" s="11" t="s">
        <v>119</v>
      </c>
      <c r="M4" s="11" t="s">
        <v>120</v>
      </c>
      <c r="N4" s="11" t="s">
        <v>121</v>
      </c>
      <c r="O4" s="11" t="s">
        <v>185</v>
      </c>
      <c r="P4" s="11" t="s">
        <v>196</v>
      </c>
      <c r="Q4" s="11" t="s">
        <v>222</v>
      </c>
      <c r="R4" s="11" t="s">
        <v>244</v>
      </c>
      <c r="S4" s="11" t="s">
        <v>266</v>
      </c>
      <c r="T4" s="11" t="s">
        <v>277</v>
      </c>
      <c r="U4" s="11" t="s">
        <v>301</v>
      </c>
      <c r="V4" s="11" t="s">
        <v>302</v>
      </c>
      <c r="W4" s="11" t="s">
        <v>118</v>
      </c>
    </row>
    <row r="5" spans="1:23">
      <c r="A5" s="12">
        <v>1</v>
      </c>
      <c r="B5" s="12" t="s">
        <v>316</v>
      </c>
      <c r="C5" s="20" t="s">
        <v>243</v>
      </c>
      <c r="D5" s="16"/>
      <c r="E5" s="16"/>
      <c r="F5" s="12"/>
      <c r="G5" s="12"/>
      <c r="H5" s="13"/>
      <c r="I5" s="14"/>
      <c r="J5" s="24" t="s">
        <v>116</v>
      </c>
      <c r="K5" s="37"/>
      <c r="L5" s="37"/>
      <c r="M5" s="37"/>
      <c r="N5" s="37"/>
      <c r="O5" s="38"/>
      <c r="P5" s="41"/>
      <c r="Q5" s="40">
        <v>-2600000</v>
      </c>
      <c r="R5" s="40"/>
      <c r="S5" s="37"/>
      <c r="T5" s="37"/>
      <c r="U5" s="37"/>
      <c r="V5" s="37"/>
      <c r="W5" s="37"/>
    </row>
    <row r="6" spans="1:23">
      <c r="A6" s="12">
        <f>A5+1</f>
        <v>2</v>
      </c>
      <c r="B6" s="12" t="s">
        <v>317</v>
      </c>
      <c r="C6" s="20" t="s">
        <v>64</v>
      </c>
      <c r="D6" s="16"/>
      <c r="E6" s="16"/>
      <c r="F6" s="12"/>
      <c r="G6" s="12"/>
      <c r="H6" s="13"/>
      <c r="I6" s="14"/>
      <c r="J6" s="24" t="s">
        <v>116</v>
      </c>
      <c r="K6" s="40">
        <v>-3000000</v>
      </c>
      <c r="L6" s="40">
        <v>-3000000</v>
      </c>
      <c r="M6" s="40">
        <v>-3000000</v>
      </c>
      <c r="N6" s="40">
        <v>-3000000</v>
      </c>
      <c r="O6" s="40">
        <v>-3000000</v>
      </c>
      <c r="P6" s="40">
        <v>-3000000</v>
      </c>
      <c r="Q6" s="40">
        <v>-3000000</v>
      </c>
      <c r="R6" s="40">
        <v>-3000000</v>
      </c>
      <c r="S6" s="40">
        <v>-3000000</v>
      </c>
      <c r="T6" s="40">
        <v>-3000000</v>
      </c>
      <c r="U6" s="40">
        <v>-3000000</v>
      </c>
      <c r="V6" s="40">
        <v>-3000000</v>
      </c>
      <c r="W6" s="40"/>
    </row>
    <row r="7" spans="1:23">
      <c r="A7" s="12">
        <f>A6+1</f>
        <v>3</v>
      </c>
      <c r="B7" s="12" t="s">
        <v>318</v>
      </c>
      <c r="C7" s="26" t="s">
        <v>93</v>
      </c>
      <c r="D7" s="26"/>
      <c r="E7" s="26"/>
      <c r="F7" s="26"/>
      <c r="G7" s="26"/>
      <c r="H7" s="27">
        <v>-12000000</v>
      </c>
      <c r="I7" s="28"/>
      <c r="J7" s="29" t="s">
        <v>115</v>
      </c>
      <c r="K7" s="40">
        <v>-2700000</v>
      </c>
      <c r="L7" s="40">
        <v>-3500000</v>
      </c>
      <c r="M7" s="40"/>
      <c r="N7" s="40"/>
      <c r="O7" s="40"/>
      <c r="P7" s="40"/>
      <c r="Q7" s="40"/>
      <c r="R7" s="40"/>
      <c r="S7" s="40"/>
      <c r="T7" s="40"/>
      <c r="U7" s="40"/>
      <c r="V7" s="37"/>
      <c r="W7" s="37"/>
    </row>
    <row r="8" spans="1:23">
      <c r="A8" s="12">
        <f t="shared" ref="A8:A54" si="0">A7+1</f>
        <v>4</v>
      </c>
      <c r="B8" s="12" t="s">
        <v>318</v>
      </c>
      <c r="C8" s="26" t="s">
        <v>93</v>
      </c>
      <c r="D8" s="26"/>
      <c r="E8" s="26"/>
      <c r="F8" s="26"/>
      <c r="G8" s="26"/>
      <c r="H8" s="27">
        <v>-5231807</v>
      </c>
      <c r="I8" s="28" t="s">
        <v>4</v>
      </c>
      <c r="J8" s="29" t="s">
        <v>115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37"/>
      <c r="W8" s="37"/>
    </row>
    <row r="9" spans="1:23">
      <c r="A9" s="12">
        <f t="shared" si="0"/>
        <v>5</v>
      </c>
      <c r="B9" s="12" t="s">
        <v>318</v>
      </c>
      <c r="C9" s="26" t="s">
        <v>93</v>
      </c>
      <c r="D9" s="26"/>
      <c r="E9" s="26"/>
      <c r="F9" s="26"/>
      <c r="G9" s="26"/>
      <c r="H9" s="27">
        <v>-3500000</v>
      </c>
      <c r="I9" s="28" t="s">
        <v>11</v>
      </c>
      <c r="J9" s="29" t="s">
        <v>115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37"/>
      <c r="W9" s="37"/>
    </row>
    <row r="10" spans="1:23">
      <c r="A10" s="12">
        <f t="shared" si="0"/>
        <v>6</v>
      </c>
      <c r="B10" s="12" t="s">
        <v>324</v>
      </c>
      <c r="C10" s="26" t="s">
        <v>50</v>
      </c>
      <c r="D10" s="26"/>
      <c r="E10" s="26"/>
      <c r="F10" s="26"/>
      <c r="G10" s="26"/>
      <c r="H10" s="27">
        <v>0</v>
      </c>
      <c r="I10" s="28" t="s">
        <v>4</v>
      </c>
      <c r="J10" s="29" t="s">
        <v>115</v>
      </c>
      <c r="K10" s="40">
        <v>-5000000</v>
      </c>
      <c r="L10" s="40">
        <v>-5000000</v>
      </c>
      <c r="M10" s="40">
        <v>-5000000</v>
      </c>
      <c r="N10" s="40">
        <v>-5000000</v>
      </c>
      <c r="O10" s="40">
        <v>-5000000</v>
      </c>
      <c r="P10" s="40">
        <v>-5000000</v>
      </c>
      <c r="Q10" s="40">
        <v>-5000000</v>
      </c>
      <c r="R10" s="40"/>
      <c r="S10" s="40"/>
      <c r="T10" s="40"/>
      <c r="U10" s="40"/>
      <c r="V10" s="37"/>
      <c r="W10" s="37"/>
    </row>
    <row r="11" spans="1:23">
      <c r="A11" s="12">
        <f t="shared" si="0"/>
        <v>7</v>
      </c>
      <c r="B11" s="12" t="s">
        <v>319</v>
      </c>
      <c r="C11" s="26" t="s">
        <v>186</v>
      </c>
      <c r="D11" s="26"/>
      <c r="E11" s="26"/>
      <c r="F11" s="26"/>
      <c r="G11" s="26"/>
      <c r="H11" s="27">
        <v>-20000000</v>
      </c>
      <c r="I11" s="28" t="s">
        <v>4</v>
      </c>
      <c r="J11" s="29" t="s">
        <v>115</v>
      </c>
      <c r="K11" s="40"/>
      <c r="L11" s="40"/>
      <c r="M11" s="40"/>
      <c r="N11" s="40">
        <v>-592000</v>
      </c>
      <c r="O11" s="40"/>
      <c r="P11" s="40"/>
      <c r="Q11" s="40"/>
      <c r="R11" s="40"/>
      <c r="S11" s="40"/>
      <c r="T11" s="40"/>
      <c r="U11" s="40"/>
      <c r="V11" s="37"/>
      <c r="W11" s="37"/>
    </row>
    <row r="12" spans="1:23">
      <c r="A12" s="12">
        <f t="shared" si="0"/>
        <v>8</v>
      </c>
      <c r="B12" s="12" t="s">
        <v>318</v>
      </c>
      <c r="C12" s="26" t="s">
        <v>109</v>
      </c>
      <c r="D12" s="26"/>
      <c r="E12" s="26"/>
      <c r="F12" s="26"/>
      <c r="G12" s="26"/>
      <c r="H12" s="27"/>
      <c r="I12" s="28"/>
      <c r="J12" s="29" t="s">
        <v>115</v>
      </c>
      <c r="K12" s="40"/>
      <c r="L12" s="40">
        <v>-1667500</v>
      </c>
      <c r="M12" s="40"/>
      <c r="N12" s="40"/>
      <c r="O12" s="40"/>
      <c r="P12" s="40"/>
      <c r="Q12" s="40"/>
      <c r="R12" s="40"/>
      <c r="S12" s="40"/>
      <c r="T12" s="40"/>
      <c r="U12" s="40"/>
      <c r="V12" s="37"/>
      <c r="W12" s="37"/>
    </row>
    <row r="13" spans="1:23">
      <c r="A13" s="12">
        <f t="shared" si="0"/>
        <v>9</v>
      </c>
      <c r="B13" s="12" t="s">
        <v>318</v>
      </c>
      <c r="C13" s="26" t="s">
        <v>65</v>
      </c>
      <c r="D13" s="26"/>
      <c r="E13" s="26"/>
      <c r="F13" s="26"/>
      <c r="G13" s="26"/>
      <c r="H13" s="27">
        <v>0</v>
      </c>
      <c r="I13" s="28" t="s">
        <v>12</v>
      </c>
      <c r="J13" s="29" t="s">
        <v>115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37"/>
      <c r="W13" s="37"/>
    </row>
    <row r="14" spans="1:23">
      <c r="A14" s="12">
        <f t="shared" si="0"/>
        <v>10</v>
      </c>
      <c r="B14" s="12" t="s">
        <v>318</v>
      </c>
      <c r="C14" s="26" t="s">
        <v>65</v>
      </c>
      <c r="D14" s="26"/>
      <c r="E14" s="26"/>
      <c r="F14" s="26"/>
      <c r="G14" s="26"/>
      <c r="H14" s="27">
        <v>0</v>
      </c>
      <c r="I14" s="28"/>
      <c r="J14" s="29" t="s">
        <v>115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37"/>
      <c r="W14" s="37"/>
    </row>
    <row r="15" spans="1:23">
      <c r="A15" s="12">
        <f t="shared" si="0"/>
        <v>11</v>
      </c>
      <c r="B15" s="12" t="s">
        <v>325</v>
      </c>
      <c r="C15" s="26" t="s">
        <v>146</v>
      </c>
      <c r="D15" s="26"/>
      <c r="E15" s="26"/>
      <c r="F15" s="26"/>
      <c r="G15" s="26"/>
      <c r="H15" s="27">
        <v>-6700000</v>
      </c>
      <c r="I15" s="28" t="s">
        <v>4</v>
      </c>
      <c r="J15" s="29" t="s">
        <v>115</v>
      </c>
      <c r="K15" s="40"/>
      <c r="L15" s="40"/>
      <c r="M15" s="40"/>
      <c r="N15" s="40">
        <v>-769900</v>
      </c>
      <c r="O15" s="40"/>
      <c r="P15" s="40"/>
      <c r="Q15" s="40"/>
      <c r="R15" s="40"/>
      <c r="S15" s="40"/>
      <c r="T15" s="40"/>
      <c r="U15" s="40"/>
      <c r="V15" s="37"/>
      <c r="W15" s="37"/>
    </row>
    <row r="16" spans="1:23">
      <c r="A16" s="12">
        <f t="shared" si="0"/>
        <v>12</v>
      </c>
      <c r="B16" s="12" t="s">
        <v>326</v>
      </c>
      <c r="C16" s="26" t="s">
        <v>209</v>
      </c>
      <c r="D16" s="26"/>
      <c r="E16" s="26"/>
      <c r="F16" s="26"/>
      <c r="G16" s="26"/>
      <c r="H16" s="27"/>
      <c r="I16" s="28"/>
      <c r="J16" s="29" t="s">
        <v>115</v>
      </c>
      <c r="K16" s="40"/>
      <c r="L16" s="40"/>
      <c r="M16" s="40">
        <v>-31000000</v>
      </c>
      <c r="N16" s="40">
        <v>-31000000</v>
      </c>
      <c r="O16" s="40"/>
      <c r="P16" s="40"/>
      <c r="Q16" s="40"/>
      <c r="R16" s="40"/>
      <c r="S16" s="40"/>
      <c r="T16" s="40"/>
      <c r="U16" s="40"/>
      <c r="V16" s="37"/>
      <c r="W16" s="37"/>
    </row>
    <row r="17" spans="1:23">
      <c r="A17" s="12">
        <f t="shared" si="0"/>
        <v>13</v>
      </c>
      <c r="B17" s="12" t="s">
        <v>320</v>
      </c>
      <c r="C17" s="26" t="s">
        <v>153</v>
      </c>
      <c r="D17" s="26"/>
      <c r="E17" s="26"/>
      <c r="F17" s="26"/>
      <c r="G17" s="26"/>
      <c r="H17" s="27">
        <v>-12300000</v>
      </c>
      <c r="I17" s="28"/>
      <c r="J17" s="29" t="s">
        <v>115</v>
      </c>
      <c r="K17" s="40"/>
      <c r="L17" s="40"/>
      <c r="M17" s="40"/>
      <c r="N17" s="40">
        <v>-12015000</v>
      </c>
      <c r="O17" s="40"/>
      <c r="P17" s="40"/>
      <c r="Q17" s="40"/>
      <c r="R17" s="40"/>
      <c r="S17" s="40"/>
      <c r="T17" s="40"/>
      <c r="U17" s="40"/>
      <c r="V17" s="37"/>
      <c r="W17" s="37"/>
    </row>
    <row r="18" spans="1:23">
      <c r="A18" s="12">
        <f t="shared" si="0"/>
        <v>14</v>
      </c>
      <c r="B18" s="12" t="s">
        <v>327</v>
      </c>
      <c r="C18" s="26" t="s">
        <v>104</v>
      </c>
      <c r="D18" s="26"/>
      <c r="E18" s="26"/>
      <c r="F18" s="26"/>
      <c r="G18" s="26"/>
      <c r="H18" s="27"/>
      <c r="I18" s="28"/>
      <c r="J18" s="29" t="s">
        <v>115</v>
      </c>
      <c r="K18" s="40"/>
      <c r="L18" s="40">
        <v>-4620900</v>
      </c>
      <c r="M18" s="40"/>
      <c r="N18" s="40"/>
      <c r="O18" s="40"/>
      <c r="P18" s="40"/>
      <c r="Q18" s="40"/>
      <c r="R18" s="40"/>
      <c r="S18" s="40"/>
      <c r="T18" s="40"/>
      <c r="U18" s="40"/>
      <c r="V18" s="37"/>
      <c r="W18" s="37"/>
    </row>
    <row r="19" spans="1:23">
      <c r="A19" s="12">
        <f t="shared" si="0"/>
        <v>15</v>
      </c>
      <c r="B19" s="12" t="s">
        <v>316</v>
      </c>
      <c r="C19" s="26" t="s">
        <v>135</v>
      </c>
      <c r="D19" s="26"/>
      <c r="E19" s="26"/>
      <c r="F19" s="26"/>
      <c r="G19" s="26"/>
      <c r="H19" s="27">
        <v>-400000</v>
      </c>
      <c r="I19" s="28" t="s">
        <v>4</v>
      </c>
      <c r="J19" s="29" t="s">
        <v>115</v>
      </c>
      <c r="K19" s="40"/>
      <c r="L19" s="40"/>
      <c r="M19" s="40">
        <v>-1100000</v>
      </c>
      <c r="N19" s="40"/>
      <c r="O19" s="40"/>
      <c r="P19" s="40"/>
      <c r="Q19" s="40"/>
      <c r="R19" s="40"/>
      <c r="S19" s="40"/>
      <c r="T19" s="40"/>
      <c r="U19" s="40"/>
      <c r="V19" s="37"/>
      <c r="W19" s="37"/>
    </row>
    <row r="20" spans="1:23">
      <c r="A20" s="12">
        <f t="shared" si="0"/>
        <v>16</v>
      </c>
      <c r="B20" s="12" t="s">
        <v>318</v>
      </c>
      <c r="C20" s="26" t="s">
        <v>70</v>
      </c>
      <c r="D20" s="26"/>
      <c r="E20" s="26"/>
      <c r="F20" s="26"/>
      <c r="G20" s="26"/>
      <c r="H20" s="27">
        <v>0</v>
      </c>
      <c r="I20" s="28" t="s">
        <v>4</v>
      </c>
      <c r="J20" s="29" t="s">
        <v>115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37"/>
      <c r="W20" s="37"/>
    </row>
    <row r="21" spans="1:23">
      <c r="A21" s="12">
        <f t="shared" si="0"/>
        <v>17</v>
      </c>
      <c r="B21" s="12" t="s">
        <v>321</v>
      </c>
      <c r="C21" s="26" t="s">
        <v>99</v>
      </c>
      <c r="D21" s="26"/>
      <c r="E21" s="26"/>
      <c r="F21" s="26"/>
      <c r="G21" s="26"/>
      <c r="H21" s="27"/>
      <c r="I21" s="28" t="s">
        <v>4</v>
      </c>
      <c r="J21" s="29" t="s">
        <v>115</v>
      </c>
      <c r="K21" s="40">
        <v>-1477000</v>
      </c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37"/>
      <c r="W21" s="37"/>
    </row>
    <row r="22" spans="1:23">
      <c r="A22" s="12">
        <f t="shared" si="0"/>
        <v>18</v>
      </c>
      <c r="B22" s="12" t="s">
        <v>316</v>
      </c>
      <c r="C22" s="26" t="s">
        <v>144</v>
      </c>
      <c r="D22" s="26"/>
      <c r="E22" s="26"/>
      <c r="F22" s="26"/>
      <c r="G22" s="26"/>
      <c r="H22" s="27">
        <v>-6413915</v>
      </c>
      <c r="I22" s="28"/>
      <c r="J22" s="29" t="s">
        <v>115</v>
      </c>
      <c r="K22" s="40"/>
      <c r="L22" s="40"/>
      <c r="M22" s="40"/>
      <c r="N22" s="40">
        <v>-2000000</v>
      </c>
      <c r="O22" s="40"/>
      <c r="P22" s="40"/>
      <c r="Q22" s="40"/>
      <c r="R22" s="40"/>
      <c r="S22" s="40"/>
      <c r="T22" s="40"/>
      <c r="U22" s="40"/>
      <c r="V22" s="37"/>
      <c r="W22" s="37"/>
    </row>
    <row r="23" spans="1:23">
      <c r="A23" s="12">
        <f t="shared" si="0"/>
        <v>19</v>
      </c>
      <c r="B23" s="12" t="s">
        <v>316</v>
      </c>
      <c r="C23" s="26" t="s">
        <v>113</v>
      </c>
      <c r="D23" s="26"/>
      <c r="E23" s="26"/>
      <c r="F23" s="26"/>
      <c r="G23" s="26"/>
      <c r="H23" s="27">
        <v>0</v>
      </c>
      <c r="I23" s="28" t="s">
        <v>5</v>
      </c>
      <c r="J23" s="29" t="s">
        <v>115</v>
      </c>
      <c r="K23" s="40"/>
      <c r="L23" s="40"/>
      <c r="M23" s="40">
        <v>-2846000</v>
      </c>
      <c r="N23" s="40"/>
      <c r="O23" s="40"/>
      <c r="P23" s="40"/>
      <c r="Q23" s="40"/>
      <c r="R23" s="40"/>
      <c r="S23" s="40"/>
      <c r="T23" s="40"/>
      <c r="U23" s="40"/>
      <c r="V23" s="37"/>
      <c r="W23" s="37"/>
    </row>
    <row r="24" spans="1:23">
      <c r="A24" s="12">
        <f t="shared" si="0"/>
        <v>20</v>
      </c>
      <c r="B24" s="12" t="s">
        <v>320</v>
      </c>
      <c r="C24" s="26" t="s">
        <v>200</v>
      </c>
      <c r="D24" s="26"/>
      <c r="E24" s="26"/>
      <c r="F24" s="26"/>
      <c r="G24" s="26"/>
      <c r="H24" s="27"/>
      <c r="I24" s="28" t="s">
        <v>4</v>
      </c>
      <c r="J24" s="29" t="s">
        <v>115</v>
      </c>
      <c r="K24" s="40"/>
      <c r="L24" s="40"/>
      <c r="M24" s="40"/>
      <c r="N24" s="40"/>
      <c r="O24" s="40">
        <v>-4229600</v>
      </c>
      <c r="P24" s="40"/>
      <c r="Q24" s="40"/>
      <c r="R24" s="40"/>
      <c r="S24" s="40"/>
      <c r="T24" s="40"/>
      <c r="U24" s="40"/>
      <c r="V24" s="37"/>
      <c r="W24" s="37"/>
    </row>
    <row r="25" spans="1:23">
      <c r="A25" s="12">
        <f t="shared" si="0"/>
        <v>21</v>
      </c>
      <c r="B25" s="12" t="s">
        <v>322</v>
      </c>
      <c r="C25" s="26" t="s">
        <v>202</v>
      </c>
      <c r="D25" s="26"/>
      <c r="E25" s="26"/>
      <c r="F25" s="26"/>
      <c r="G25" s="26"/>
      <c r="H25" s="27">
        <v>0</v>
      </c>
      <c r="I25" s="28" t="s">
        <v>4</v>
      </c>
      <c r="J25" s="29" t="s">
        <v>115</v>
      </c>
      <c r="K25" s="40"/>
      <c r="L25" s="40"/>
      <c r="M25" s="40"/>
      <c r="N25" s="40"/>
      <c r="O25" s="40">
        <v>-22131200</v>
      </c>
      <c r="P25" s="40"/>
      <c r="Q25" s="40"/>
      <c r="R25" s="40"/>
      <c r="S25" s="40"/>
      <c r="T25" s="40"/>
      <c r="U25" s="40"/>
      <c r="V25" s="37"/>
      <c r="W25" s="37"/>
    </row>
    <row r="26" spans="1:23">
      <c r="A26" s="12">
        <f t="shared" si="0"/>
        <v>22</v>
      </c>
      <c r="B26" s="12" t="s">
        <v>323</v>
      </c>
      <c r="C26" s="26" t="s">
        <v>206</v>
      </c>
      <c r="D26" s="26"/>
      <c r="E26" s="26"/>
      <c r="F26" s="26"/>
      <c r="G26" s="26"/>
      <c r="H26" s="27"/>
      <c r="I26" s="28"/>
      <c r="J26" s="29" t="s">
        <v>115</v>
      </c>
      <c r="K26" s="40"/>
      <c r="L26" s="40"/>
      <c r="M26" s="40"/>
      <c r="N26" s="40"/>
      <c r="O26" s="40"/>
      <c r="P26" s="40">
        <v>-7000000</v>
      </c>
      <c r="Q26" s="40"/>
      <c r="R26" s="40"/>
      <c r="S26" s="40"/>
      <c r="T26" s="40"/>
      <c r="U26" s="40"/>
      <c r="V26" s="37"/>
      <c r="W26" s="37"/>
    </row>
    <row r="27" spans="1:23">
      <c r="A27" s="12">
        <f t="shared" si="0"/>
        <v>23</v>
      </c>
      <c r="B27" s="12" t="s">
        <v>328</v>
      </c>
      <c r="C27" s="26" t="s">
        <v>208</v>
      </c>
      <c r="D27" s="26"/>
      <c r="E27" s="26"/>
      <c r="F27" s="26"/>
      <c r="G27" s="26"/>
      <c r="H27" s="27"/>
      <c r="I27" s="28"/>
      <c r="J27" s="29" t="s">
        <v>115</v>
      </c>
      <c r="K27" s="40"/>
      <c r="L27" s="40"/>
      <c r="M27" s="40"/>
      <c r="N27" s="40"/>
      <c r="O27" s="40"/>
      <c r="P27" s="40">
        <v>-5000000</v>
      </c>
      <c r="Q27" s="40"/>
      <c r="R27" s="40"/>
      <c r="S27" s="40"/>
      <c r="T27" s="40"/>
      <c r="U27" s="40"/>
      <c r="V27" s="37"/>
      <c r="W27" s="37"/>
    </row>
    <row r="28" spans="1:23">
      <c r="A28" s="12">
        <f t="shared" si="0"/>
        <v>24</v>
      </c>
      <c r="B28" s="12" t="s">
        <v>324</v>
      </c>
      <c r="C28" s="26" t="s">
        <v>224</v>
      </c>
      <c r="D28" s="26"/>
      <c r="E28" s="26"/>
      <c r="F28" s="26"/>
      <c r="G28" s="26"/>
      <c r="H28" s="27"/>
      <c r="I28" s="28"/>
      <c r="J28" s="29" t="s">
        <v>115</v>
      </c>
      <c r="K28" s="40"/>
      <c r="L28" s="40"/>
      <c r="M28" s="40"/>
      <c r="N28" s="40"/>
      <c r="O28" s="40"/>
      <c r="P28" s="40">
        <v>-3000000</v>
      </c>
      <c r="Q28" s="40"/>
      <c r="R28" s="40"/>
      <c r="S28" s="40"/>
      <c r="T28" s="40"/>
      <c r="U28" s="40"/>
      <c r="V28" s="37"/>
      <c r="W28" s="37"/>
    </row>
    <row r="29" spans="1:23">
      <c r="A29" s="12">
        <f t="shared" si="0"/>
        <v>25</v>
      </c>
      <c r="B29" s="12" t="s">
        <v>326</v>
      </c>
      <c r="C29" s="26" t="s">
        <v>209</v>
      </c>
      <c r="D29" s="26"/>
      <c r="E29" s="26"/>
      <c r="F29" s="26"/>
      <c r="G29" s="26"/>
      <c r="H29" s="27"/>
      <c r="I29" s="28"/>
      <c r="J29" s="29" t="s">
        <v>115</v>
      </c>
      <c r="K29" s="40"/>
      <c r="L29" s="40"/>
      <c r="M29" s="40"/>
      <c r="N29" s="40"/>
      <c r="O29" s="40"/>
      <c r="P29" s="40">
        <v>-41400000</v>
      </c>
      <c r="Q29" s="40"/>
      <c r="R29" s="40"/>
      <c r="S29" s="40"/>
      <c r="T29" s="40"/>
      <c r="U29" s="40"/>
      <c r="V29" s="37"/>
      <c r="W29" s="37"/>
    </row>
    <row r="30" spans="1:23">
      <c r="A30" s="12">
        <f t="shared" si="0"/>
        <v>26</v>
      </c>
      <c r="B30" s="12" t="s">
        <v>323</v>
      </c>
      <c r="C30" s="26" t="s">
        <v>225</v>
      </c>
      <c r="D30" s="26"/>
      <c r="E30" s="26"/>
      <c r="F30" s="26"/>
      <c r="G30" s="26"/>
      <c r="H30" s="27"/>
      <c r="I30" s="28"/>
      <c r="J30" s="29" t="s">
        <v>115</v>
      </c>
      <c r="K30" s="40"/>
      <c r="L30" s="40"/>
      <c r="M30" s="40"/>
      <c r="N30" s="40"/>
      <c r="O30" s="40"/>
      <c r="P30" s="40">
        <v>-1000000</v>
      </c>
      <c r="Q30" s="40"/>
      <c r="R30" s="40"/>
      <c r="S30" s="40"/>
      <c r="T30" s="40"/>
      <c r="U30" s="40"/>
      <c r="V30" s="37"/>
      <c r="W30" s="37"/>
    </row>
    <row r="31" spans="1:23">
      <c r="A31" s="12">
        <f t="shared" si="0"/>
        <v>27</v>
      </c>
      <c r="B31" s="12" t="s">
        <v>328</v>
      </c>
      <c r="C31" s="26" t="s">
        <v>226</v>
      </c>
      <c r="D31" s="26"/>
      <c r="E31" s="26"/>
      <c r="F31" s="26"/>
      <c r="G31" s="26"/>
      <c r="H31" s="27"/>
      <c r="I31" s="28"/>
      <c r="J31" s="29" t="s">
        <v>115</v>
      </c>
      <c r="K31" s="40"/>
      <c r="L31" s="40"/>
      <c r="M31" s="40"/>
      <c r="N31" s="40"/>
      <c r="O31" s="40"/>
      <c r="P31" s="40"/>
      <c r="Q31" s="40">
        <v>-7598700</v>
      </c>
      <c r="R31" s="40"/>
      <c r="S31" s="40"/>
      <c r="T31" s="40"/>
      <c r="U31" s="40"/>
      <c r="V31" s="37"/>
      <c r="W31" s="37"/>
    </row>
    <row r="32" spans="1:23">
      <c r="A32" s="12">
        <f t="shared" si="0"/>
        <v>28</v>
      </c>
      <c r="B32" s="12" t="s">
        <v>328</v>
      </c>
      <c r="C32" s="26" t="s">
        <v>226</v>
      </c>
      <c r="D32" s="26"/>
      <c r="E32" s="26"/>
      <c r="F32" s="26"/>
      <c r="G32" s="26"/>
      <c r="H32" s="27"/>
      <c r="I32" s="28"/>
      <c r="J32" s="29" t="s">
        <v>115</v>
      </c>
      <c r="K32" s="40"/>
      <c r="L32" s="40"/>
      <c r="M32" s="40"/>
      <c r="N32" s="40"/>
      <c r="O32" s="40"/>
      <c r="P32" s="40"/>
      <c r="Q32" s="40">
        <v>-3575640</v>
      </c>
      <c r="R32" s="40"/>
      <c r="S32" s="40"/>
      <c r="T32" s="40"/>
      <c r="U32" s="40"/>
      <c r="V32" s="37"/>
      <c r="W32" s="37"/>
    </row>
    <row r="33" spans="1:23">
      <c r="A33" s="12">
        <f t="shared" si="0"/>
        <v>29</v>
      </c>
      <c r="B33" s="12" t="s">
        <v>323</v>
      </c>
      <c r="C33" s="26" t="s">
        <v>225</v>
      </c>
      <c r="D33" s="26"/>
      <c r="E33" s="26"/>
      <c r="F33" s="26"/>
      <c r="G33" s="26"/>
      <c r="H33" s="27"/>
      <c r="I33" s="28"/>
      <c r="J33" s="29" t="s">
        <v>115</v>
      </c>
      <c r="K33" s="40"/>
      <c r="L33" s="40"/>
      <c r="M33" s="40"/>
      <c r="N33" s="40"/>
      <c r="O33" s="40"/>
      <c r="P33" s="40"/>
      <c r="Q33" s="40">
        <v>-1000000</v>
      </c>
      <c r="R33" s="40"/>
      <c r="S33" s="40"/>
      <c r="T33" s="40"/>
      <c r="U33" s="40"/>
      <c r="V33" s="37"/>
      <c r="W33" s="37"/>
    </row>
    <row r="34" spans="1:23">
      <c r="A34" s="12">
        <f t="shared" si="0"/>
        <v>30</v>
      </c>
      <c r="B34" s="12" t="s">
        <v>326</v>
      </c>
      <c r="C34" s="26" t="s">
        <v>209</v>
      </c>
      <c r="D34" s="26"/>
      <c r="E34" s="26"/>
      <c r="F34" s="26"/>
      <c r="G34" s="26"/>
      <c r="H34" s="27"/>
      <c r="I34" s="28"/>
      <c r="J34" s="29" t="s">
        <v>115</v>
      </c>
      <c r="K34" s="40"/>
      <c r="L34" s="40"/>
      <c r="M34" s="40"/>
      <c r="N34" s="40"/>
      <c r="O34" s="40"/>
      <c r="P34" s="40"/>
      <c r="Q34" s="40">
        <v>-20350000</v>
      </c>
      <c r="R34" s="40"/>
      <c r="S34" s="40"/>
      <c r="T34" s="40"/>
      <c r="U34" s="40"/>
      <c r="V34" s="37"/>
      <c r="W34" s="37"/>
    </row>
    <row r="35" spans="1:23">
      <c r="A35" s="12">
        <f t="shared" si="0"/>
        <v>31</v>
      </c>
      <c r="B35" s="12" t="s">
        <v>323</v>
      </c>
      <c r="C35" s="26" t="s">
        <v>251</v>
      </c>
      <c r="D35" s="26"/>
      <c r="E35" s="26"/>
      <c r="F35" s="26"/>
      <c r="G35" s="26"/>
      <c r="H35" s="27"/>
      <c r="I35" s="28"/>
      <c r="J35" s="29" t="s">
        <v>115</v>
      </c>
      <c r="K35" s="40"/>
      <c r="L35" s="40"/>
      <c r="M35" s="40"/>
      <c r="N35" s="40"/>
      <c r="O35" s="40"/>
      <c r="P35" s="40"/>
      <c r="Q35" s="40"/>
      <c r="R35" s="40">
        <v>-1000000</v>
      </c>
      <c r="S35" s="40"/>
      <c r="T35" s="40"/>
      <c r="U35" s="40"/>
      <c r="V35" s="37"/>
      <c r="W35" s="37"/>
    </row>
    <row r="36" spans="1:23">
      <c r="A36" s="12">
        <f t="shared" si="0"/>
        <v>32</v>
      </c>
      <c r="B36" s="12" t="s">
        <v>328</v>
      </c>
      <c r="C36" s="26" t="s">
        <v>260</v>
      </c>
      <c r="D36" s="26"/>
      <c r="E36" s="26"/>
      <c r="F36" s="26"/>
      <c r="G36" s="26"/>
      <c r="H36" s="27"/>
      <c r="I36" s="28"/>
      <c r="J36" s="29" t="s">
        <v>115</v>
      </c>
      <c r="K36" s="40"/>
      <c r="L36" s="40"/>
      <c r="M36" s="40"/>
      <c r="N36" s="40"/>
      <c r="O36" s="40"/>
      <c r="P36" s="40"/>
      <c r="Q36" s="40"/>
      <c r="R36" s="40">
        <v>-459000</v>
      </c>
      <c r="S36" s="40"/>
      <c r="T36" s="40"/>
      <c r="U36" s="40"/>
      <c r="V36" s="37"/>
      <c r="W36" s="37"/>
    </row>
    <row r="37" spans="1:23">
      <c r="A37" s="12">
        <f t="shared" si="0"/>
        <v>33</v>
      </c>
      <c r="B37" s="12" t="s">
        <v>316</v>
      </c>
      <c r="C37" s="26" t="s">
        <v>262</v>
      </c>
      <c r="D37" s="26"/>
      <c r="E37" s="26"/>
      <c r="F37" s="26"/>
      <c r="G37" s="26"/>
      <c r="H37" s="27"/>
      <c r="I37" s="28"/>
      <c r="J37" s="29" t="s">
        <v>115</v>
      </c>
      <c r="K37" s="40"/>
      <c r="L37" s="40"/>
      <c r="M37" s="40"/>
      <c r="N37" s="40"/>
      <c r="O37" s="40"/>
      <c r="P37" s="40"/>
      <c r="Q37" s="40"/>
      <c r="R37" s="40">
        <v>-2375000</v>
      </c>
      <c r="S37" s="40"/>
      <c r="T37" s="40"/>
      <c r="U37" s="40"/>
      <c r="V37" s="37"/>
      <c r="W37" s="37"/>
    </row>
    <row r="38" spans="1:23">
      <c r="A38" s="12">
        <f t="shared" si="0"/>
        <v>34</v>
      </c>
      <c r="B38" s="12" t="s">
        <v>329</v>
      </c>
      <c r="C38" s="26" t="s">
        <v>264</v>
      </c>
      <c r="D38" s="26"/>
      <c r="E38" s="26"/>
      <c r="F38" s="26"/>
      <c r="G38" s="26"/>
      <c r="H38" s="27"/>
      <c r="I38" s="28"/>
      <c r="J38" s="29" t="s">
        <v>115</v>
      </c>
      <c r="K38" s="40"/>
      <c r="L38" s="40"/>
      <c r="M38" s="40"/>
      <c r="N38" s="40"/>
      <c r="O38" s="40"/>
      <c r="P38" s="40"/>
      <c r="Q38" s="40"/>
      <c r="R38" s="40">
        <v>-3844290</v>
      </c>
      <c r="S38" s="40"/>
      <c r="T38" s="40"/>
      <c r="U38" s="40"/>
      <c r="V38" s="37"/>
      <c r="W38" s="37"/>
    </row>
    <row r="39" spans="1:23">
      <c r="A39" s="12">
        <f t="shared" si="0"/>
        <v>35</v>
      </c>
      <c r="B39" s="12" t="s">
        <v>326</v>
      </c>
      <c r="C39" s="26" t="s">
        <v>270</v>
      </c>
      <c r="D39" s="26"/>
      <c r="E39" s="26"/>
      <c r="F39" s="26"/>
      <c r="G39" s="26"/>
      <c r="H39" s="27"/>
      <c r="I39" s="28"/>
      <c r="J39" s="29" t="s">
        <v>115</v>
      </c>
      <c r="K39" s="40"/>
      <c r="L39" s="40"/>
      <c r="M39" s="40"/>
      <c r="N39" s="40"/>
      <c r="O39" s="40"/>
      <c r="P39" s="40"/>
      <c r="Q39" s="40"/>
      <c r="R39" s="40">
        <v>-12045000</v>
      </c>
      <c r="S39" s="40"/>
      <c r="T39" s="40"/>
      <c r="U39" s="40"/>
      <c r="V39" s="37"/>
      <c r="W39" s="37"/>
    </row>
    <row r="40" spans="1:23">
      <c r="A40" s="12">
        <f t="shared" si="0"/>
        <v>36</v>
      </c>
      <c r="B40" s="12" t="s">
        <v>320</v>
      </c>
      <c r="C40" s="26" t="s">
        <v>265</v>
      </c>
      <c r="D40" s="26"/>
      <c r="E40" s="26"/>
      <c r="F40" s="26"/>
      <c r="G40" s="26"/>
      <c r="H40" s="27"/>
      <c r="I40" s="28"/>
      <c r="J40" s="29" t="s">
        <v>115</v>
      </c>
      <c r="K40" s="40"/>
      <c r="L40" s="40"/>
      <c r="M40" s="40"/>
      <c r="N40" s="40"/>
      <c r="O40" s="40"/>
      <c r="P40" s="40"/>
      <c r="Q40" s="40"/>
      <c r="R40" s="40">
        <v>-11190450</v>
      </c>
      <c r="S40" s="40"/>
      <c r="T40" s="40"/>
      <c r="U40" s="40"/>
      <c r="V40" s="37"/>
      <c r="W40" s="37"/>
    </row>
    <row r="41" spans="1:23">
      <c r="A41" s="12">
        <f t="shared" si="0"/>
        <v>37</v>
      </c>
      <c r="B41" s="12" t="s">
        <v>323</v>
      </c>
      <c r="C41" s="26" t="s">
        <v>225</v>
      </c>
      <c r="D41" s="26"/>
      <c r="E41" s="26"/>
      <c r="F41" s="26"/>
      <c r="G41" s="26"/>
      <c r="H41" s="27"/>
      <c r="I41" s="28"/>
      <c r="J41" s="29" t="s">
        <v>115</v>
      </c>
      <c r="K41" s="40"/>
      <c r="L41" s="40"/>
      <c r="M41" s="40"/>
      <c r="N41" s="40"/>
      <c r="O41" s="40"/>
      <c r="P41" s="40"/>
      <c r="Q41" s="40"/>
      <c r="R41" s="40">
        <v>-1100000</v>
      </c>
      <c r="S41" s="40"/>
      <c r="T41" s="40"/>
      <c r="U41" s="40"/>
      <c r="V41" s="37"/>
      <c r="W41" s="37"/>
    </row>
    <row r="42" spans="1:23">
      <c r="A42" s="12">
        <f t="shared" si="0"/>
        <v>38</v>
      </c>
      <c r="B42" s="12" t="s">
        <v>329</v>
      </c>
      <c r="C42" s="26" t="s">
        <v>267</v>
      </c>
      <c r="D42" s="26"/>
      <c r="E42" s="26"/>
      <c r="F42" s="26"/>
      <c r="G42" s="26"/>
      <c r="H42" s="27"/>
      <c r="I42" s="28"/>
      <c r="J42" s="29" t="s">
        <v>115</v>
      </c>
      <c r="K42" s="40"/>
      <c r="L42" s="40"/>
      <c r="M42" s="40"/>
      <c r="N42" s="40"/>
      <c r="O42" s="40"/>
      <c r="P42" s="40"/>
      <c r="Q42" s="40"/>
      <c r="R42" s="40"/>
      <c r="S42" s="40">
        <v>-2284620</v>
      </c>
      <c r="T42" s="40"/>
      <c r="U42" s="40"/>
      <c r="V42" s="37"/>
      <c r="W42" s="37"/>
    </row>
    <row r="43" spans="1:23">
      <c r="A43" s="12">
        <f t="shared" si="0"/>
        <v>39</v>
      </c>
      <c r="B43" s="12" t="s">
        <v>324</v>
      </c>
      <c r="C43" s="26" t="s">
        <v>274</v>
      </c>
      <c r="D43" s="26"/>
      <c r="E43" s="26"/>
      <c r="F43" s="26"/>
      <c r="G43" s="26"/>
      <c r="H43" s="27"/>
      <c r="I43" s="28"/>
      <c r="J43" s="29" t="s">
        <v>115</v>
      </c>
      <c r="K43" s="40"/>
      <c r="L43" s="40"/>
      <c r="M43" s="40"/>
      <c r="N43" s="40"/>
      <c r="O43" s="40"/>
      <c r="P43" s="40"/>
      <c r="Q43" s="40"/>
      <c r="R43" s="40"/>
      <c r="S43" s="40">
        <v>-3200000</v>
      </c>
      <c r="T43" s="40"/>
      <c r="U43" s="40"/>
      <c r="V43" s="37"/>
      <c r="W43" s="37"/>
    </row>
    <row r="44" spans="1:23">
      <c r="A44" s="12">
        <f t="shared" si="0"/>
        <v>40</v>
      </c>
      <c r="B44" s="12" t="s">
        <v>328</v>
      </c>
      <c r="C44" s="26" t="s">
        <v>275</v>
      </c>
      <c r="D44" s="26"/>
      <c r="E44" s="26"/>
      <c r="F44" s="26"/>
      <c r="G44" s="26"/>
      <c r="H44" s="27"/>
      <c r="I44" s="28"/>
      <c r="J44" s="29" t="s">
        <v>115</v>
      </c>
      <c r="K44" s="40"/>
      <c r="L44" s="40"/>
      <c r="M44" s="40"/>
      <c r="N44" s="40"/>
      <c r="O44" s="40"/>
      <c r="P44" s="40"/>
      <c r="Q44" s="40"/>
      <c r="R44" s="40"/>
      <c r="S44" s="40">
        <v>-3433200</v>
      </c>
      <c r="T44" s="40"/>
      <c r="U44" s="40"/>
      <c r="V44" s="37"/>
      <c r="W44" s="37"/>
    </row>
    <row r="45" spans="1:23">
      <c r="A45" s="12">
        <f t="shared" si="0"/>
        <v>41</v>
      </c>
      <c r="B45" s="12" t="s">
        <v>328</v>
      </c>
      <c r="C45" s="26" t="s">
        <v>278</v>
      </c>
      <c r="D45" s="26"/>
      <c r="E45" s="26"/>
      <c r="F45" s="26"/>
      <c r="G45" s="26"/>
      <c r="H45" s="27"/>
      <c r="I45" s="28"/>
      <c r="J45" s="29" t="s">
        <v>115</v>
      </c>
      <c r="K45" s="40"/>
      <c r="L45" s="40"/>
      <c r="M45" s="40"/>
      <c r="N45" s="40"/>
      <c r="O45" s="40"/>
      <c r="P45" s="40"/>
      <c r="Q45" s="40"/>
      <c r="R45" s="40"/>
      <c r="S45" s="40">
        <v>-2416300</v>
      </c>
      <c r="T45" s="40"/>
      <c r="U45" s="40"/>
      <c r="V45" s="37"/>
      <c r="W45" s="37"/>
    </row>
    <row r="46" spans="1:23">
      <c r="A46" s="12">
        <f t="shared" si="0"/>
        <v>42</v>
      </c>
      <c r="B46" s="12" t="s">
        <v>323</v>
      </c>
      <c r="C46" s="26" t="s">
        <v>251</v>
      </c>
      <c r="D46" s="26"/>
      <c r="E46" s="26"/>
      <c r="F46" s="26"/>
      <c r="G46" s="26"/>
      <c r="H46" s="27"/>
      <c r="I46" s="28"/>
      <c r="J46" s="29" t="s">
        <v>115</v>
      </c>
      <c r="K46" s="40"/>
      <c r="L46" s="40"/>
      <c r="M46" s="40"/>
      <c r="N46" s="40"/>
      <c r="O46" s="40"/>
      <c r="P46" s="40"/>
      <c r="Q46" s="40"/>
      <c r="R46" s="40"/>
      <c r="S46" s="40"/>
      <c r="T46" s="40">
        <v>-900000</v>
      </c>
      <c r="U46" s="40"/>
      <c r="V46" s="37"/>
      <c r="W46" s="37"/>
    </row>
    <row r="47" spans="1:23">
      <c r="A47" s="12">
        <f t="shared" si="0"/>
        <v>43</v>
      </c>
      <c r="B47" s="12" t="s">
        <v>324</v>
      </c>
      <c r="C47" s="26" t="s">
        <v>287</v>
      </c>
      <c r="D47" s="26"/>
      <c r="E47" s="26"/>
      <c r="F47" s="26"/>
      <c r="G47" s="26"/>
      <c r="H47" s="27"/>
      <c r="I47" s="28"/>
      <c r="J47" s="29" t="s">
        <v>115</v>
      </c>
      <c r="K47" s="40"/>
      <c r="L47" s="40"/>
      <c r="M47" s="40"/>
      <c r="N47" s="40"/>
      <c r="O47" s="40"/>
      <c r="P47" s="40"/>
      <c r="Q47" s="40"/>
      <c r="R47" s="40"/>
      <c r="S47" s="40"/>
      <c r="T47" s="40">
        <v>-6000000</v>
      </c>
      <c r="U47" s="40"/>
      <c r="V47" s="37"/>
      <c r="W47" s="37"/>
    </row>
    <row r="48" spans="1:23">
      <c r="A48" s="12">
        <f t="shared" si="0"/>
        <v>44</v>
      </c>
      <c r="B48" s="12" t="s">
        <v>316</v>
      </c>
      <c r="C48" s="26" t="s">
        <v>291</v>
      </c>
      <c r="D48" s="26"/>
      <c r="E48" s="26"/>
      <c r="F48" s="26"/>
      <c r="G48" s="26"/>
      <c r="H48" s="27"/>
      <c r="I48" s="28"/>
      <c r="J48" s="29" t="s">
        <v>115</v>
      </c>
      <c r="K48" s="40"/>
      <c r="L48" s="40"/>
      <c r="M48" s="40"/>
      <c r="N48" s="40"/>
      <c r="O48" s="40"/>
      <c r="P48" s="40"/>
      <c r="Q48" s="40"/>
      <c r="R48" s="40"/>
      <c r="S48" s="40"/>
      <c r="T48" s="40">
        <v>-1561973</v>
      </c>
      <c r="U48" s="40"/>
      <c r="V48" s="37"/>
      <c r="W48" s="37"/>
    </row>
    <row r="49" spans="1:23">
      <c r="A49" s="12">
        <f t="shared" si="0"/>
        <v>45</v>
      </c>
      <c r="B49" s="12" t="s">
        <v>326</v>
      </c>
      <c r="C49" s="26" t="s">
        <v>209</v>
      </c>
      <c r="D49" s="26"/>
      <c r="E49" s="26"/>
      <c r="F49" s="26"/>
      <c r="G49" s="26"/>
      <c r="H49" s="27"/>
      <c r="I49" s="28"/>
      <c r="J49" s="29" t="s">
        <v>115</v>
      </c>
      <c r="K49" s="40"/>
      <c r="L49" s="40"/>
      <c r="M49" s="40"/>
      <c r="N49" s="40"/>
      <c r="O49" s="40"/>
      <c r="P49" s="40"/>
      <c r="Q49" s="40"/>
      <c r="R49" s="40"/>
      <c r="S49" s="40"/>
      <c r="T49" s="40">
        <v>-29998000</v>
      </c>
      <c r="U49" s="40"/>
      <c r="V49" s="37"/>
      <c r="W49" s="37"/>
    </row>
    <row r="50" spans="1:23">
      <c r="A50" s="12">
        <f t="shared" si="0"/>
        <v>46</v>
      </c>
      <c r="B50" s="12" t="s">
        <v>328</v>
      </c>
      <c r="C50" s="26" t="s">
        <v>312</v>
      </c>
      <c r="D50" s="26"/>
      <c r="E50" s="26"/>
      <c r="F50" s="26"/>
      <c r="G50" s="26"/>
      <c r="H50" s="27"/>
      <c r="I50" s="28"/>
      <c r="J50" s="29" t="s">
        <v>115</v>
      </c>
      <c r="K50" s="40"/>
      <c r="L50" s="40"/>
      <c r="M50" s="40"/>
      <c r="N50" s="40"/>
      <c r="O50" s="40"/>
      <c r="P50" s="40"/>
      <c r="Q50" s="40"/>
      <c r="R50" s="40"/>
      <c r="S50" s="40"/>
      <c r="T50" s="40">
        <v>-3488330</v>
      </c>
      <c r="U50" s="40"/>
      <c r="V50" s="37"/>
      <c r="W50" s="37"/>
    </row>
    <row r="51" spans="1:23">
      <c r="A51" s="12">
        <f t="shared" si="0"/>
        <v>47</v>
      </c>
      <c r="B51" s="12" t="s">
        <v>328</v>
      </c>
      <c r="C51" s="26" t="s">
        <v>313</v>
      </c>
      <c r="D51" s="7"/>
      <c r="E51" s="7"/>
      <c r="F51" s="3"/>
      <c r="G51" s="3"/>
      <c r="H51" s="5"/>
      <c r="I51" s="6"/>
      <c r="J51" s="29" t="s">
        <v>115</v>
      </c>
      <c r="K51" s="40"/>
      <c r="L51" s="40"/>
      <c r="M51" s="40"/>
      <c r="N51" s="40"/>
      <c r="O51" s="40"/>
      <c r="P51" s="40"/>
      <c r="Q51" s="40"/>
      <c r="R51" s="40"/>
      <c r="S51" s="40"/>
      <c r="T51" s="40">
        <v>-572600</v>
      </c>
      <c r="U51" s="40"/>
      <c r="V51" s="37"/>
      <c r="W51" s="37"/>
    </row>
    <row r="52" spans="1:23">
      <c r="A52" s="12">
        <f t="shared" si="0"/>
        <v>48</v>
      </c>
      <c r="B52" s="12" t="s">
        <v>324</v>
      </c>
      <c r="C52" s="26" t="s">
        <v>314</v>
      </c>
      <c r="D52" s="7"/>
      <c r="E52" s="7"/>
      <c r="F52" s="3"/>
      <c r="G52" s="3"/>
      <c r="H52" s="5"/>
      <c r="I52" s="6"/>
      <c r="J52" s="29" t="s">
        <v>115</v>
      </c>
      <c r="K52" s="40"/>
      <c r="L52" s="40"/>
      <c r="M52" s="40"/>
      <c r="N52" s="40"/>
      <c r="O52" s="40"/>
      <c r="P52" s="40"/>
      <c r="Q52" s="40"/>
      <c r="R52" s="40"/>
      <c r="S52" s="40"/>
      <c r="T52" s="40">
        <v>-10000000</v>
      </c>
      <c r="U52" s="40"/>
      <c r="V52" s="37"/>
      <c r="W52" s="37"/>
    </row>
    <row r="53" spans="1:23">
      <c r="A53" s="12">
        <f t="shared" si="0"/>
        <v>49</v>
      </c>
      <c r="B53" s="12" t="s">
        <v>323</v>
      </c>
      <c r="C53" s="26" t="s">
        <v>251</v>
      </c>
      <c r="D53" s="7"/>
      <c r="E53" s="7"/>
      <c r="F53" s="3"/>
      <c r="G53" s="3"/>
      <c r="H53" s="5"/>
      <c r="I53" s="6"/>
      <c r="J53" s="29" t="s">
        <v>115</v>
      </c>
      <c r="K53" s="40"/>
      <c r="L53" s="40"/>
      <c r="M53" s="40"/>
      <c r="N53" s="40"/>
      <c r="O53" s="40"/>
      <c r="P53" s="40"/>
      <c r="Q53" s="40"/>
      <c r="R53" s="40"/>
      <c r="S53" s="40"/>
      <c r="T53" s="40">
        <v>-6000000</v>
      </c>
      <c r="U53" s="40"/>
      <c r="V53" s="37"/>
      <c r="W53" s="37"/>
    </row>
    <row r="54" spans="1:23">
      <c r="A54" s="12">
        <f t="shared" si="0"/>
        <v>50</v>
      </c>
      <c r="B54" s="12" t="s">
        <v>323</v>
      </c>
      <c r="C54" s="26" t="s">
        <v>251</v>
      </c>
      <c r="D54" s="7"/>
      <c r="E54" s="7"/>
      <c r="F54" s="3"/>
      <c r="G54" s="3"/>
      <c r="H54" s="5"/>
      <c r="I54" s="6"/>
      <c r="J54" s="29" t="s">
        <v>115</v>
      </c>
      <c r="K54" s="40"/>
      <c r="L54" s="40"/>
      <c r="M54" s="40"/>
      <c r="N54" s="40"/>
      <c r="O54" s="40"/>
      <c r="P54" s="40"/>
      <c r="Q54" s="40"/>
      <c r="R54" s="40"/>
      <c r="S54" s="40"/>
      <c r="T54" s="40">
        <v>-1000000</v>
      </c>
      <c r="U54" s="40"/>
      <c r="V54" s="37"/>
      <c r="W54" s="37"/>
    </row>
    <row r="55" spans="1:23">
      <c r="A55" s="12">
        <v>51</v>
      </c>
      <c r="B55" s="12" t="s">
        <v>321</v>
      </c>
      <c r="C55" s="26" t="s">
        <v>469</v>
      </c>
      <c r="D55" s="7"/>
      <c r="E55" s="7"/>
      <c r="F55" s="3"/>
      <c r="G55" s="3"/>
      <c r="H55" s="5"/>
      <c r="I55" s="6"/>
      <c r="J55" s="29" t="s">
        <v>115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>
        <v>-1400000</v>
      </c>
      <c r="V55" s="37"/>
      <c r="W55" s="37"/>
    </row>
    <row r="56" spans="1:23">
      <c r="A56" s="12">
        <v>52</v>
      </c>
      <c r="B56" s="12" t="s">
        <v>325</v>
      </c>
      <c r="C56" s="26" t="s">
        <v>470</v>
      </c>
      <c r="D56" s="7"/>
      <c r="E56" s="7"/>
      <c r="F56" s="3"/>
      <c r="G56" s="3"/>
      <c r="H56" s="5"/>
      <c r="I56" s="6"/>
      <c r="J56" s="29" t="s">
        <v>115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>
        <v>-41900</v>
      </c>
      <c r="V56" s="37"/>
      <c r="W56" s="37"/>
    </row>
    <row r="57" spans="1:23">
      <c r="A57" s="12">
        <v>53</v>
      </c>
      <c r="B57" s="12" t="s">
        <v>328</v>
      </c>
      <c r="C57" s="26" t="s">
        <v>312</v>
      </c>
      <c r="D57" s="7"/>
      <c r="E57" s="7"/>
      <c r="F57" s="3"/>
      <c r="G57" s="3"/>
      <c r="H57" s="5"/>
      <c r="I57" s="6"/>
      <c r="J57" s="29" t="s">
        <v>115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>
        <v>-8689840</v>
      </c>
      <c r="V57" s="37"/>
      <c r="W57" s="37"/>
    </row>
    <row r="58" spans="1:23">
      <c r="A58" s="12">
        <v>54</v>
      </c>
      <c r="B58" s="12" t="s">
        <v>325</v>
      </c>
      <c r="C58" s="26" t="s">
        <v>470</v>
      </c>
      <c r="D58" s="7"/>
      <c r="E58" s="7"/>
      <c r="F58" s="3"/>
      <c r="G58" s="3"/>
      <c r="H58" s="5"/>
      <c r="I58" s="6"/>
      <c r="J58" s="29" t="s">
        <v>115</v>
      </c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>
        <v>-34200</v>
      </c>
      <c r="W58" s="40"/>
    </row>
    <row r="59" spans="1:23">
      <c r="A59" s="12">
        <v>55</v>
      </c>
      <c r="B59" s="12" t="s">
        <v>323</v>
      </c>
      <c r="C59" s="26" t="s">
        <v>251</v>
      </c>
      <c r="D59" s="7"/>
      <c r="E59" s="7"/>
      <c r="F59" s="3"/>
      <c r="G59" s="3"/>
      <c r="H59" s="5"/>
      <c r="I59" s="6"/>
      <c r="J59" s="29" t="s">
        <v>115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>
        <v>-1000000</v>
      </c>
      <c r="W59" s="40"/>
    </row>
    <row r="60" spans="1:23">
      <c r="A60" s="12">
        <v>56</v>
      </c>
      <c r="B60" s="12" t="s">
        <v>348</v>
      </c>
      <c r="C60" s="103" t="s">
        <v>585</v>
      </c>
      <c r="D60" s="104"/>
      <c r="E60" s="104"/>
      <c r="F60" s="104"/>
      <c r="G60" s="104"/>
      <c r="H60" s="105"/>
      <c r="I60" s="106"/>
      <c r="J60" s="107" t="s">
        <v>115</v>
      </c>
      <c r="K60" s="108"/>
      <c r="L60" s="108"/>
      <c r="M60" s="108"/>
      <c r="N60" s="108"/>
      <c r="O60" s="109"/>
      <c r="P60" s="110"/>
      <c r="Q60" s="111"/>
      <c r="R60" s="111"/>
      <c r="S60" s="112"/>
      <c r="T60" s="111"/>
      <c r="U60" s="111"/>
      <c r="V60" s="40">
        <v>-2000000</v>
      </c>
      <c r="W60" s="40"/>
    </row>
    <row r="61" spans="1:23">
      <c r="A61" s="12">
        <v>57</v>
      </c>
      <c r="B61" s="12" t="s">
        <v>324</v>
      </c>
      <c r="C61" s="103" t="s">
        <v>593</v>
      </c>
      <c r="D61" s="113"/>
      <c r="E61" s="113"/>
      <c r="F61" s="104"/>
      <c r="G61" s="104"/>
      <c r="H61" s="105"/>
      <c r="I61" s="106"/>
      <c r="J61" s="107" t="s">
        <v>115</v>
      </c>
      <c r="K61" s="108"/>
      <c r="L61" s="108"/>
      <c r="M61" s="108"/>
      <c r="N61" s="108"/>
      <c r="O61" s="109"/>
      <c r="P61" s="110"/>
      <c r="Q61" s="111"/>
      <c r="R61" s="111"/>
      <c r="S61" s="112"/>
      <c r="T61" s="111"/>
      <c r="U61" s="111"/>
      <c r="V61" s="40">
        <v>-1000000</v>
      </c>
      <c r="W61" s="40"/>
    </row>
    <row r="62" spans="1:23">
      <c r="A62" s="12">
        <v>58</v>
      </c>
      <c r="B62" s="12" t="s">
        <v>326</v>
      </c>
      <c r="C62" s="103" t="s">
        <v>270</v>
      </c>
      <c r="D62" s="113"/>
      <c r="E62" s="113"/>
      <c r="F62" s="104"/>
      <c r="G62" s="104"/>
      <c r="H62" s="105"/>
      <c r="I62" s="106"/>
      <c r="J62" s="107" t="s">
        <v>115</v>
      </c>
      <c r="K62" s="108"/>
      <c r="L62" s="108"/>
      <c r="M62" s="108"/>
      <c r="N62" s="108"/>
      <c r="O62" s="109"/>
      <c r="P62" s="110"/>
      <c r="Q62" s="111"/>
      <c r="R62" s="111"/>
      <c r="S62" s="112"/>
      <c r="T62" s="111"/>
      <c r="U62" s="111"/>
      <c r="V62" s="40">
        <v>-60793350</v>
      </c>
      <c r="W62" s="40"/>
    </row>
    <row r="63" spans="1:23">
      <c r="A63" s="12"/>
      <c r="B63" s="12"/>
      <c r="C63" s="26"/>
      <c r="D63" s="7"/>
      <c r="E63" s="7"/>
      <c r="F63" s="3"/>
      <c r="G63" s="3"/>
      <c r="H63" s="5"/>
      <c r="I63" s="6"/>
      <c r="J63" s="29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12"/>
      <c r="B64" s="12"/>
      <c r="C64" s="26"/>
      <c r="D64" s="7"/>
      <c r="E64" s="7"/>
      <c r="F64" s="3"/>
      <c r="G64" s="3"/>
      <c r="H64" s="5"/>
      <c r="I64" s="6"/>
      <c r="J64" s="29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12"/>
      <c r="B65" s="12"/>
      <c r="C65" s="26"/>
      <c r="D65" s="7"/>
      <c r="E65" s="7"/>
      <c r="F65" s="3"/>
      <c r="G65" s="3"/>
      <c r="H65" s="5"/>
      <c r="I65" s="6"/>
      <c r="J65" s="29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12"/>
      <c r="B66" s="12"/>
      <c r="C66" s="26"/>
      <c r="D66" s="7"/>
      <c r="E66" s="7"/>
      <c r="F66" s="3"/>
      <c r="G66" s="3"/>
      <c r="H66" s="5"/>
      <c r="I66" s="6"/>
      <c r="J66" s="29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3"/>
      <c r="B67" s="3"/>
      <c r="C67" s="7"/>
      <c r="D67" s="7"/>
      <c r="E67" s="7"/>
      <c r="F67" s="3"/>
      <c r="G67" s="3"/>
      <c r="H67" s="5"/>
      <c r="I67" s="6"/>
      <c r="J67" s="8"/>
      <c r="K67" s="42"/>
      <c r="L67" s="42"/>
      <c r="M67" s="42"/>
      <c r="N67" s="42"/>
      <c r="O67" s="43"/>
      <c r="P67" s="44"/>
      <c r="Q67" s="45"/>
      <c r="R67" s="45"/>
      <c r="S67" s="46"/>
      <c r="T67" s="42"/>
      <c r="U67" s="42"/>
      <c r="V67" s="40"/>
      <c r="W67" s="40"/>
    </row>
    <row r="68" spans="1:23">
      <c r="A68" s="30"/>
      <c r="B68" s="30"/>
      <c r="C68" s="31"/>
      <c r="D68" s="31"/>
      <c r="E68" s="31"/>
      <c r="F68" s="30"/>
      <c r="G68" s="30"/>
      <c r="H68" s="32"/>
      <c r="I68" s="33"/>
      <c r="J68" s="34"/>
      <c r="K68" s="47"/>
      <c r="L68" s="47"/>
      <c r="M68" s="47"/>
      <c r="N68" s="47"/>
      <c r="O68" s="48"/>
      <c r="P68" s="49"/>
      <c r="Q68" s="50"/>
      <c r="R68" s="50"/>
      <c r="S68" s="51"/>
      <c r="T68" s="47"/>
      <c r="U68" s="47"/>
      <c r="V68" s="40"/>
      <c r="W68" s="40"/>
    </row>
    <row r="69" spans="1:23">
      <c r="A69" s="3"/>
      <c r="B69" s="3"/>
      <c r="C69" s="7"/>
      <c r="D69" s="7"/>
      <c r="E69" s="7"/>
      <c r="F69" s="3"/>
      <c r="G69" s="3"/>
      <c r="H69" s="5"/>
      <c r="I69" s="6"/>
      <c r="J69" s="8"/>
      <c r="K69" s="42"/>
      <c r="L69" s="42"/>
      <c r="M69" s="42"/>
      <c r="N69" s="42"/>
      <c r="O69" s="43"/>
      <c r="P69" s="44"/>
      <c r="Q69" s="45"/>
      <c r="R69" s="45"/>
      <c r="S69" s="46"/>
      <c r="T69" s="42"/>
      <c r="U69" s="42"/>
      <c r="V69" s="40"/>
      <c r="W69" s="40"/>
    </row>
    <row r="70" spans="1:23">
      <c r="A70" s="3"/>
      <c r="B70" s="3"/>
      <c r="C70" s="7"/>
      <c r="D70" s="7"/>
      <c r="E70" s="7"/>
      <c r="F70" s="3"/>
      <c r="G70" s="3"/>
      <c r="H70" s="5"/>
      <c r="I70" s="6"/>
      <c r="J70" s="8"/>
      <c r="K70" s="42"/>
      <c r="L70" s="42"/>
      <c r="M70" s="42"/>
      <c r="N70" s="42"/>
      <c r="O70" s="43"/>
      <c r="P70" s="44"/>
      <c r="Q70" s="45"/>
      <c r="R70" s="45"/>
      <c r="S70" s="46"/>
      <c r="T70" s="42"/>
      <c r="U70" s="42"/>
      <c r="V70" s="40"/>
      <c r="W70" s="40"/>
    </row>
    <row r="71" spans="1:23">
      <c r="A71" s="3"/>
      <c r="B71" s="3"/>
      <c r="C71" s="7"/>
      <c r="D71" s="7"/>
      <c r="E71" s="7"/>
      <c r="F71" s="3"/>
      <c r="G71" s="3"/>
      <c r="H71" s="5"/>
      <c r="I71" s="6"/>
      <c r="J71" s="8"/>
      <c r="K71" s="42"/>
      <c r="L71" s="42"/>
      <c r="M71" s="42"/>
      <c r="N71" s="42"/>
      <c r="O71" s="43"/>
      <c r="P71" s="44"/>
      <c r="Q71" s="45"/>
      <c r="R71" s="45"/>
      <c r="S71" s="46"/>
      <c r="T71" s="42"/>
      <c r="U71" s="42"/>
      <c r="V71" s="40"/>
      <c r="W71" s="40"/>
    </row>
    <row r="72" spans="1:23">
      <c r="A72" s="3"/>
      <c r="B72" s="3"/>
      <c r="C72" s="7"/>
      <c r="D72" s="7"/>
      <c r="E72" s="7"/>
      <c r="F72" s="3"/>
      <c r="G72" s="3"/>
      <c r="H72" s="5"/>
      <c r="I72" s="6"/>
      <c r="J72" s="8"/>
      <c r="K72" s="42"/>
      <c r="L72" s="42"/>
      <c r="M72" s="42"/>
      <c r="N72" s="42"/>
      <c r="O72" s="43"/>
      <c r="P72" s="44"/>
      <c r="Q72" s="45"/>
      <c r="R72" s="45"/>
      <c r="S72" s="46"/>
      <c r="T72" s="42"/>
      <c r="U72" s="42"/>
      <c r="V72" s="40"/>
      <c r="W72" s="40"/>
    </row>
    <row r="73" spans="1:23">
      <c r="A73" s="3"/>
      <c r="B73" s="3"/>
      <c r="C73" s="7"/>
      <c r="D73" s="7"/>
      <c r="E73" s="7"/>
      <c r="F73" s="3"/>
      <c r="G73" s="3"/>
      <c r="H73" s="5"/>
      <c r="I73" s="6"/>
      <c r="J73" s="8"/>
      <c r="K73" s="42"/>
      <c r="L73" s="42"/>
      <c r="M73" s="42"/>
      <c r="N73" s="42"/>
      <c r="O73" s="43"/>
      <c r="P73" s="44"/>
      <c r="Q73" s="45"/>
      <c r="R73" s="45"/>
      <c r="S73" s="46"/>
      <c r="T73" s="42"/>
      <c r="U73" s="42"/>
      <c r="V73" s="40"/>
      <c r="W73" s="40"/>
    </row>
    <row r="74" spans="1:23">
      <c r="A74" s="3"/>
      <c r="B74" s="3"/>
      <c r="C74" s="4"/>
      <c r="D74" s="7"/>
      <c r="E74" s="7"/>
      <c r="F74" s="3"/>
      <c r="G74" s="3"/>
      <c r="H74" s="5"/>
      <c r="I74" s="6"/>
      <c r="J74" s="8"/>
      <c r="K74" s="42"/>
      <c r="L74" s="42"/>
      <c r="M74" s="42"/>
      <c r="N74" s="42"/>
      <c r="O74" s="43"/>
      <c r="P74" s="44"/>
      <c r="Q74" s="45"/>
      <c r="R74" s="45"/>
      <c r="S74" s="45"/>
      <c r="T74" s="42"/>
      <c r="U74" s="42"/>
      <c r="V74" s="40"/>
      <c r="W74" s="40"/>
    </row>
    <row r="75" spans="1:23">
      <c r="A75" s="9"/>
      <c r="B75" s="9"/>
      <c r="C75" s="53" t="s">
        <v>296</v>
      </c>
      <c r="D75" s="53"/>
      <c r="E75" s="53"/>
      <c r="F75" s="53"/>
      <c r="G75" s="53"/>
      <c r="H75" s="54">
        <f>SUM(H5:H74)</f>
        <v>-66545722</v>
      </c>
      <c r="I75" s="55"/>
      <c r="J75" s="56"/>
      <c r="K75" s="57">
        <f t="shared" ref="K75:W75" si="1">SUM(K5:K74)</f>
        <v>-12177000</v>
      </c>
      <c r="L75" s="57">
        <f t="shared" si="1"/>
        <v>-17788400</v>
      </c>
      <c r="M75" s="57">
        <f t="shared" si="1"/>
        <v>-42946000</v>
      </c>
      <c r="N75" s="57">
        <f t="shared" si="1"/>
        <v>-54376900</v>
      </c>
      <c r="O75" s="57">
        <f t="shared" si="1"/>
        <v>-34360800</v>
      </c>
      <c r="P75" s="57">
        <f t="shared" si="1"/>
        <v>-65400000</v>
      </c>
      <c r="Q75" s="58">
        <f t="shared" si="1"/>
        <v>-43124340</v>
      </c>
      <c r="R75" s="58">
        <f t="shared" si="1"/>
        <v>-35013740</v>
      </c>
      <c r="S75" s="58">
        <f t="shared" si="1"/>
        <v>-14334120</v>
      </c>
      <c r="T75" s="57">
        <f t="shared" si="1"/>
        <v>-62520903</v>
      </c>
      <c r="U75" s="57">
        <f t="shared" si="1"/>
        <v>-13131740</v>
      </c>
      <c r="V75" s="57">
        <f t="shared" si="1"/>
        <v>-67827550</v>
      </c>
      <c r="W75" s="57">
        <f t="shared" si="1"/>
        <v>0</v>
      </c>
    </row>
    <row r="76" spans="1:23">
      <c r="A76" s="9"/>
      <c r="B76" s="9"/>
      <c r="C76" s="9"/>
      <c r="D76" s="9"/>
      <c r="E76" s="9"/>
      <c r="F76" s="9"/>
      <c r="G76" s="9"/>
      <c r="H76" s="9"/>
      <c r="I76" s="9"/>
      <c r="J76" s="9"/>
      <c r="K76" s="10"/>
      <c r="L76" s="10"/>
      <c r="M76" s="10"/>
      <c r="N76" s="10"/>
      <c r="O76" s="10"/>
      <c r="P76" s="10"/>
      <c r="Q76" s="2"/>
      <c r="R76" s="2"/>
      <c r="S76" s="2"/>
      <c r="T76" s="10"/>
      <c r="U76" s="10"/>
    </row>
  </sheetData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7F059-380B-4C2F-9379-322FF05C6A3A}">
  <sheetPr>
    <tabColor rgb="FFFFFF00"/>
  </sheetPr>
  <dimension ref="A1:U94"/>
  <sheetViews>
    <sheetView showGridLines="0" zoomScale="80" zoomScaleNormal="80" workbookViewId="0">
      <selection activeCell="K20" sqref="K20:T20"/>
    </sheetView>
  </sheetViews>
  <sheetFormatPr baseColWidth="10" defaultRowHeight="15"/>
  <cols>
    <col min="1" max="1" width="18.42578125" bestFit="1" customWidth="1"/>
    <col min="2" max="2" width="27.28515625" bestFit="1" customWidth="1"/>
    <col min="3" max="3" width="12.85546875" bestFit="1" customWidth="1"/>
    <col min="4" max="5" width="7.140625" bestFit="1" customWidth="1"/>
    <col min="6" max="6" width="13.85546875" bestFit="1" customWidth="1"/>
    <col min="7" max="7" width="7.140625" bestFit="1" customWidth="1"/>
    <col min="8" max="8" width="17.28515625" bestFit="1" customWidth="1"/>
    <col min="9" max="9" width="15.7109375" bestFit="1" customWidth="1"/>
    <col min="10" max="10" width="18" bestFit="1" customWidth="1"/>
    <col min="11" max="11" width="16.28515625" bestFit="1" customWidth="1"/>
    <col min="12" max="12" width="15.140625" bestFit="1" customWidth="1"/>
    <col min="13" max="14" width="15" bestFit="1" customWidth="1"/>
    <col min="15" max="15" width="14.42578125" bestFit="1" customWidth="1"/>
    <col min="16" max="16" width="17.140625" bestFit="1" customWidth="1"/>
    <col min="17" max="17" width="20.85546875" bestFit="1" customWidth="1"/>
    <col min="18" max="18" width="18.140625" bestFit="1" customWidth="1"/>
    <col min="19" max="19" width="20.7109375" bestFit="1" customWidth="1"/>
    <col min="20" max="20" width="19.5703125" bestFit="1" customWidth="1"/>
    <col min="21" max="21" width="13.85546875" bestFit="1" customWidth="1"/>
    <col min="22" max="22" width="7.140625" bestFit="1" customWidth="1"/>
    <col min="23" max="23" width="15.5703125" bestFit="1" customWidth="1"/>
    <col min="24" max="26" width="7.140625" bestFit="1" customWidth="1"/>
    <col min="27" max="27" width="7.7109375" bestFit="1" customWidth="1"/>
    <col min="28" max="31" width="7.140625" bestFit="1" customWidth="1"/>
    <col min="32" max="32" width="15.5703125" bestFit="1" customWidth="1"/>
    <col min="33" max="33" width="7.140625" bestFit="1" customWidth="1"/>
    <col min="34" max="35" width="13.85546875" bestFit="1" customWidth="1"/>
    <col min="36" max="36" width="7.7109375" bestFit="1" customWidth="1"/>
    <col min="37" max="37" width="7.140625" bestFit="1" customWidth="1"/>
    <col min="38" max="38" width="15.5703125" bestFit="1" customWidth="1"/>
    <col min="39" max="41" width="7.140625" bestFit="1" customWidth="1"/>
    <col min="42" max="42" width="7.7109375" bestFit="1" customWidth="1"/>
    <col min="43" max="43" width="7.140625" bestFit="1" customWidth="1"/>
    <col min="44" max="44" width="15.5703125" bestFit="1" customWidth="1"/>
    <col min="45" max="46" width="7.140625" bestFit="1" customWidth="1"/>
    <col min="47" max="47" width="13.85546875" bestFit="1" customWidth="1"/>
    <col min="48" max="48" width="10.85546875" bestFit="1" customWidth="1"/>
    <col min="49" max="49" width="13.85546875" bestFit="1" customWidth="1"/>
    <col min="50" max="50" width="7.140625" bestFit="1" customWidth="1"/>
    <col min="51" max="51" width="12" bestFit="1" customWidth="1"/>
    <col min="52" max="53" width="7.140625" bestFit="1" customWidth="1"/>
    <col min="54" max="54" width="15.5703125" bestFit="1" customWidth="1"/>
    <col min="55" max="58" width="7.140625" bestFit="1" customWidth="1"/>
    <col min="59" max="59" width="13.85546875" bestFit="1" customWidth="1"/>
    <col min="60" max="64" width="7.140625" bestFit="1" customWidth="1"/>
    <col min="65" max="66" width="7.7109375" bestFit="1" customWidth="1"/>
    <col min="67" max="70" width="7.140625" bestFit="1" customWidth="1"/>
    <col min="71" max="71" width="8.7109375" bestFit="1" customWidth="1"/>
    <col min="72" max="72" width="7.140625" bestFit="1" customWidth="1"/>
    <col min="73" max="73" width="8.7109375" bestFit="1" customWidth="1"/>
    <col min="74" max="74" width="7.140625" bestFit="1" customWidth="1"/>
    <col min="75" max="76" width="16.5703125" bestFit="1" customWidth="1"/>
    <col min="77" max="149" width="22.42578125" bestFit="1" customWidth="1"/>
    <col min="150" max="150" width="20.140625" bestFit="1" customWidth="1"/>
    <col min="151" max="151" width="22.28515625" bestFit="1" customWidth="1"/>
    <col min="152" max="152" width="20.85546875" bestFit="1" customWidth="1"/>
    <col min="153" max="155" width="19.7109375" bestFit="1" customWidth="1"/>
    <col min="156" max="156" width="19.140625" bestFit="1" customWidth="1"/>
    <col min="157" max="157" width="21.5703125" bestFit="1" customWidth="1"/>
    <col min="158" max="158" width="25.28515625" bestFit="1" customWidth="1"/>
    <col min="159" max="159" width="22.42578125" bestFit="1" customWidth="1"/>
  </cols>
  <sheetData>
    <row r="1" spans="1:21">
      <c r="A1" s="61" t="s">
        <v>297</v>
      </c>
    </row>
    <row r="2" spans="1:21">
      <c r="I2" s="63" t="s">
        <v>306</v>
      </c>
      <c r="J2" s="63" t="s">
        <v>307</v>
      </c>
      <c r="K2" s="63" t="s">
        <v>308</v>
      </c>
    </row>
    <row r="3" spans="1:21" ht="24" customHeight="1">
      <c r="A3" s="62" t="s">
        <v>298</v>
      </c>
      <c r="B3" s="62" t="s">
        <v>299</v>
      </c>
      <c r="C3" s="63" t="s">
        <v>303</v>
      </c>
      <c r="E3" s="62" t="s">
        <v>298</v>
      </c>
      <c r="F3" s="62" t="s">
        <v>309</v>
      </c>
      <c r="H3" s="63" t="s">
        <v>304</v>
      </c>
      <c r="I3" s="35">
        <f>COUNTIFS('Base Inversionistas'!R5:R296,"=0",'Base Inversionistas'!S5:S296,"&gt;0")</f>
        <v>34</v>
      </c>
      <c r="J3" s="35">
        <f>COUNTIFS('Base Inversionistas'!S5:S296,"=0",'Base Inversionistas'!T5:T296,"&gt;0")</f>
        <v>81</v>
      </c>
      <c r="K3" s="35">
        <f>COUNTIFS('Base Inversionistas'!T5:T296,"=0",'Base Inversionistas'!U5:U296,"&gt;0")</f>
        <v>39</v>
      </c>
    </row>
    <row r="4" spans="1:21">
      <c r="A4" s="67">
        <v>2024</v>
      </c>
      <c r="B4" s="36">
        <v>102568000</v>
      </c>
      <c r="C4" s="63"/>
      <c r="E4" s="67">
        <v>2024</v>
      </c>
      <c r="F4" s="64">
        <f>'Gastos 26'!H123</f>
        <v>-66545722</v>
      </c>
      <c r="H4" s="63" t="s">
        <v>305</v>
      </c>
      <c r="I4" s="35">
        <f>COUNTIFS('Base Inversionistas'!R6:R297,"&gt;0",'Base Inversionistas'!S6:S297,"=0")</f>
        <v>23</v>
      </c>
      <c r="J4" s="35">
        <f>COUNTIFS('Base Inversionistas'!S6:S297,"&gt;0",'Base Inversionistas'!T6:T297,"=0")</f>
        <v>31</v>
      </c>
      <c r="K4" s="35">
        <f>COUNTIFS('Base Inversionistas'!T6:T297,"&gt;0",'Base Inversionistas'!U6:U297,"=0")</f>
        <v>29</v>
      </c>
    </row>
    <row r="5" spans="1:21">
      <c r="A5" s="35" t="s">
        <v>118</v>
      </c>
      <c r="B5" s="36">
        <f>SUM('Base Inversionistas'!J5:J268)</f>
        <v>23082000</v>
      </c>
      <c r="C5" s="71">
        <f>COUNTIF('Base Inversionistas'!J5:J268,"&gt;0")</f>
        <v>32</v>
      </c>
      <c r="E5" s="35" t="s">
        <v>118</v>
      </c>
      <c r="F5" s="64">
        <f>SUM('Gastos 26'!K5:K122)</f>
        <v>-14223540</v>
      </c>
    </row>
    <row r="6" spans="1:21">
      <c r="A6" s="35" t="s">
        <v>119</v>
      </c>
      <c r="B6" s="36">
        <f>SUM('Base Inversionistas'!K5:K268)</f>
        <v>19771600</v>
      </c>
      <c r="C6" s="71">
        <v>37</v>
      </c>
      <c r="E6" s="35" t="s">
        <v>119</v>
      </c>
      <c r="F6" s="64">
        <v>-17788400</v>
      </c>
    </row>
    <row r="7" spans="1:21" ht="30">
      <c r="A7" s="35" t="s">
        <v>120</v>
      </c>
      <c r="B7" s="36">
        <f>SUM('Base Inversionistas'!L5:L268)</f>
        <v>40867000</v>
      </c>
      <c r="C7" s="71">
        <v>43</v>
      </c>
      <c r="E7" s="35" t="s">
        <v>120</v>
      </c>
      <c r="F7" s="64">
        <v>-42946000</v>
      </c>
      <c r="H7" s="77" t="s">
        <v>342</v>
      </c>
      <c r="I7" s="78" t="s">
        <v>331</v>
      </c>
      <c r="J7" s="78" t="s">
        <v>332</v>
      </c>
      <c r="K7" s="78" t="s">
        <v>333</v>
      </c>
      <c r="L7" s="78" t="s">
        <v>334</v>
      </c>
      <c r="M7" s="78" t="s">
        <v>335</v>
      </c>
      <c r="N7" s="78" t="s">
        <v>336</v>
      </c>
      <c r="O7" s="78" t="s">
        <v>337</v>
      </c>
      <c r="P7" s="78" t="s">
        <v>338</v>
      </c>
      <c r="Q7" s="78" t="s">
        <v>339</v>
      </c>
      <c r="R7" s="78" t="s">
        <v>340</v>
      </c>
      <c r="S7" s="78" t="s">
        <v>471</v>
      </c>
      <c r="T7" s="78" t="s">
        <v>560</v>
      </c>
      <c r="U7" s="73" t="s">
        <v>341</v>
      </c>
    </row>
    <row r="8" spans="1:21">
      <c r="A8" s="35" t="s">
        <v>300</v>
      </c>
      <c r="B8" s="36">
        <f>SUM('Base Inversionistas'!M5:M268)</f>
        <v>42217250</v>
      </c>
      <c r="C8" s="71">
        <v>58</v>
      </c>
      <c r="E8" s="35" t="s">
        <v>300</v>
      </c>
      <c r="F8" s="64">
        <v>-54376900</v>
      </c>
      <c r="H8" s="76" t="s">
        <v>319</v>
      </c>
      <c r="I8" s="72"/>
      <c r="J8" s="72"/>
      <c r="K8" s="72"/>
      <c r="L8" s="72">
        <v>-592000</v>
      </c>
      <c r="M8" s="72"/>
      <c r="N8" s="72"/>
      <c r="O8" s="72"/>
      <c r="P8" s="72"/>
      <c r="Q8" s="72"/>
      <c r="R8" s="72"/>
      <c r="S8" s="72"/>
      <c r="T8" s="72"/>
      <c r="U8" s="74">
        <f>SUM(I8:S8)</f>
        <v>-592000</v>
      </c>
    </row>
    <row r="9" spans="1:21">
      <c r="A9" s="35" t="s">
        <v>185</v>
      </c>
      <c r="B9" s="36">
        <f>SUM('Base Inversionistas'!N5:N268)</f>
        <v>53415000</v>
      </c>
      <c r="C9" s="71">
        <v>71</v>
      </c>
      <c r="E9" s="35" t="s">
        <v>185</v>
      </c>
      <c r="F9" s="64">
        <v>-34360800</v>
      </c>
      <c r="H9" s="76" t="s">
        <v>324</v>
      </c>
      <c r="I9" s="72">
        <v>-5000000</v>
      </c>
      <c r="J9" s="72">
        <v>-5000000</v>
      </c>
      <c r="K9" s="72">
        <v>-5000000</v>
      </c>
      <c r="L9" s="72">
        <v>-5000000</v>
      </c>
      <c r="M9" s="72">
        <v>-5000000</v>
      </c>
      <c r="N9" s="72">
        <v>-8000000</v>
      </c>
      <c r="O9" s="72">
        <v>-5000000</v>
      </c>
      <c r="P9" s="72"/>
      <c r="Q9" s="72">
        <v>-3200000</v>
      </c>
      <c r="R9" s="72">
        <v>-16000000</v>
      </c>
      <c r="S9" s="72"/>
      <c r="T9" s="72">
        <v>-1000000</v>
      </c>
      <c r="U9" s="74">
        <f t="shared" ref="U9:U21" si="0">SUM(I9:S9)</f>
        <v>-57200000</v>
      </c>
    </row>
    <row r="10" spans="1:21">
      <c r="A10" s="35" t="s">
        <v>196</v>
      </c>
      <c r="B10" s="36">
        <f>SUM('Base Inversionistas'!O5:O268)</f>
        <v>34625000</v>
      </c>
      <c r="C10" s="71">
        <v>45</v>
      </c>
      <c r="E10" s="35" t="s">
        <v>196</v>
      </c>
      <c r="F10" s="64">
        <v>-65400000</v>
      </c>
      <c r="H10" s="76" t="s">
        <v>327</v>
      </c>
      <c r="I10" s="72"/>
      <c r="J10" s="72">
        <v>-4620900</v>
      </c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4">
        <f t="shared" si="0"/>
        <v>-4620900</v>
      </c>
    </row>
    <row r="11" spans="1:21">
      <c r="A11" s="35" t="s">
        <v>222</v>
      </c>
      <c r="B11" s="36">
        <f>SUM('Base Inversionistas'!P5:P268)</f>
        <v>47793000</v>
      </c>
      <c r="C11" s="71">
        <v>70</v>
      </c>
      <c r="E11" s="35" t="s">
        <v>222</v>
      </c>
      <c r="F11" s="64">
        <v>-43124340</v>
      </c>
      <c r="H11" s="76" t="s">
        <v>321</v>
      </c>
      <c r="I11" s="72">
        <v>-1477000</v>
      </c>
      <c r="J11" s="72"/>
      <c r="K11" s="72"/>
      <c r="L11" s="72"/>
      <c r="M11" s="72"/>
      <c r="N11" s="72"/>
      <c r="O11" s="72"/>
      <c r="P11" s="72"/>
      <c r="Q11" s="72"/>
      <c r="R11" s="72"/>
      <c r="S11" s="72">
        <v>-1400000</v>
      </c>
      <c r="T11" s="72"/>
      <c r="U11" s="74">
        <f t="shared" si="0"/>
        <v>-2877000</v>
      </c>
    </row>
    <row r="12" spans="1:21">
      <c r="A12" s="35" t="s">
        <v>244</v>
      </c>
      <c r="B12" s="36">
        <f>SUM('Base Inversionistas'!Q5:Q268)</f>
        <v>55225000</v>
      </c>
      <c r="C12" s="71">
        <v>68</v>
      </c>
      <c r="E12" s="35" t="s">
        <v>244</v>
      </c>
      <c r="F12" s="64">
        <v>-35013740</v>
      </c>
      <c r="H12" s="76" t="s">
        <v>317</v>
      </c>
      <c r="I12" s="72">
        <v>-3000000</v>
      </c>
      <c r="J12" s="72">
        <v>-3000000</v>
      </c>
      <c r="K12" s="72">
        <v>-3000000</v>
      </c>
      <c r="L12" s="72">
        <v>-3000000</v>
      </c>
      <c r="M12" s="72">
        <v>-3000000</v>
      </c>
      <c r="N12" s="72">
        <v>-3000000</v>
      </c>
      <c r="O12" s="72">
        <v>-3000000</v>
      </c>
      <c r="P12" s="72">
        <v>-3000000</v>
      </c>
      <c r="Q12" s="72">
        <v>-3000000</v>
      </c>
      <c r="R12" s="72">
        <v>-3000000</v>
      </c>
      <c r="S12" s="72">
        <v>-3000000</v>
      </c>
      <c r="T12" s="72">
        <v>-3000000</v>
      </c>
      <c r="U12" s="74">
        <f t="shared" si="0"/>
        <v>-33000000</v>
      </c>
    </row>
    <row r="13" spans="1:21">
      <c r="A13" s="35" t="s">
        <v>266</v>
      </c>
      <c r="B13" s="36">
        <f>SUM('Base Inversionistas'!R5:R268)</f>
        <v>63734000</v>
      </c>
      <c r="C13" s="71">
        <v>70</v>
      </c>
      <c r="E13" s="35" t="s">
        <v>266</v>
      </c>
      <c r="F13" s="64">
        <v>-14334120</v>
      </c>
      <c r="H13" s="76" t="s">
        <v>320</v>
      </c>
      <c r="I13" s="72"/>
      <c r="J13" s="72"/>
      <c r="K13" s="72"/>
      <c r="L13" s="72">
        <v>-12015000</v>
      </c>
      <c r="M13" s="72">
        <v>-4229600</v>
      </c>
      <c r="N13" s="72"/>
      <c r="O13" s="72"/>
      <c r="P13" s="72">
        <v>-11190450</v>
      </c>
      <c r="Q13" s="72"/>
      <c r="R13" s="72"/>
      <c r="S13" s="72"/>
      <c r="T13" s="72"/>
      <c r="U13" s="74">
        <f t="shared" si="0"/>
        <v>-27435050</v>
      </c>
    </row>
    <row r="14" spans="1:21">
      <c r="A14" s="35" t="s">
        <v>277</v>
      </c>
      <c r="B14" s="36">
        <f>'Base Inversionistas'!S297</f>
        <v>70300000</v>
      </c>
      <c r="C14" s="71">
        <f>COUNTIF('Base Inversionistas'!S5:S268, "&gt;0")</f>
        <v>80</v>
      </c>
      <c r="E14" s="35" t="s">
        <v>277</v>
      </c>
      <c r="F14" s="64">
        <f>Gastos!T75</f>
        <v>-62520903</v>
      </c>
      <c r="H14" s="76" t="s">
        <v>325</v>
      </c>
      <c r="I14" s="72"/>
      <c r="J14" s="72"/>
      <c r="K14" s="72"/>
      <c r="L14" s="72">
        <v>-769900</v>
      </c>
      <c r="M14" s="72"/>
      <c r="N14" s="72"/>
      <c r="O14" s="72"/>
      <c r="P14" s="72"/>
      <c r="Q14" s="72"/>
      <c r="R14" s="72"/>
      <c r="S14" s="72">
        <v>-41900</v>
      </c>
      <c r="T14" s="72">
        <v>-34200</v>
      </c>
      <c r="U14" s="74">
        <f t="shared" si="0"/>
        <v>-811800</v>
      </c>
    </row>
    <row r="15" spans="1:21">
      <c r="A15" s="35" t="s">
        <v>301</v>
      </c>
      <c r="B15" s="36">
        <f>'Base Inversionistas'!T297</f>
        <v>92819059</v>
      </c>
      <c r="C15" s="71">
        <f>COUNTIF('Base Inversionistas'!T5:T296, "&gt;0")</f>
        <v>130</v>
      </c>
      <c r="E15" s="35" t="s">
        <v>301</v>
      </c>
      <c r="F15" s="64">
        <f>Gastos!U75</f>
        <v>-13131740</v>
      </c>
      <c r="H15" s="76" t="s">
        <v>322</v>
      </c>
      <c r="I15" s="72"/>
      <c r="J15" s="72"/>
      <c r="K15" s="72"/>
      <c r="L15" s="72"/>
      <c r="M15" s="72">
        <v>-22131200</v>
      </c>
      <c r="N15" s="72"/>
      <c r="O15" s="72"/>
      <c r="P15" s="72"/>
      <c r="Q15" s="72"/>
      <c r="R15" s="72"/>
      <c r="S15" s="72"/>
      <c r="T15" s="72"/>
      <c r="U15" s="74">
        <f t="shared" si="0"/>
        <v>-22131200</v>
      </c>
    </row>
    <row r="16" spans="1:21">
      <c r="A16" s="35" t="s">
        <v>302</v>
      </c>
      <c r="B16" s="36">
        <f>'Base Inversionistas'!U297</f>
        <v>93925000</v>
      </c>
      <c r="C16" s="71">
        <f>COUNTIF('Base Inversionistas'!U6:U296, "&gt;0")</f>
        <v>140</v>
      </c>
      <c r="E16" s="35" t="s">
        <v>302</v>
      </c>
      <c r="F16" s="64">
        <f>Gastos!V75</f>
        <v>-67827550</v>
      </c>
      <c r="H16" s="76" t="s">
        <v>329</v>
      </c>
      <c r="I16" s="72"/>
      <c r="J16" s="72"/>
      <c r="K16" s="72"/>
      <c r="L16" s="72"/>
      <c r="M16" s="72"/>
      <c r="N16" s="72"/>
      <c r="O16" s="72"/>
      <c r="P16" s="72">
        <v>-3844290</v>
      </c>
      <c r="Q16" s="72">
        <v>-2284620</v>
      </c>
      <c r="R16" s="72"/>
      <c r="S16" s="72"/>
      <c r="T16" s="72"/>
      <c r="U16" s="74">
        <f t="shared" si="0"/>
        <v>-6128910</v>
      </c>
    </row>
    <row r="17" spans="1:21">
      <c r="A17" s="65" t="s">
        <v>310</v>
      </c>
      <c r="B17" s="66">
        <f>SUM(B4:B16)</f>
        <v>740341909</v>
      </c>
      <c r="C17" s="68"/>
      <c r="E17" s="65" t="s">
        <v>310</v>
      </c>
      <c r="F17" s="66">
        <f>SUM(F4:F16)</f>
        <v>-531593755</v>
      </c>
      <c r="H17" s="76" t="s">
        <v>316</v>
      </c>
      <c r="I17" s="72"/>
      <c r="J17" s="72"/>
      <c r="K17" s="72">
        <v>-3946000</v>
      </c>
      <c r="L17" s="72">
        <v>-2000000</v>
      </c>
      <c r="M17" s="72"/>
      <c r="N17" s="72"/>
      <c r="O17" s="72">
        <v>-2600000</v>
      </c>
      <c r="P17" s="72">
        <v>-2375000</v>
      </c>
      <c r="Q17" s="72"/>
      <c r="R17" s="72">
        <v>-1561973</v>
      </c>
      <c r="S17" s="72"/>
      <c r="T17" s="72"/>
      <c r="U17" s="74">
        <f t="shared" si="0"/>
        <v>-12482973</v>
      </c>
    </row>
    <row r="18" spans="1:21" ht="15.6" customHeight="1">
      <c r="A18" s="69" t="s">
        <v>311</v>
      </c>
      <c r="B18" s="70">
        <f>B17+F17</f>
        <v>208748154</v>
      </c>
      <c r="H18" s="76" t="s">
        <v>318</v>
      </c>
      <c r="I18" s="72">
        <v>-2700000</v>
      </c>
      <c r="J18" s="72">
        <v>-5167500</v>
      </c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4">
        <f t="shared" si="0"/>
        <v>-7867500</v>
      </c>
    </row>
    <row r="19" spans="1:21">
      <c r="H19" s="76" t="s">
        <v>323</v>
      </c>
      <c r="I19" s="72"/>
      <c r="J19" s="72"/>
      <c r="K19" s="72"/>
      <c r="L19" s="72"/>
      <c r="M19" s="72"/>
      <c r="N19" s="72">
        <v>-8000000</v>
      </c>
      <c r="O19" s="72">
        <v>-1000000</v>
      </c>
      <c r="P19" s="72">
        <v>-2100000</v>
      </c>
      <c r="Q19" s="72"/>
      <c r="R19" s="72">
        <v>-7900000</v>
      </c>
      <c r="S19" s="72"/>
      <c r="T19" s="72">
        <v>-1000000</v>
      </c>
      <c r="U19" s="74">
        <f t="shared" si="0"/>
        <v>-19000000</v>
      </c>
    </row>
    <row r="20" spans="1:21">
      <c r="H20" s="76" t="s">
        <v>326</v>
      </c>
      <c r="I20" s="72"/>
      <c r="J20" s="72"/>
      <c r="K20" s="72">
        <v>-31000000</v>
      </c>
      <c r="L20" s="72">
        <v>-31000000</v>
      </c>
      <c r="M20" s="72"/>
      <c r="N20" s="72">
        <v>-41400000</v>
      </c>
      <c r="O20" s="72">
        <v>-20350000</v>
      </c>
      <c r="P20" s="72">
        <v>-12045000</v>
      </c>
      <c r="Q20" s="72"/>
      <c r="R20" s="72">
        <v>-29998000</v>
      </c>
      <c r="S20" s="72"/>
      <c r="T20" s="72">
        <v>-60793350</v>
      </c>
      <c r="U20" s="74">
        <f t="shared" si="0"/>
        <v>-165793000</v>
      </c>
    </row>
    <row r="21" spans="1:21">
      <c r="H21" s="76" t="s">
        <v>328</v>
      </c>
      <c r="I21" s="72"/>
      <c r="J21" s="72"/>
      <c r="K21" s="72"/>
      <c r="L21" s="72"/>
      <c r="M21" s="72"/>
      <c r="N21" s="72">
        <v>-5000000</v>
      </c>
      <c r="O21" s="72">
        <v>-11174340</v>
      </c>
      <c r="P21" s="72">
        <v>-459000</v>
      </c>
      <c r="Q21" s="72">
        <v>-5849500</v>
      </c>
      <c r="R21" s="72">
        <v>-4060930</v>
      </c>
      <c r="S21" s="72">
        <v>-8689840</v>
      </c>
      <c r="T21" s="72"/>
      <c r="U21" s="74">
        <f t="shared" si="0"/>
        <v>-35233610</v>
      </c>
    </row>
    <row r="22" spans="1:21">
      <c r="D22" s="72">
        <f>B16/A25</f>
        <v>234.8125</v>
      </c>
      <c r="H22" s="76" t="s">
        <v>348</v>
      </c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>
        <v>-2000000</v>
      </c>
      <c r="U22" s="75">
        <f>SUM(I22:T22)</f>
        <v>-2000000</v>
      </c>
    </row>
    <row r="23" spans="1:21">
      <c r="H23" s="1" t="s">
        <v>330</v>
      </c>
      <c r="I23" s="72">
        <v>-12177000</v>
      </c>
      <c r="J23" s="72">
        <v>-17788400</v>
      </c>
      <c r="K23" s="72">
        <v>-42946000</v>
      </c>
      <c r="L23" s="72">
        <v>-54376900</v>
      </c>
      <c r="M23" s="72">
        <v>-34360800</v>
      </c>
      <c r="N23" s="72">
        <v>-65400000</v>
      </c>
      <c r="O23" s="72">
        <v>-43124340</v>
      </c>
      <c r="P23" s="72">
        <v>-35013740</v>
      </c>
      <c r="Q23" s="72">
        <v>-14334120</v>
      </c>
      <c r="R23" s="72">
        <v>-62520903</v>
      </c>
      <c r="S23" s="72">
        <v>-13131740</v>
      </c>
      <c r="T23" s="72">
        <v>-67827550</v>
      </c>
    </row>
    <row r="25" spans="1:21">
      <c r="A25">
        <v>400000</v>
      </c>
    </row>
    <row r="26" spans="1:21">
      <c r="A26" s="93" t="s">
        <v>548</v>
      </c>
      <c r="B26" t="s">
        <v>626</v>
      </c>
    </row>
    <row r="27" spans="1:21">
      <c r="A27" s="1" t="s">
        <v>571</v>
      </c>
      <c r="B27" s="94">
        <v>1</v>
      </c>
    </row>
    <row r="28" spans="1:21">
      <c r="A28" s="1" t="s">
        <v>237</v>
      </c>
      <c r="B28" s="94">
        <v>2</v>
      </c>
    </row>
    <row r="29" spans="1:21">
      <c r="A29" s="1" t="s">
        <v>159</v>
      </c>
      <c r="B29" s="94">
        <v>3</v>
      </c>
    </row>
    <row r="30" spans="1:21">
      <c r="A30" s="1" t="s">
        <v>183</v>
      </c>
      <c r="B30" s="94">
        <v>2</v>
      </c>
    </row>
    <row r="31" spans="1:21">
      <c r="A31" s="1" t="s">
        <v>257</v>
      </c>
      <c r="B31" s="94">
        <v>38</v>
      </c>
    </row>
    <row r="32" spans="1:21">
      <c r="A32" s="1" t="s">
        <v>160</v>
      </c>
      <c r="B32" s="94">
        <v>2</v>
      </c>
    </row>
    <row r="33" spans="1:2">
      <c r="A33" s="1" t="s">
        <v>565</v>
      </c>
      <c r="B33" s="94">
        <v>5</v>
      </c>
    </row>
    <row r="34" spans="1:2">
      <c r="A34" s="1" t="s">
        <v>358</v>
      </c>
      <c r="B34" s="94">
        <v>2</v>
      </c>
    </row>
    <row r="35" spans="1:2">
      <c r="A35" s="1" t="s">
        <v>539</v>
      </c>
      <c r="B35" s="94">
        <v>6</v>
      </c>
    </row>
    <row r="36" spans="1:2">
      <c r="A36" s="1" t="s">
        <v>162</v>
      </c>
      <c r="B36" s="94">
        <v>1</v>
      </c>
    </row>
    <row r="37" spans="1:2">
      <c r="A37" s="1" t="s">
        <v>512</v>
      </c>
      <c r="B37" s="94">
        <v>3</v>
      </c>
    </row>
    <row r="38" spans="1:2">
      <c r="A38" s="1" t="s">
        <v>529</v>
      </c>
      <c r="B38" s="94">
        <v>1</v>
      </c>
    </row>
    <row r="39" spans="1:2">
      <c r="A39" s="1" t="s">
        <v>445</v>
      </c>
      <c r="B39" s="94">
        <v>1</v>
      </c>
    </row>
    <row r="40" spans="1:2">
      <c r="A40" s="1" t="s">
        <v>180</v>
      </c>
      <c r="B40" s="94">
        <v>1</v>
      </c>
    </row>
    <row r="41" spans="1:2">
      <c r="A41" s="1" t="s">
        <v>496</v>
      </c>
      <c r="B41" s="94">
        <v>2</v>
      </c>
    </row>
    <row r="42" spans="1:2">
      <c r="A42" s="1" t="s">
        <v>346</v>
      </c>
      <c r="B42" s="94">
        <v>8</v>
      </c>
    </row>
    <row r="43" spans="1:2">
      <c r="A43" s="1" t="s">
        <v>343</v>
      </c>
      <c r="B43" s="94">
        <v>2</v>
      </c>
    </row>
    <row r="44" spans="1:2">
      <c r="A44" s="1" t="s">
        <v>345</v>
      </c>
      <c r="B44" s="94">
        <v>2</v>
      </c>
    </row>
    <row r="45" spans="1:2">
      <c r="A45" s="1" t="s">
        <v>493</v>
      </c>
      <c r="B45" s="94">
        <v>1</v>
      </c>
    </row>
    <row r="46" spans="1:2">
      <c r="A46" s="1" t="s">
        <v>564</v>
      </c>
      <c r="B46" s="94">
        <v>2</v>
      </c>
    </row>
    <row r="47" spans="1:2">
      <c r="A47" s="1" t="s">
        <v>562</v>
      </c>
      <c r="B47" s="94">
        <v>6</v>
      </c>
    </row>
    <row r="48" spans="1:2">
      <c r="A48" s="1" t="s">
        <v>447</v>
      </c>
      <c r="B48" s="94">
        <v>1</v>
      </c>
    </row>
    <row r="49" spans="1:2">
      <c r="A49" s="1" t="s">
        <v>164</v>
      </c>
      <c r="B49" s="94">
        <v>1</v>
      </c>
    </row>
    <row r="50" spans="1:2">
      <c r="A50" s="1" t="s">
        <v>174</v>
      </c>
      <c r="B50" s="94">
        <v>3</v>
      </c>
    </row>
    <row r="51" spans="1:2">
      <c r="A51" s="1" t="s">
        <v>165</v>
      </c>
      <c r="B51" s="94">
        <v>1</v>
      </c>
    </row>
    <row r="52" spans="1:2">
      <c r="A52" s="1" t="s">
        <v>239</v>
      </c>
      <c r="B52" s="94">
        <v>13</v>
      </c>
    </row>
    <row r="53" spans="1:2">
      <c r="A53" s="1" t="s">
        <v>166</v>
      </c>
      <c r="B53" s="94">
        <v>3</v>
      </c>
    </row>
    <row r="54" spans="1:2">
      <c r="A54" s="1" t="s">
        <v>561</v>
      </c>
      <c r="B54" s="94">
        <v>13</v>
      </c>
    </row>
    <row r="55" spans="1:2">
      <c r="A55" s="1" t="s">
        <v>567</v>
      </c>
      <c r="B55" s="94">
        <v>1</v>
      </c>
    </row>
    <row r="56" spans="1:2">
      <c r="A56" s="1" t="s">
        <v>167</v>
      </c>
      <c r="B56" s="94">
        <v>2</v>
      </c>
    </row>
    <row r="57" spans="1:2">
      <c r="A57" s="1" t="s">
        <v>508</v>
      </c>
      <c r="B57" s="94">
        <v>7</v>
      </c>
    </row>
    <row r="58" spans="1:2">
      <c r="A58" s="1" t="s">
        <v>578</v>
      </c>
      <c r="B58" s="94">
        <v>4</v>
      </c>
    </row>
    <row r="59" spans="1:2">
      <c r="A59" s="1" t="s">
        <v>501</v>
      </c>
      <c r="B59" s="94">
        <v>2</v>
      </c>
    </row>
    <row r="60" spans="1:2">
      <c r="A60" s="1" t="s">
        <v>344</v>
      </c>
      <c r="B60" s="94">
        <v>8</v>
      </c>
    </row>
    <row r="61" spans="1:2">
      <c r="A61" s="1" t="s">
        <v>441</v>
      </c>
      <c r="B61" s="94">
        <v>3</v>
      </c>
    </row>
    <row r="62" spans="1:2">
      <c r="A62" s="1" t="s">
        <v>176</v>
      </c>
      <c r="B62" s="94">
        <v>5</v>
      </c>
    </row>
    <row r="63" spans="1:2">
      <c r="A63" s="1" t="s">
        <v>514</v>
      </c>
      <c r="B63" s="94">
        <v>2</v>
      </c>
    </row>
    <row r="64" spans="1:2">
      <c r="A64" s="1" t="s">
        <v>350</v>
      </c>
      <c r="B64" s="94">
        <v>4</v>
      </c>
    </row>
    <row r="65" spans="1:2">
      <c r="A65" s="1" t="s">
        <v>347</v>
      </c>
      <c r="B65" s="94">
        <v>7</v>
      </c>
    </row>
    <row r="66" spans="1:2">
      <c r="A66" s="1" t="s">
        <v>182</v>
      </c>
      <c r="B66" s="94">
        <v>1</v>
      </c>
    </row>
    <row r="67" spans="1:2">
      <c r="A67" s="1" t="s">
        <v>352</v>
      </c>
      <c r="B67" s="94">
        <v>3</v>
      </c>
    </row>
    <row r="68" spans="1:2">
      <c r="A68" s="1" t="s">
        <v>169</v>
      </c>
      <c r="B68" s="94">
        <v>1</v>
      </c>
    </row>
    <row r="69" spans="1:2">
      <c r="A69" s="1" t="s">
        <v>517</v>
      </c>
      <c r="B69" s="94">
        <v>1</v>
      </c>
    </row>
    <row r="70" spans="1:2">
      <c r="A70" s="1" t="s">
        <v>230</v>
      </c>
      <c r="B70" s="94">
        <v>6</v>
      </c>
    </row>
    <row r="71" spans="1:2">
      <c r="A71" s="1" t="s">
        <v>472</v>
      </c>
      <c r="B71" s="94">
        <v>1</v>
      </c>
    </row>
    <row r="72" spans="1:2">
      <c r="A72" s="1" t="s">
        <v>533</v>
      </c>
      <c r="B72" s="94">
        <v>1</v>
      </c>
    </row>
    <row r="73" spans="1:2">
      <c r="A73" s="1" t="s">
        <v>177</v>
      </c>
      <c r="B73" s="94">
        <v>1</v>
      </c>
    </row>
    <row r="74" spans="1:2">
      <c r="A74" s="1" t="s">
        <v>171</v>
      </c>
      <c r="B74" s="94">
        <v>1</v>
      </c>
    </row>
    <row r="75" spans="1:2">
      <c r="A75" s="1" t="s">
        <v>172</v>
      </c>
      <c r="B75" s="94">
        <v>3</v>
      </c>
    </row>
    <row r="76" spans="1:2">
      <c r="A76" s="1" t="s">
        <v>490</v>
      </c>
      <c r="B76" s="94">
        <v>1</v>
      </c>
    </row>
    <row r="77" spans="1:2">
      <c r="A77" s="1" t="s">
        <v>158</v>
      </c>
      <c r="B77" s="94">
        <v>1</v>
      </c>
    </row>
    <row r="78" spans="1:2">
      <c r="A78" s="1" t="s">
        <v>465</v>
      </c>
      <c r="B78" s="94">
        <v>2</v>
      </c>
    </row>
    <row r="79" spans="1:2">
      <c r="A79" s="1" t="s">
        <v>173</v>
      </c>
      <c r="B79" s="94">
        <v>1</v>
      </c>
    </row>
    <row r="80" spans="1:2">
      <c r="A80" s="1" t="s">
        <v>178</v>
      </c>
      <c r="B80" s="94">
        <v>6</v>
      </c>
    </row>
    <row r="81" spans="1:2">
      <c r="A81" s="1" t="s">
        <v>179</v>
      </c>
      <c r="B81" s="94">
        <v>2</v>
      </c>
    </row>
    <row r="82" spans="1:2">
      <c r="A82" s="1" t="s">
        <v>216</v>
      </c>
      <c r="B82" s="94">
        <v>1</v>
      </c>
    </row>
    <row r="83" spans="1:2">
      <c r="A83" s="1" t="s">
        <v>181</v>
      </c>
      <c r="B83" s="94">
        <v>1</v>
      </c>
    </row>
    <row r="84" spans="1:2">
      <c r="A84" s="1" t="s">
        <v>351</v>
      </c>
      <c r="B84" s="94">
        <v>2</v>
      </c>
    </row>
    <row r="85" spans="1:2">
      <c r="A85" s="1" t="s">
        <v>619</v>
      </c>
      <c r="B85" s="94">
        <v>1</v>
      </c>
    </row>
    <row r="86" spans="1:2">
      <c r="A86" s="1" t="s">
        <v>504</v>
      </c>
      <c r="B86" s="94">
        <v>2</v>
      </c>
    </row>
    <row r="87" spans="1:2">
      <c r="A87" s="1" t="s">
        <v>549</v>
      </c>
      <c r="B87" s="94">
        <v>73</v>
      </c>
    </row>
    <row r="88" spans="1:2">
      <c r="A88" s="1" t="s">
        <v>559</v>
      </c>
      <c r="B88" s="94">
        <v>1</v>
      </c>
    </row>
    <row r="89" spans="1:2">
      <c r="A89" s="1" t="s">
        <v>563</v>
      </c>
      <c r="B89" s="94">
        <v>1</v>
      </c>
    </row>
    <row r="90" spans="1:2">
      <c r="A90" s="1" t="s">
        <v>568</v>
      </c>
      <c r="B90" s="94">
        <v>2</v>
      </c>
    </row>
    <row r="91" spans="1:2">
      <c r="A91" s="1" t="s">
        <v>618</v>
      </c>
      <c r="B91" s="94">
        <v>1</v>
      </c>
    </row>
    <row r="92" spans="1:2">
      <c r="A92" s="1" t="s">
        <v>572</v>
      </c>
      <c r="B92" s="94">
        <v>3</v>
      </c>
    </row>
    <row r="93" spans="1:2">
      <c r="A93" s="1" t="s">
        <v>588</v>
      </c>
      <c r="B93" s="94">
        <v>1</v>
      </c>
    </row>
    <row r="94" spans="1:2">
      <c r="A94" s="1" t="s">
        <v>330</v>
      </c>
      <c r="B94" s="114">
        <v>292</v>
      </c>
    </row>
  </sheetData>
  <autoFilter ref="A26:C96" xr:uid="{0007F059-380B-4C2F-9379-322FF05C6A3A}"/>
  <phoneticPr fontId="1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5147-255D-4DEE-A923-83C03D92F174}">
  <sheetPr>
    <tabColor rgb="FF00B050"/>
  </sheetPr>
  <dimension ref="A1:Y406"/>
  <sheetViews>
    <sheetView zoomScale="80" zoomScaleNormal="80" workbookViewId="0">
      <pane ySplit="4" topLeftCell="A364" activePane="bottomLeft" state="frozen"/>
      <selection pane="bottomLeft" activeCell="P397" sqref="P397"/>
    </sheetView>
  </sheetViews>
  <sheetFormatPr baseColWidth="10" defaultColWidth="9.140625" defaultRowHeight="15"/>
  <cols>
    <col min="1" max="1" width="7.42578125" customWidth="1"/>
    <col min="2" max="2" width="52.28515625" customWidth="1"/>
    <col min="3" max="3" width="14.42578125" customWidth="1"/>
    <col min="4" max="4" width="14" customWidth="1"/>
    <col min="5" max="5" width="17.7109375" customWidth="1"/>
    <col min="6" max="6" width="8" hidden="1" customWidth="1"/>
    <col min="7" max="7" width="14.42578125" hidden="1" customWidth="1"/>
    <col min="8" max="8" width="12.7109375" hidden="1" customWidth="1"/>
    <col min="9" max="9" width="14.5703125" hidden="1" customWidth="1"/>
    <col min="10" max="10" width="18.5703125" customWidth="1"/>
    <col min="11" max="11" width="19.5703125" customWidth="1"/>
    <col min="12" max="12" width="16.42578125" customWidth="1"/>
    <col min="13" max="13" width="16.5703125" bestFit="1" customWidth="1"/>
    <col min="14" max="14" width="20" customWidth="1"/>
    <col min="15" max="15" width="22.140625" style="125" customWidth="1"/>
    <col min="16" max="16" width="16.5703125" style="127" bestFit="1" customWidth="1"/>
    <col min="17" max="17" width="19" style="125" customWidth="1"/>
    <col min="18" max="18" width="15.7109375" customWidth="1"/>
    <col min="19" max="21" width="15.28515625" customWidth="1"/>
    <col min="22" max="22" width="16.42578125" bestFit="1" customWidth="1"/>
    <col min="23" max="23" width="18.7109375" bestFit="1" customWidth="1"/>
    <col min="24" max="24" width="19" bestFit="1" customWidth="1"/>
    <col min="25" max="25" width="17.140625" customWidth="1"/>
    <col min="26" max="26" width="16.7109375" customWidth="1"/>
  </cols>
  <sheetData>
    <row r="1" spans="1:25">
      <c r="H1" s="1"/>
    </row>
    <row r="3" spans="1:25" ht="18.75">
      <c r="H3" s="1"/>
      <c r="J3" s="130">
        <v>2026</v>
      </c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</row>
    <row r="4" spans="1:25">
      <c r="A4" s="11" t="s">
        <v>0</v>
      </c>
      <c r="B4" s="11" t="s">
        <v>1</v>
      </c>
      <c r="C4" s="11" t="s">
        <v>204</v>
      </c>
      <c r="D4" s="11" t="s">
        <v>205</v>
      </c>
      <c r="E4" s="11" t="s">
        <v>117</v>
      </c>
      <c r="F4" s="11" t="s">
        <v>2</v>
      </c>
      <c r="G4" s="11" t="s">
        <v>207</v>
      </c>
      <c r="H4" s="11" t="s">
        <v>3</v>
      </c>
      <c r="I4" s="11" t="s">
        <v>114</v>
      </c>
      <c r="J4" s="11" t="s">
        <v>118</v>
      </c>
      <c r="K4" s="11" t="s">
        <v>119</v>
      </c>
      <c r="L4" s="11" t="s">
        <v>120</v>
      </c>
      <c r="M4" s="11" t="s">
        <v>300</v>
      </c>
      <c r="N4" s="11" t="s">
        <v>185</v>
      </c>
      <c r="O4" s="11" t="s">
        <v>196</v>
      </c>
      <c r="P4" s="128" t="s">
        <v>222</v>
      </c>
      <c r="Q4" s="11" t="s">
        <v>244</v>
      </c>
      <c r="R4" s="11" t="s">
        <v>266</v>
      </c>
      <c r="S4" s="11" t="s">
        <v>277</v>
      </c>
      <c r="T4" s="11" t="s">
        <v>301</v>
      </c>
      <c r="U4" s="11" t="s">
        <v>302</v>
      </c>
      <c r="V4" s="11" t="s">
        <v>292</v>
      </c>
      <c r="W4" s="11" t="s">
        <v>293</v>
      </c>
      <c r="X4" s="11" t="s">
        <v>294</v>
      </c>
      <c r="Y4" s="11" t="s">
        <v>295</v>
      </c>
    </row>
    <row r="5" spans="1:25">
      <c r="A5" s="12">
        <v>1</v>
      </c>
      <c r="B5" s="12" t="s">
        <v>14</v>
      </c>
      <c r="C5" s="12">
        <v>9289920</v>
      </c>
      <c r="D5" s="12"/>
      <c r="E5" s="12" t="s">
        <v>561</v>
      </c>
      <c r="F5" s="12">
        <v>1</v>
      </c>
      <c r="G5" s="13">
        <v>2059000</v>
      </c>
      <c r="H5" s="14" t="s">
        <v>4</v>
      </c>
      <c r="I5" s="15" t="s">
        <v>116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9">
        <v>0</v>
      </c>
      <c r="Q5" s="37">
        <v>0</v>
      </c>
      <c r="R5" s="37">
        <v>0</v>
      </c>
      <c r="S5" s="37"/>
      <c r="T5" s="37"/>
      <c r="U5" s="37"/>
      <c r="V5" s="59">
        <f>SUM(J5:U5)</f>
        <v>0</v>
      </c>
      <c r="W5" s="60">
        <f t="shared" ref="W5:W68" si="0">V5/400000</f>
        <v>0</v>
      </c>
      <c r="X5" s="60">
        <f t="shared" ref="X5:X68" si="1">COUNTIF(J5:U5,"&gt;0")</f>
        <v>0</v>
      </c>
      <c r="Y5" s="60">
        <f t="shared" ref="Y5:Y68" si="2">ROUNDUP(W5,0)</f>
        <v>0</v>
      </c>
    </row>
    <row r="6" spans="1:25">
      <c r="A6" s="12">
        <v>2</v>
      </c>
      <c r="B6" s="12" t="s">
        <v>190</v>
      </c>
      <c r="C6" s="12"/>
      <c r="D6" s="12"/>
      <c r="E6" s="12"/>
      <c r="F6" s="12"/>
      <c r="G6" s="13">
        <v>100000</v>
      </c>
      <c r="H6" s="14"/>
      <c r="I6" s="15" t="s">
        <v>116</v>
      </c>
      <c r="J6" s="37">
        <v>0</v>
      </c>
      <c r="K6" s="37">
        <v>0</v>
      </c>
      <c r="L6" s="37">
        <v>0</v>
      </c>
      <c r="M6" s="38">
        <v>0</v>
      </c>
      <c r="N6" s="37">
        <v>0</v>
      </c>
      <c r="O6" s="37">
        <v>0</v>
      </c>
      <c r="P6" s="39">
        <v>0</v>
      </c>
      <c r="Q6" s="37">
        <v>0</v>
      </c>
      <c r="R6" s="37">
        <v>0</v>
      </c>
      <c r="S6" s="37"/>
      <c r="T6" s="37"/>
      <c r="U6" s="37"/>
      <c r="V6" s="59">
        <f t="shared" ref="V6:V69" si="3">SUM(J6:U6)</f>
        <v>0</v>
      </c>
      <c r="W6" s="60">
        <f t="shared" si="0"/>
        <v>0</v>
      </c>
      <c r="X6" s="60">
        <f t="shared" si="1"/>
        <v>0</v>
      </c>
      <c r="Y6" s="60">
        <f t="shared" si="2"/>
        <v>0</v>
      </c>
    </row>
    <row r="7" spans="1:25">
      <c r="A7" s="12">
        <v>3</v>
      </c>
      <c r="B7" s="16" t="s">
        <v>88</v>
      </c>
      <c r="C7" s="16"/>
      <c r="D7" s="16"/>
      <c r="E7" s="12" t="s">
        <v>257</v>
      </c>
      <c r="F7" s="16"/>
      <c r="G7" s="17">
        <v>200000</v>
      </c>
      <c r="H7" s="18" t="s">
        <v>5</v>
      </c>
      <c r="I7" s="15" t="s">
        <v>116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9">
        <v>0</v>
      </c>
      <c r="Q7" s="37">
        <v>0</v>
      </c>
      <c r="R7" s="37">
        <v>0</v>
      </c>
      <c r="S7" s="37"/>
      <c r="T7" s="37"/>
      <c r="U7" s="37"/>
      <c r="V7" s="59">
        <f t="shared" si="3"/>
        <v>0</v>
      </c>
      <c r="W7" s="60">
        <f t="shared" si="0"/>
        <v>0</v>
      </c>
      <c r="X7" s="60">
        <f t="shared" si="1"/>
        <v>0</v>
      </c>
      <c r="Y7" s="60">
        <f t="shared" si="2"/>
        <v>0</v>
      </c>
    </row>
    <row r="8" spans="1:25">
      <c r="A8" s="12">
        <v>4</v>
      </c>
      <c r="B8" s="16" t="s">
        <v>101</v>
      </c>
      <c r="C8" s="16"/>
      <c r="D8" s="16"/>
      <c r="E8" s="12" t="s">
        <v>257</v>
      </c>
      <c r="F8" s="16"/>
      <c r="G8" s="17">
        <v>100000</v>
      </c>
      <c r="H8" s="18" t="s">
        <v>5</v>
      </c>
      <c r="I8" s="15" t="s">
        <v>116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9">
        <v>0</v>
      </c>
      <c r="Q8" s="37">
        <v>0</v>
      </c>
      <c r="R8" s="37">
        <v>0</v>
      </c>
      <c r="S8" s="37"/>
      <c r="T8" s="37"/>
      <c r="U8" s="37"/>
      <c r="V8" s="59">
        <f t="shared" si="3"/>
        <v>0</v>
      </c>
      <c r="W8" s="60">
        <f t="shared" si="0"/>
        <v>0</v>
      </c>
      <c r="X8" s="60">
        <f t="shared" si="1"/>
        <v>0</v>
      </c>
      <c r="Y8" s="60">
        <f t="shared" si="2"/>
        <v>0</v>
      </c>
    </row>
    <row r="9" spans="1:25">
      <c r="A9" s="12">
        <v>5</v>
      </c>
      <c r="B9" s="16" t="s">
        <v>98</v>
      </c>
      <c r="C9" s="16">
        <v>1114621012</v>
      </c>
      <c r="D9" s="16">
        <v>3207945735</v>
      </c>
      <c r="E9" s="12" t="s">
        <v>257</v>
      </c>
      <c r="F9" s="16"/>
      <c r="G9" s="17">
        <v>2000000</v>
      </c>
      <c r="H9" s="18" t="s">
        <v>4</v>
      </c>
      <c r="I9" s="15" t="s">
        <v>116</v>
      </c>
      <c r="J9" s="37">
        <v>0</v>
      </c>
      <c r="K9" s="37">
        <v>0</v>
      </c>
      <c r="L9" s="37">
        <v>0</v>
      </c>
      <c r="M9" s="37">
        <v>600000</v>
      </c>
      <c r="N9" s="37">
        <v>0</v>
      </c>
      <c r="O9" s="37">
        <v>0</v>
      </c>
      <c r="P9" s="39">
        <v>0</v>
      </c>
      <c r="Q9" s="37">
        <v>0</v>
      </c>
      <c r="R9" s="37">
        <v>0</v>
      </c>
      <c r="S9" s="37"/>
      <c r="T9" s="37"/>
      <c r="U9" s="37"/>
      <c r="V9" s="59">
        <f t="shared" si="3"/>
        <v>600000</v>
      </c>
      <c r="W9" s="60">
        <f t="shared" si="0"/>
        <v>1.5</v>
      </c>
      <c r="X9" s="60">
        <f t="shared" si="1"/>
        <v>1</v>
      </c>
      <c r="Y9" s="60">
        <f t="shared" si="2"/>
        <v>2</v>
      </c>
    </row>
    <row r="10" spans="1:25">
      <c r="A10" s="12">
        <v>6</v>
      </c>
      <c r="B10" s="16" t="s">
        <v>91</v>
      </c>
      <c r="C10" s="16">
        <v>1035855590</v>
      </c>
      <c r="D10" s="16">
        <v>3154949282</v>
      </c>
      <c r="E10" s="12" t="s">
        <v>562</v>
      </c>
      <c r="F10" s="16"/>
      <c r="G10" s="17">
        <v>1100000</v>
      </c>
      <c r="H10" s="18" t="s">
        <v>4</v>
      </c>
      <c r="I10" s="15" t="s">
        <v>116</v>
      </c>
      <c r="J10" s="37">
        <v>400000</v>
      </c>
      <c r="K10" s="37">
        <v>400000</v>
      </c>
      <c r="L10" s="37">
        <v>400000</v>
      </c>
      <c r="M10" s="37">
        <v>400000</v>
      </c>
      <c r="N10" s="37">
        <v>0</v>
      </c>
      <c r="O10" s="37">
        <v>400000</v>
      </c>
      <c r="P10" s="39">
        <v>0</v>
      </c>
      <c r="Q10" s="37">
        <v>0</v>
      </c>
      <c r="R10" s="37">
        <v>0</v>
      </c>
      <c r="S10" s="37"/>
      <c r="T10" s="37"/>
      <c r="U10" s="37"/>
      <c r="V10" s="59">
        <f t="shared" si="3"/>
        <v>2000000</v>
      </c>
      <c r="W10" s="60">
        <f t="shared" si="0"/>
        <v>5</v>
      </c>
      <c r="X10" s="60">
        <f t="shared" si="1"/>
        <v>5</v>
      </c>
      <c r="Y10" s="60">
        <f t="shared" si="2"/>
        <v>5</v>
      </c>
    </row>
    <row r="11" spans="1:25">
      <c r="A11" s="12">
        <v>7</v>
      </c>
      <c r="B11" s="12" t="s">
        <v>674</v>
      </c>
      <c r="C11" s="12">
        <v>1077465696</v>
      </c>
      <c r="D11" s="12">
        <v>3207593131</v>
      </c>
      <c r="E11" s="12" t="s">
        <v>347</v>
      </c>
      <c r="F11" s="12"/>
      <c r="G11" s="13">
        <v>1600000</v>
      </c>
      <c r="H11" s="14"/>
      <c r="I11" s="15" t="s">
        <v>116</v>
      </c>
      <c r="J11" s="37">
        <v>0</v>
      </c>
      <c r="K11" s="37">
        <v>0</v>
      </c>
      <c r="L11" s="37">
        <v>0</v>
      </c>
      <c r="M11" s="37">
        <v>400000</v>
      </c>
      <c r="N11" s="37">
        <v>0</v>
      </c>
      <c r="O11" s="37">
        <v>800000</v>
      </c>
      <c r="P11" s="39">
        <v>0</v>
      </c>
      <c r="Q11" s="37">
        <v>0</v>
      </c>
      <c r="R11" s="37">
        <v>400000</v>
      </c>
      <c r="S11" s="37"/>
      <c r="T11" s="37"/>
      <c r="U11" s="37"/>
      <c r="V11" s="59">
        <f t="shared" si="3"/>
        <v>1600000</v>
      </c>
      <c r="W11" s="60">
        <f t="shared" si="0"/>
        <v>4</v>
      </c>
      <c r="X11" s="60">
        <f t="shared" si="1"/>
        <v>3</v>
      </c>
      <c r="Y11" s="60">
        <f t="shared" si="2"/>
        <v>4</v>
      </c>
    </row>
    <row r="12" spans="1:25">
      <c r="A12" s="12">
        <v>8</v>
      </c>
      <c r="B12" s="12" t="s">
        <v>214</v>
      </c>
      <c r="C12" s="12"/>
      <c r="D12" s="12"/>
      <c r="E12" s="12"/>
      <c r="F12" s="12"/>
      <c r="G12" s="13">
        <v>1000000</v>
      </c>
      <c r="H12" s="14"/>
      <c r="I12" s="15" t="s">
        <v>116</v>
      </c>
      <c r="J12" s="37">
        <v>0</v>
      </c>
      <c r="K12" s="37">
        <v>0</v>
      </c>
      <c r="L12" s="37">
        <v>0</v>
      </c>
      <c r="M12" s="38">
        <v>0</v>
      </c>
      <c r="N12" s="37">
        <v>0</v>
      </c>
      <c r="O12" s="37">
        <v>0</v>
      </c>
      <c r="P12" s="39">
        <v>0</v>
      </c>
      <c r="Q12" s="37">
        <v>0</v>
      </c>
      <c r="R12" s="37">
        <v>0</v>
      </c>
      <c r="S12" s="37"/>
      <c r="T12" s="37"/>
      <c r="U12" s="37"/>
      <c r="V12" s="59">
        <f t="shared" si="3"/>
        <v>0</v>
      </c>
      <c r="W12" s="60">
        <f t="shared" si="0"/>
        <v>0</v>
      </c>
      <c r="X12" s="60">
        <f t="shared" si="1"/>
        <v>0</v>
      </c>
      <c r="Y12" s="60">
        <f t="shared" si="2"/>
        <v>0</v>
      </c>
    </row>
    <row r="13" spans="1:25">
      <c r="A13" s="12">
        <v>9</v>
      </c>
      <c r="B13" s="12" t="s">
        <v>193</v>
      </c>
      <c r="C13" s="12"/>
      <c r="D13" s="12"/>
      <c r="E13" s="12" t="s">
        <v>257</v>
      </c>
      <c r="F13" s="12"/>
      <c r="G13" s="13">
        <v>580000</v>
      </c>
      <c r="H13" s="14"/>
      <c r="I13" s="15" t="s">
        <v>116</v>
      </c>
      <c r="J13" s="37">
        <v>0</v>
      </c>
      <c r="K13" s="37">
        <v>0</v>
      </c>
      <c r="L13" s="37">
        <v>0</v>
      </c>
      <c r="M13" s="38">
        <v>0</v>
      </c>
      <c r="N13" s="37">
        <v>0</v>
      </c>
      <c r="O13" s="37">
        <v>400000</v>
      </c>
      <c r="P13" s="39">
        <v>0</v>
      </c>
      <c r="Q13" s="37">
        <v>0</v>
      </c>
      <c r="R13" s="37">
        <v>0</v>
      </c>
      <c r="S13" s="37"/>
      <c r="T13" s="37"/>
      <c r="U13" s="37"/>
      <c r="V13" s="59">
        <f t="shared" si="3"/>
        <v>400000</v>
      </c>
      <c r="W13" s="60">
        <f t="shared" si="0"/>
        <v>1</v>
      </c>
      <c r="X13" s="60">
        <f t="shared" si="1"/>
        <v>1</v>
      </c>
      <c r="Y13" s="60">
        <f t="shared" si="2"/>
        <v>1</v>
      </c>
    </row>
    <row r="14" spans="1:25">
      <c r="A14" s="12">
        <v>10</v>
      </c>
      <c r="B14" s="12" t="s">
        <v>93</v>
      </c>
      <c r="C14" s="12"/>
      <c r="D14" s="12"/>
      <c r="E14" s="12"/>
      <c r="F14" s="12"/>
      <c r="G14" s="13">
        <v>0</v>
      </c>
      <c r="H14" s="14" t="s">
        <v>4</v>
      </c>
      <c r="I14" s="15" t="s">
        <v>115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9">
        <v>0</v>
      </c>
      <c r="Q14" s="37">
        <v>0</v>
      </c>
      <c r="R14" s="37">
        <v>0</v>
      </c>
      <c r="S14" s="37"/>
      <c r="T14" s="37"/>
      <c r="U14" s="37"/>
      <c r="V14" s="59">
        <f t="shared" si="3"/>
        <v>0</v>
      </c>
      <c r="W14" s="60">
        <f t="shared" si="0"/>
        <v>0</v>
      </c>
      <c r="X14" s="60">
        <f t="shared" si="1"/>
        <v>0</v>
      </c>
      <c r="Y14" s="60">
        <f t="shared" si="2"/>
        <v>0</v>
      </c>
    </row>
    <row r="15" spans="1:25">
      <c r="A15" s="12">
        <v>11</v>
      </c>
      <c r="B15" s="16" t="s">
        <v>15</v>
      </c>
      <c r="C15" s="16"/>
      <c r="D15" s="16"/>
      <c r="E15" s="12" t="s">
        <v>681</v>
      </c>
      <c r="F15" s="16">
        <v>3</v>
      </c>
      <c r="G15" s="17">
        <v>1600000</v>
      </c>
      <c r="H15" s="18" t="s">
        <v>4</v>
      </c>
      <c r="I15" s="15" t="s">
        <v>116</v>
      </c>
      <c r="J15" s="37">
        <v>0</v>
      </c>
      <c r="K15" s="37">
        <v>0</v>
      </c>
      <c r="L15" s="37">
        <v>0</v>
      </c>
      <c r="M15" s="37">
        <v>1600000</v>
      </c>
      <c r="N15" s="37">
        <v>0</v>
      </c>
      <c r="O15" s="37">
        <v>1200000</v>
      </c>
      <c r="P15" s="39">
        <v>1600000</v>
      </c>
      <c r="Q15" s="37">
        <v>0</v>
      </c>
      <c r="R15" s="37">
        <v>0</v>
      </c>
      <c r="S15" s="37"/>
      <c r="T15" s="37"/>
      <c r="U15" s="37"/>
      <c r="V15" s="59">
        <f t="shared" si="3"/>
        <v>4400000</v>
      </c>
      <c r="W15" s="60">
        <f t="shared" si="0"/>
        <v>11</v>
      </c>
      <c r="X15" s="60">
        <f t="shared" si="1"/>
        <v>3</v>
      </c>
      <c r="Y15" s="60">
        <f t="shared" si="2"/>
        <v>11</v>
      </c>
    </row>
    <row r="16" spans="1:25">
      <c r="A16" s="12">
        <v>12</v>
      </c>
      <c r="B16" s="16" t="s">
        <v>92</v>
      </c>
      <c r="C16" s="16"/>
      <c r="D16" s="16"/>
      <c r="E16" s="12"/>
      <c r="F16" s="16"/>
      <c r="G16" s="17">
        <v>1500000</v>
      </c>
      <c r="H16" s="18" t="s">
        <v>4</v>
      </c>
      <c r="I16" s="15" t="s">
        <v>116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9">
        <v>0</v>
      </c>
      <c r="Q16" s="37">
        <v>0</v>
      </c>
      <c r="R16" s="37">
        <v>0</v>
      </c>
      <c r="S16" s="37"/>
      <c r="T16" s="37"/>
      <c r="U16" s="37"/>
      <c r="V16" s="59">
        <f t="shared" si="3"/>
        <v>0</v>
      </c>
      <c r="W16" s="60">
        <f t="shared" si="0"/>
        <v>0</v>
      </c>
      <c r="X16" s="60">
        <f t="shared" si="1"/>
        <v>0</v>
      </c>
      <c r="Y16" s="60">
        <f t="shared" si="2"/>
        <v>0</v>
      </c>
    </row>
    <row r="17" spans="1:25">
      <c r="A17" s="12">
        <v>13</v>
      </c>
      <c r="B17" s="12" t="s">
        <v>71</v>
      </c>
      <c r="C17" s="12">
        <v>1090395092</v>
      </c>
      <c r="D17" s="12"/>
      <c r="E17" s="12" t="s">
        <v>346</v>
      </c>
      <c r="F17" s="12"/>
      <c r="G17" s="13">
        <v>2820000</v>
      </c>
      <c r="H17" s="14" t="s">
        <v>4</v>
      </c>
      <c r="I17" s="15" t="s">
        <v>116</v>
      </c>
      <c r="J17" s="37">
        <v>400000</v>
      </c>
      <c r="K17" s="37">
        <v>400000</v>
      </c>
      <c r="L17" s="37">
        <v>0</v>
      </c>
      <c r="M17" s="37">
        <v>1200000</v>
      </c>
      <c r="N17" s="37">
        <v>0</v>
      </c>
      <c r="O17" s="37">
        <v>400000</v>
      </c>
      <c r="P17" s="39">
        <v>400000</v>
      </c>
      <c r="Q17" s="37">
        <v>0</v>
      </c>
      <c r="R17" s="37">
        <v>0</v>
      </c>
      <c r="S17" s="37"/>
      <c r="T17" s="37"/>
      <c r="U17" s="37"/>
      <c r="V17" s="59">
        <f t="shared" si="3"/>
        <v>2800000</v>
      </c>
      <c r="W17" s="60">
        <f t="shared" si="0"/>
        <v>7</v>
      </c>
      <c r="X17" s="60">
        <f t="shared" si="1"/>
        <v>5</v>
      </c>
      <c r="Y17" s="60">
        <f t="shared" si="2"/>
        <v>7</v>
      </c>
    </row>
    <row r="18" spans="1:25">
      <c r="A18" s="12">
        <v>14</v>
      </c>
      <c r="B18" s="12" t="s">
        <v>139</v>
      </c>
      <c r="C18" s="12">
        <v>1095846194</v>
      </c>
      <c r="D18" s="12">
        <v>3022962452</v>
      </c>
      <c r="E18" s="12" t="s">
        <v>257</v>
      </c>
      <c r="F18" s="12"/>
      <c r="G18" s="13">
        <v>1000000</v>
      </c>
      <c r="H18" s="14" t="s">
        <v>4</v>
      </c>
      <c r="I18" s="15" t="s">
        <v>116</v>
      </c>
      <c r="J18" s="37">
        <v>400000</v>
      </c>
      <c r="K18" s="37">
        <v>400000</v>
      </c>
      <c r="L18" s="37">
        <v>0</v>
      </c>
      <c r="M18" s="37">
        <v>0</v>
      </c>
      <c r="N18" s="37">
        <v>0</v>
      </c>
      <c r="O18" s="37">
        <v>0</v>
      </c>
      <c r="P18" s="39">
        <v>0</v>
      </c>
      <c r="Q18" s="37">
        <v>0</v>
      </c>
      <c r="R18" s="37">
        <v>0</v>
      </c>
      <c r="S18" s="37"/>
      <c r="T18" s="37"/>
      <c r="U18" s="37"/>
      <c r="V18" s="59">
        <f t="shared" si="3"/>
        <v>800000</v>
      </c>
      <c r="W18" s="60">
        <f t="shared" si="0"/>
        <v>2</v>
      </c>
      <c r="X18" s="60">
        <f t="shared" si="1"/>
        <v>2</v>
      </c>
      <c r="Y18" s="60">
        <f t="shared" si="2"/>
        <v>2</v>
      </c>
    </row>
    <row r="19" spans="1:25">
      <c r="A19" s="12">
        <v>15</v>
      </c>
      <c r="B19" s="12" t="s">
        <v>17</v>
      </c>
      <c r="C19" s="12"/>
      <c r="D19" s="12"/>
      <c r="E19" s="12" t="s">
        <v>257</v>
      </c>
      <c r="F19" s="12">
        <v>1</v>
      </c>
      <c r="G19" s="13">
        <v>6219000</v>
      </c>
      <c r="H19" s="14" t="s">
        <v>5</v>
      </c>
      <c r="I19" s="15" t="s">
        <v>116</v>
      </c>
      <c r="J19" s="37">
        <v>400000</v>
      </c>
      <c r="K19" s="37">
        <v>400000</v>
      </c>
      <c r="L19" s="37">
        <v>400000</v>
      </c>
      <c r="M19" s="37">
        <v>400000</v>
      </c>
      <c r="N19" s="37">
        <v>400000</v>
      </c>
      <c r="O19" s="37">
        <v>600000</v>
      </c>
      <c r="P19" s="39">
        <v>0</v>
      </c>
      <c r="Q19" s="37">
        <v>400000</v>
      </c>
      <c r="R19" s="37">
        <v>400000</v>
      </c>
      <c r="S19" s="37"/>
      <c r="T19" s="37"/>
      <c r="U19" s="37"/>
      <c r="V19" s="59">
        <f t="shared" si="3"/>
        <v>3400000</v>
      </c>
      <c r="W19" s="60">
        <f t="shared" si="0"/>
        <v>8.5</v>
      </c>
      <c r="X19" s="60">
        <f t="shared" si="1"/>
        <v>8</v>
      </c>
      <c r="Y19" s="60">
        <f t="shared" si="2"/>
        <v>9</v>
      </c>
    </row>
    <row r="20" spans="1:25">
      <c r="A20" s="12">
        <v>16</v>
      </c>
      <c r="B20" s="16" t="s">
        <v>16</v>
      </c>
      <c r="C20" s="16"/>
      <c r="D20" s="16"/>
      <c r="E20" s="12" t="s">
        <v>257</v>
      </c>
      <c r="F20" s="16">
        <v>1</v>
      </c>
      <c r="G20" s="17">
        <v>4800000</v>
      </c>
      <c r="H20" s="18" t="s">
        <v>5</v>
      </c>
      <c r="I20" s="15" t="s">
        <v>116</v>
      </c>
      <c r="J20" s="37">
        <v>0</v>
      </c>
      <c r="K20" s="37">
        <v>800000</v>
      </c>
      <c r="L20" s="37">
        <v>400000</v>
      </c>
      <c r="M20" s="37">
        <v>400000</v>
      </c>
      <c r="N20" s="37">
        <v>400000</v>
      </c>
      <c r="O20" s="37">
        <v>0</v>
      </c>
      <c r="P20" s="39">
        <v>0</v>
      </c>
      <c r="Q20" s="37">
        <v>800000</v>
      </c>
      <c r="R20" s="37">
        <v>800000</v>
      </c>
      <c r="S20" s="37"/>
      <c r="T20" s="37"/>
      <c r="U20" s="37"/>
      <c r="V20" s="59">
        <f t="shared" si="3"/>
        <v>3600000</v>
      </c>
      <c r="W20" s="60">
        <f t="shared" si="0"/>
        <v>9</v>
      </c>
      <c r="X20" s="60">
        <f t="shared" si="1"/>
        <v>6</v>
      </c>
      <c r="Y20" s="60">
        <f t="shared" si="2"/>
        <v>9</v>
      </c>
    </row>
    <row r="21" spans="1:25">
      <c r="A21" s="12">
        <v>17</v>
      </c>
      <c r="B21" s="16" t="s">
        <v>106</v>
      </c>
      <c r="C21" s="16">
        <v>14797460</v>
      </c>
      <c r="D21" s="16">
        <v>3160438302</v>
      </c>
      <c r="E21" s="12" t="s">
        <v>343</v>
      </c>
      <c r="F21" s="16"/>
      <c r="G21" s="17">
        <v>5200000</v>
      </c>
      <c r="H21" s="18" t="s">
        <v>4</v>
      </c>
      <c r="I21" s="15" t="s">
        <v>116</v>
      </c>
      <c r="J21" s="37">
        <v>450000</v>
      </c>
      <c r="K21" s="37">
        <v>450000</v>
      </c>
      <c r="L21" s="37">
        <v>500000</v>
      </c>
      <c r="M21" s="37">
        <v>600000</v>
      </c>
      <c r="N21" s="37">
        <v>0</v>
      </c>
      <c r="O21" s="37">
        <v>0</v>
      </c>
      <c r="P21" s="39">
        <v>600000</v>
      </c>
      <c r="Q21" s="37">
        <v>400000</v>
      </c>
      <c r="R21" s="37">
        <v>400000</v>
      </c>
      <c r="S21" s="37"/>
      <c r="T21" s="37"/>
      <c r="U21" s="37"/>
      <c r="V21" s="59">
        <f t="shared" si="3"/>
        <v>3400000</v>
      </c>
      <c r="W21" s="60">
        <f t="shared" si="0"/>
        <v>8.5</v>
      </c>
      <c r="X21" s="60">
        <f t="shared" si="1"/>
        <v>7</v>
      </c>
      <c r="Y21" s="60">
        <f t="shared" si="2"/>
        <v>9</v>
      </c>
    </row>
    <row r="22" spans="1:25">
      <c r="A22" s="12">
        <v>18</v>
      </c>
      <c r="B22" s="12" t="s">
        <v>111</v>
      </c>
      <c r="C22" s="12"/>
      <c r="D22" s="12"/>
      <c r="E22" s="12" t="s">
        <v>257</v>
      </c>
      <c r="F22" s="12"/>
      <c r="G22" s="13">
        <v>100000</v>
      </c>
      <c r="H22" s="14" t="s">
        <v>4</v>
      </c>
      <c r="I22" s="15" t="s">
        <v>116</v>
      </c>
      <c r="J22" s="37">
        <v>0</v>
      </c>
      <c r="K22" s="37">
        <v>0</v>
      </c>
      <c r="L22" s="37">
        <v>0</v>
      </c>
      <c r="M22" s="37">
        <v>400000</v>
      </c>
      <c r="N22" s="37">
        <v>400000</v>
      </c>
      <c r="O22" s="37">
        <v>0</v>
      </c>
      <c r="P22" s="39">
        <v>0</v>
      </c>
      <c r="Q22" s="37">
        <v>0</v>
      </c>
      <c r="R22" s="37">
        <v>0</v>
      </c>
      <c r="S22" s="37"/>
      <c r="T22" s="37"/>
      <c r="U22" s="37"/>
      <c r="V22" s="59">
        <f t="shared" si="3"/>
        <v>800000</v>
      </c>
      <c r="W22" s="60">
        <f t="shared" si="0"/>
        <v>2</v>
      </c>
      <c r="X22" s="60">
        <f t="shared" si="1"/>
        <v>2</v>
      </c>
      <c r="Y22" s="60">
        <f t="shared" si="2"/>
        <v>2</v>
      </c>
    </row>
    <row r="23" spans="1:25">
      <c r="A23" s="12">
        <v>19</v>
      </c>
      <c r="B23" s="12" t="s">
        <v>18</v>
      </c>
      <c r="C23" s="12">
        <v>79333423</v>
      </c>
      <c r="D23" s="12">
        <v>3166268412</v>
      </c>
      <c r="E23" s="12" t="s">
        <v>257</v>
      </c>
      <c r="F23" s="12">
        <v>3</v>
      </c>
      <c r="G23" s="13">
        <v>22900000</v>
      </c>
      <c r="H23" s="14" t="s">
        <v>5</v>
      </c>
      <c r="I23" s="15" t="s">
        <v>116</v>
      </c>
      <c r="J23" s="37">
        <v>2000000</v>
      </c>
      <c r="K23" s="37">
        <v>1600000</v>
      </c>
      <c r="L23" s="37">
        <v>1600000</v>
      </c>
      <c r="M23" s="37">
        <v>2000000</v>
      </c>
      <c r="N23" s="37">
        <v>800000</v>
      </c>
      <c r="O23" s="37">
        <v>4000000</v>
      </c>
      <c r="P23" s="39">
        <v>3100000</v>
      </c>
      <c r="Q23" s="37">
        <v>2400000</v>
      </c>
      <c r="R23" s="37">
        <v>800000</v>
      </c>
      <c r="S23" s="37"/>
      <c r="T23" s="37"/>
      <c r="U23" s="37"/>
      <c r="V23" s="59">
        <f t="shared" si="3"/>
        <v>18300000</v>
      </c>
      <c r="W23" s="60">
        <f t="shared" si="0"/>
        <v>45.75</v>
      </c>
      <c r="X23" s="60">
        <f t="shared" si="1"/>
        <v>9</v>
      </c>
      <c r="Y23" s="60">
        <f t="shared" si="2"/>
        <v>46</v>
      </c>
    </row>
    <row r="24" spans="1:25">
      <c r="A24" s="12">
        <v>20</v>
      </c>
      <c r="B24" s="12" t="s">
        <v>133</v>
      </c>
      <c r="C24" s="12"/>
      <c r="D24" s="12"/>
      <c r="E24" s="12" t="s">
        <v>346</v>
      </c>
      <c r="F24" s="12"/>
      <c r="G24" s="13">
        <v>800000</v>
      </c>
      <c r="H24" s="14" t="s">
        <v>4</v>
      </c>
      <c r="I24" s="15" t="s">
        <v>116</v>
      </c>
      <c r="J24" s="37">
        <v>0</v>
      </c>
      <c r="K24" s="37">
        <v>0</v>
      </c>
      <c r="L24" s="37">
        <v>0</v>
      </c>
      <c r="M24" s="37">
        <v>0</v>
      </c>
      <c r="N24" s="37">
        <v>400000</v>
      </c>
      <c r="O24" s="37">
        <v>0</v>
      </c>
      <c r="P24" s="39">
        <v>0</v>
      </c>
      <c r="Q24" s="37">
        <v>0</v>
      </c>
      <c r="R24" s="37">
        <v>0</v>
      </c>
      <c r="S24" s="37"/>
      <c r="T24" s="37"/>
      <c r="U24" s="37"/>
      <c r="V24" s="59">
        <f t="shared" si="3"/>
        <v>400000</v>
      </c>
      <c r="W24" s="60">
        <f t="shared" si="0"/>
        <v>1</v>
      </c>
      <c r="X24" s="60">
        <f t="shared" si="1"/>
        <v>1</v>
      </c>
      <c r="Y24" s="60">
        <f t="shared" si="2"/>
        <v>1</v>
      </c>
    </row>
    <row r="25" spans="1:25">
      <c r="A25" s="12">
        <v>21</v>
      </c>
      <c r="B25" s="16" t="s">
        <v>19</v>
      </c>
      <c r="C25" s="16"/>
      <c r="D25" s="16"/>
      <c r="E25" s="12" t="s">
        <v>175</v>
      </c>
      <c r="F25" s="16">
        <v>1</v>
      </c>
      <c r="G25" s="17">
        <v>1200000</v>
      </c>
      <c r="H25" s="18" t="s">
        <v>4</v>
      </c>
      <c r="I25" s="15" t="s">
        <v>116</v>
      </c>
      <c r="J25" s="37">
        <v>400000</v>
      </c>
      <c r="K25" s="37">
        <v>600000</v>
      </c>
      <c r="L25" s="37">
        <v>600000</v>
      </c>
      <c r="M25" s="37">
        <v>0</v>
      </c>
      <c r="N25" s="37">
        <v>800000</v>
      </c>
      <c r="O25" s="37">
        <v>400000</v>
      </c>
      <c r="P25" s="39">
        <v>0</v>
      </c>
      <c r="Q25" s="37">
        <v>0</v>
      </c>
      <c r="R25" s="37">
        <v>0</v>
      </c>
      <c r="S25" s="37"/>
      <c r="T25" s="37"/>
      <c r="U25" s="37"/>
      <c r="V25" s="59">
        <f t="shared" si="3"/>
        <v>2800000</v>
      </c>
      <c r="W25" s="60">
        <f t="shared" si="0"/>
        <v>7</v>
      </c>
      <c r="X25" s="60">
        <f t="shared" si="1"/>
        <v>5</v>
      </c>
      <c r="Y25" s="60">
        <f t="shared" si="2"/>
        <v>7</v>
      </c>
    </row>
    <row r="26" spans="1:25">
      <c r="A26" s="12">
        <v>22</v>
      </c>
      <c r="B26" s="19" t="s">
        <v>103</v>
      </c>
      <c r="C26" s="19"/>
      <c r="D26" s="19"/>
      <c r="E26" s="12"/>
      <c r="F26" s="12"/>
      <c r="G26" s="13">
        <v>200000</v>
      </c>
      <c r="H26" s="14" t="s">
        <v>4</v>
      </c>
      <c r="I26" s="15" t="s">
        <v>116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9">
        <v>0</v>
      </c>
      <c r="Q26" s="37">
        <v>0</v>
      </c>
      <c r="R26" s="37">
        <v>0</v>
      </c>
      <c r="S26" s="37"/>
      <c r="T26" s="37"/>
      <c r="U26" s="37"/>
      <c r="V26" s="59">
        <f t="shared" si="3"/>
        <v>0</v>
      </c>
      <c r="W26" s="60">
        <f t="shared" si="0"/>
        <v>0</v>
      </c>
      <c r="X26" s="60">
        <f t="shared" si="1"/>
        <v>0</v>
      </c>
      <c r="Y26" s="60">
        <f t="shared" si="2"/>
        <v>0</v>
      </c>
    </row>
    <row r="27" spans="1:25">
      <c r="A27" s="12">
        <v>23</v>
      </c>
      <c r="B27" s="12" t="s">
        <v>74</v>
      </c>
      <c r="C27" s="12"/>
      <c r="D27" s="12"/>
      <c r="E27" s="12"/>
      <c r="F27" s="12"/>
      <c r="G27" s="13">
        <v>2400000</v>
      </c>
      <c r="H27" s="14" t="s">
        <v>4</v>
      </c>
      <c r="I27" s="15" t="s">
        <v>116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9">
        <v>0</v>
      </c>
      <c r="Q27" s="37">
        <v>0</v>
      </c>
      <c r="R27" s="37">
        <v>0</v>
      </c>
      <c r="S27" s="37"/>
      <c r="T27" s="37"/>
      <c r="U27" s="37"/>
      <c r="V27" s="59">
        <f t="shared" si="3"/>
        <v>0</v>
      </c>
      <c r="W27" s="60">
        <f t="shared" si="0"/>
        <v>0</v>
      </c>
      <c r="X27" s="60">
        <f t="shared" si="1"/>
        <v>0</v>
      </c>
      <c r="Y27" s="60">
        <f t="shared" si="2"/>
        <v>0</v>
      </c>
    </row>
    <row r="28" spans="1:25">
      <c r="A28" s="12">
        <v>24</v>
      </c>
      <c r="B28" s="12" t="s">
        <v>20</v>
      </c>
      <c r="C28" s="12"/>
      <c r="D28" s="12"/>
      <c r="E28" s="12" t="s">
        <v>257</v>
      </c>
      <c r="F28" s="12">
        <v>1</v>
      </c>
      <c r="G28" s="13">
        <v>4400000</v>
      </c>
      <c r="H28" s="14" t="s">
        <v>4</v>
      </c>
      <c r="I28" s="15" t="s">
        <v>116</v>
      </c>
      <c r="J28" s="37">
        <v>400000</v>
      </c>
      <c r="K28" s="37">
        <v>0</v>
      </c>
      <c r="L28" s="37">
        <v>0</v>
      </c>
      <c r="M28" s="37">
        <v>800000</v>
      </c>
      <c r="N28" s="37">
        <v>400000</v>
      </c>
      <c r="O28" s="37">
        <v>0</v>
      </c>
      <c r="P28" s="39">
        <v>1200000</v>
      </c>
      <c r="Q28" s="37">
        <v>0</v>
      </c>
      <c r="R28" s="37">
        <v>0</v>
      </c>
      <c r="S28" s="37"/>
      <c r="T28" s="37"/>
      <c r="U28" s="37"/>
      <c r="V28" s="59">
        <f t="shared" si="3"/>
        <v>2800000</v>
      </c>
      <c r="W28" s="60">
        <f t="shared" si="0"/>
        <v>7</v>
      </c>
      <c r="X28" s="60">
        <f t="shared" si="1"/>
        <v>4</v>
      </c>
      <c r="Y28" s="60">
        <f t="shared" si="2"/>
        <v>7</v>
      </c>
    </row>
    <row r="29" spans="1:25">
      <c r="A29" s="12">
        <v>25</v>
      </c>
      <c r="B29" s="12" t="s">
        <v>44</v>
      </c>
      <c r="C29" s="12"/>
      <c r="D29" s="12"/>
      <c r="E29" s="12" t="s">
        <v>257</v>
      </c>
      <c r="F29" s="12">
        <v>1</v>
      </c>
      <c r="G29" s="13">
        <v>240000</v>
      </c>
      <c r="H29" s="14" t="s">
        <v>5</v>
      </c>
      <c r="I29" s="15" t="s">
        <v>116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9">
        <v>0</v>
      </c>
      <c r="Q29" s="37">
        <v>0</v>
      </c>
      <c r="R29" s="37">
        <v>0</v>
      </c>
      <c r="S29" s="37"/>
      <c r="T29" s="37"/>
      <c r="U29" s="37"/>
      <c r="V29" s="59">
        <f t="shared" si="3"/>
        <v>0</v>
      </c>
      <c r="W29" s="60">
        <f t="shared" si="0"/>
        <v>0</v>
      </c>
      <c r="X29" s="60">
        <f t="shared" si="1"/>
        <v>0</v>
      </c>
      <c r="Y29" s="60">
        <f t="shared" si="2"/>
        <v>0</v>
      </c>
    </row>
    <row r="30" spans="1:25">
      <c r="A30" s="12">
        <v>26</v>
      </c>
      <c r="B30" s="16" t="s">
        <v>42</v>
      </c>
      <c r="C30" s="16">
        <v>60362206</v>
      </c>
      <c r="D30" s="16">
        <v>3165652640</v>
      </c>
      <c r="E30" s="12" t="s">
        <v>239</v>
      </c>
      <c r="F30" s="16">
        <v>1</v>
      </c>
      <c r="G30" s="17">
        <v>1000000</v>
      </c>
      <c r="H30" s="18" t="s">
        <v>8</v>
      </c>
      <c r="I30" s="15" t="s">
        <v>116</v>
      </c>
      <c r="J30" s="37">
        <v>0</v>
      </c>
      <c r="K30" s="37">
        <v>400000</v>
      </c>
      <c r="L30" s="37">
        <v>400000</v>
      </c>
      <c r="M30" s="37">
        <v>400000</v>
      </c>
      <c r="N30" s="37">
        <v>400000</v>
      </c>
      <c r="O30" s="37">
        <v>0</v>
      </c>
      <c r="P30" s="39">
        <v>0</v>
      </c>
      <c r="Q30" s="37">
        <v>0</v>
      </c>
      <c r="R30" s="37">
        <v>401000</v>
      </c>
      <c r="S30" s="37"/>
      <c r="T30" s="37"/>
      <c r="U30" s="37"/>
      <c r="V30" s="59">
        <f t="shared" si="3"/>
        <v>2001000</v>
      </c>
      <c r="W30" s="60">
        <f t="shared" si="0"/>
        <v>5.0025000000000004</v>
      </c>
      <c r="X30" s="60">
        <f t="shared" si="1"/>
        <v>5</v>
      </c>
      <c r="Y30" s="60">
        <f t="shared" si="2"/>
        <v>6</v>
      </c>
    </row>
    <row r="31" spans="1:25">
      <c r="A31" s="12">
        <v>27</v>
      </c>
      <c r="B31" s="12" t="s">
        <v>76</v>
      </c>
      <c r="C31" s="12"/>
      <c r="D31" s="12"/>
      <c r="E31" s="12" t="s">
        <v>257</v>
      </c>
      <c r="F31" s="12"/>
      <c r="G31" s="13">
        <v>100000</v>
      </c>
      <c r="H31" s="14" t="s">
        <v>5</v>
      </c>
      <c r="I31" s="15" t="s">
        <v>116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9">
        <v>0</v>
      </c>
      <c r="Q31" s="37">
        <v>0</v>
      </c>
      <c r="R31" s="37">
        <v>0</v>
      </c>
      <c r="S31" s="37"/>
      <c r="T31" s="37"/>
      <c r="U31" s="37"/>
      <c r="V31" s="59">
        <f t="shared" si="3"/>
        <v>0</v>
      </c>
      <c r="W31" s="60">
        <f t="shared" si="0"/>
        <v>0</v>
      </c>
      <c r="X31" s="60">
        <f t="shared" si="1"/>
        <v>0</v>
      </c>
      <c r="Y31" s="60">
        <f t="shared" si="2"/>
        <v>0</v>
      </c>
    </row>
    <row r="32" spans="1:25">
      <c r="A32" s="12">
        <v>28</v>
      </c>
      <c r="B32" s="16" t="s">
        <v>40</v>
      </c>
      <c r="C32" s="16">
        <v>88230239</v>
      </c>
      <c r="D32" s="16">
        <v>3123933769</v>
      </c>
      <c r="E32" s="12" t="s">
        <v>441</v>
      </c>
      <c r="F32" s="16">
        <v>1</v>
      </c>
      <c r="G32" s="17">
        <v>10045000</v>
      </c>
      <c r="H32" s="18" t="s">
        <v>8</v>
      </c>
      <c r="I32" s="15" t="s">
        <v>116</v>
      </c>
      <c r="J32" s="37">
        <v>1600000</v>
      </c>
      <c r="K32" s="37">
        <v>1600000</v>
      </c>
      <c r="L32" s="37">
        <v>1400000</v>
      </c>
      <c r="M32" s="37">
        <v>1200000</v>
      </c>
      <c r="N32" s="37">
        <v>1200000</v>
      </c>
      <c r="O32" s="37">
        <v>1200000</v>
      </c>
      <c r="P32" s="39">
        <v>1200000</v>
      </c>
      <c r="Q32" s="37">
        <v>1200000</v>
      </c>
      <c r="R32" s="37">
        <v>1200000</v>
      </c>
      <c r="S32" s="37"/>
      <c r="T32" s="37"/>
      <c r="U32" s="37"/>
      <c r="V32" s="59">
        <f t="shared" si="3"/>
        <v>11800000</v>
      </c>
      <c r="W32" s="60">
        <f t="shared" si="0"/>
        <v>29.5</v>
      </c>
      <c r="X32" s="60">
        <f t="shared" si="1"/>
        <v>9</v>
      </c>
      <c r="Y32" s="60">
        <f t="shared" si="2"/>
        <v>30</v>
      </c>
    </row>
    <row r="33" spans="1:25">
      <c r="A33" s="12">
        <v>29</v>
      </c>
      <c r="B33" s="12" t="s">
        <v>72</v>
      </c>
      <c r="C33" s="12"/>
      <c r="D33" s="12"/>
      <c r="E33" s="12" t="s">
        <v>257</v>
      </c>
      <c r="F33" s="12"/>
      <c r="G33" s="13">
        <v>450000</v>
      </c>
      <c r="H33" s="13" t="s">
        <v>5</v>
      </c>
      <c r="I33" s="15" t="s">
        <v>116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9">
        <v>0</v>
      </c>
      <c r="Q33" s="37">
        <v>0</v>
      </c>
      <c r="R33" s="37">
        <v>0</v>
      </c>
      <c r="S33" s="37"/>
      <c r="T33" s="37"/>
      <c r="U33" s="37"/>
      <c r="V33" s="59">
        <f t="shared" si="3"/>
        <v>0</v>
      </c>
      <c r="W33" s="60">
        <f t="shared" si="0"/>
        <v>0</v>
      </c>
      <c r="X33" s="60">
        <f t="shared" si="1"/>
        <v>0</v>
      </c>
      <c r="Y33" s="60">
        <f t="shared" si="2"/>
        <v>0</v>
      </c>
    </row>
    <row r="34" spans="1:25">
      <c r="A34" s="12">
        <v>30</v>
      </c>
      <c r="B34" s="16" t="s">
        <v>21</v>
      </c>
      <c r="C34" s="16"/>
      <c r="D34" s="16"/>
      <c r="E34" s="12"/>
      <c r="F34" s="12">
        <v>1</v>
      </c>
      <c r="G34" s="17">
        <v>0</v>
      </c>
      <c r="H34" s="14" t="s">
        <v>13</v>
      </c>
      <c r="I34" s="15" t="s">
        <v>116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9">
        <v>0</v>
      </c>
      <c r="Q34" s="37">
        <v>0</v>
      </c>
      <c r="R34" s="37">
        <v>0</v>
      </c>
      <c r="S34" s="37"/>
      <c r="T34" s="37"/>
      <c r="U34" s="37"/>
      <c r="V34" s="59">
        <f t="shared" si="3"/>
        <v>0</v>
      </c>
      <c r="W34" s="60">
        <f t="shared" si="0"/>
        <v>0</v>
      </c>
      <c r="X34" s="60">
        <f t="shared" si="1"/>
        <v>0</v>
      </c>
      <c r="Y34" s="60">
        <f t="shared" si="2"/>
        <v>0</v>
      </c>
    </row>
    <row r="35" spans="1:25">
      <c r="A35" s="12">
        <v>31</v>
      </c>
      <c r="B35" s="12" t="s">
        <v>53</v>
      </c>
      <c r="C35" s="12"/>
      <c r="D35" s="12"/>
      <c r="E35" s="12" t="s">
        <v>257</v>
      </c>
      <c r="F35" s="12"/>
      <c r="G35" s="13">
        <v>400000</v>
      </c>
      <c r="H35" s="14" t="s">
        <v>4</v>
      </c>
      <c r="I35" s="15" t="s">
        <v>116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9">
        <v>0</v>
      </c>
      <c r="Q35" s="37">
        <v>0</v>
      </c>
      <c r="R35" s="37">
        <v>0</v>
      </c>
      <c r="S35" s="37"/>
      <c r="T35" s="37"/>
      <c r="U35" s="37"/>
      <c r="V35" s="59">
        <f t="shared" si="3"/>
        <v>0</v>
      </c>
      <c r="W35" s="60">
        <f t="shared" si="0"/>
        <v>0</v>
      </c>
      <c r="X35" s="60">
        <f t="shared" si="1"/>
        <v>0</v>
      </c>
      <c r="Y35" s="60">
        <f t="shared" si="2"/>
        <v>0</v>
      </c>
    </row>
    <row r="36" spans="1:25">
      <c r="A36" s="12">
        <v>32</v>
      </c>
      <c r="B36" s="16" t="s">
        <v>22</v>
      </c>
      <c r="C36" s="16">
        <v>23963745</v>
      </c>
      <c r="D36" s="16">
        <v>3142385522</v>
      </c>
      <c r="E36" s="12" t="s">
        <v>257</v>
      </c>
      <c r="F36" s="16">
        <v>2</v>
      </c>
      <c r="G36" s="17">
        <v>21600000</v>
      </c>
      <c r="H36" s="18" t="s">
        <v>6</v>
      </c>
      <c r="I36" s="15" t="s">
        <v>116</v>
      </c>
      <c r="J36" s="37">
        <v>3600000</v>
      </c>
      <c r="K36" s="37">
        <v>3600000</v>
      </c>
      <c r="L36" s="37">
        <v>3600000</v>
      </c>
      <c r="M36" s="37">
        <v>5600000</v>
      </c>
      <c r="N36" s="37">
        <v>3600000</v>
      </c>
      <c r="O36" s="37">
        <v>3600000</v>
      </c>
      <c r="P36" s="39">
        <v>3600000</v>
      </c>
      <c r="Q36" s="37">
        <v>3600000</v>
      </c>
      <c r="R36" s="37">
        <v>4000000</v>
      </c>
      <c r="S36" s="37"/>
      <c r="T36" s="37"/>
      <c r="U36" s="37"/>
      <c r="V36" s="59">
        <f t="shared" si="3"/>
        <v>34800000</v>
      </c>
      <c r="W36" s="60">
        <f t="shared" si="0"/>
        <v>87</v>
      </c>
      <c r="X36" s="60">
        <f t="shared" si="1"/>
        <v>9</v>
      </c>
      <c r="Y36" s="60">
        <f t="shared" si="2"/>
        <v>87</v>
      </c>
    </row>
    <row r="37" spans="1:25">
      <c r="A37" s="12">
        <v>33</v>
      </c>
      <c r="B37" s="12" t="s">
        <v>102</v>
      </c>
      <c r="C37" s="12"/>
      <c r="D37" s="12"/>
      <c r="E37" s="12" t="s">
        <v>257</v>
      </c>
      <c r="F37" s="12"/>
      <c r="G37" s="13">
        <v>2200000</v>
      </c>
      <c r="H37" s="13" t="s">
        <v>5</v>
      </c>
      <c r="I37" s="15" t="s">
        <v>116</v>
      </c>
      <c r="J37" s="37">
        <v>400000</v>
      </c>
      <c r="K37" s="37">
        <v>400000</v>
      </c>
      <c r="L37" s="37">
        <v>400000</v>
      </c>
      <c r="M37" s="37">
        <v>400000</v>
      </c>
      <c r="N37" s="37">
        <v>400000</v>
      </c>
      <c r="O37" s="37">
        <v>400000</v>
      </c>
      <c r="P37" s="39">
        <v>400000</v>
      </c>
      <c r="Q37" s="37">
        <v>400000</v>
      </c>
      <c r="R37" s="37">
        <v>400000</v>
      </c>
      <c r="S37" s="37"/>
      <c r="T37" s="37"/>
      <c r="U37" s="37"/>
      <c r="V37" s="59">
        <f t="shared" si="3"/>
        <v>3600000</v>
      </c>
      <c r="W37" s="60">
        <f t="shared" si="0"/>
        <v>9</v>
      </c>
      <c r="X37" s="60">
        <f t="shared" si="1"/>
        <v>9</v>
      </c>
      <c r="Y37" s="60">
        <f t="shared" si="2"/>
        <v>9</v>
      </c>
    </row>
    <row r="38" spans="1:25">
      <c r="A38" s="12">
        <v>34</v>
      </c>
      <c r="B38" s="16" t="s">
        <v>23</v>
      </c>
      <c r="C38" s="16">
        <v>13177594</v>
      </c>
      <c r="D38" s="16">
        <v>3107951023</v>
      </c>
      <c r="E38" s="12" t="s">
        <v>344</v>
      </c>
      <c r="F38" s="16">
        <v>1</v>
      </c>
      <c r="G38" s="17">
        <v>800000</v>
      </c>
      <c r="H38" s="18" t="s">
        <v>13</v>
      </c>
      <c r="I38" s="15" t="s">
        <v>116</v>
      </c>
      <c r="J38" s="37">
        <v>0</v>
      </c>
      <c r="K38" s="37">
        <v>0</v>
      </c>
      <c r="L38" s="37">
        <v>400000</v>
      </c>
      <c r="M38" s="37">
        <v>0</v>
      </c>
      <c r="N38" s="37">
        <v>400000</v>
      </c>
      <c r="O38" s="37">
        <v>0</v>
      </c>
      <c r="P38" s="39">
        <v>800000</v>
      </c>
      <c r="Q38" s="37">
        <v>400000</v>
      </c>
      <c r="R38" s="37">
        <v>600000</v>
      </c>
      <c r="S38" s="37"/>
      <c r="T38" s="37"/>
      <c r="U38" s="37"/>
      <c r="V38" s="59">
        <f t="shared" si="3"/>
        <v>2600000</v>
      </c>
      <c r="W38" s="60">
        <f t="shared" si="0"/>
        <v>6.5</v>
      </c>
      <c r="X38" s="60">
        <f t="shared" si="1"/>
        <v>5</v>
      </c>
      <c r="Y38" s="60">
        <f t="shared" si="2"/>
        <v>7</v>
      </c>
    </row>
    <row r="39" spans="1:25">
      <c r="A39" s="12">
        <v>35</v>
      </c>
      <c r="B39" s="16" t="s">
        <v>96</v>
      </c>
      <c r="C39" s="16"/>
      <c r="D39" s="16"/>
      <c r="E39" s="12"/>
      <c r="F39" s="16"/>
      <c r="G39" s="17">
        <v>1200000</v>
      </c>
      <c r="H39" s="18" t="s">
        <v>4</v>
      </c>
      <c r="I39" s="15" t="s">
        <v>116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9">
        <v>0</v>
      </c>
      <c r="Q39" s="37">
        <v>0</v>
      </c>
      <c r="R39" s="37">
        <v>0</v>
      </c>
      <c r="S39" s="37"/>
      <c r="T39" s="37"/>
      <c r="U39" s="37"/>
      <c r="V39" s="59">
        <f t="shared" si="3"/>
        <v>0</v>
      </c>
      <c r="W39" s="60">
        <f t="shared" si="0"/>
        <v>0</v>
      </c>
      <c r="X39" s="60">
        <f t="shared" si="1"/>
        <v>0</v>
      </c>
      <c r="Y39" s="60">
        <f t="shared" si="2"/>
        <v>0</v>
      </c>
    </row>
    <row r="40" spans="1:25">
      <c r="A40" s="12">
        <v>36</v>
      </c>
      <c r="B40" s="16" t="s">
        <v>84</v>
      </c>
      <c r="C40" s="16">
        <v>4803428</v>
      </c>
      <c r="D40" s="16">
        <v>3009838761</v>
      </c>
      <c r="E40" s="12" t="s">
        <v>230</v>
      </c>
      <c r="F40" s="16"/>
      <c r="G40" s="17">
        <v>4400000</v>
      </c>
      <c r="H40" s="18" t="s">
        <v>4</v>
      </c>
      <c r="I40" s="15" t="s">
        <v>116</v>
      </c>
      <c r="J40" s="37">
        <v>0</v>
      </c>
      <c r="K40" s="37">
        <v>1600000</v>
      </c>
      <c r="L40" s="37">
        <v>1600000</v>
      </c>
      <c r="M40" s="37">
        <v>0</v>
      </c>
      <c r="N40" s="37">
        <v>1600000</v>
      </c>
      <c r="O40" s="37">
        <v>1600000</v>
      </c>
      <c r="P40" s="39">
        <v>1600000</v>
      </c>
      <c r="Q40" s="37">
        <v>1600000</v>
      </c>
      <c r="R40" s="37">
        <v>1600000</v>
      </c>
      <c r="S40" s="37"/>
      <c r="T40" s="37"/>
      <c r="U40" s="37"/>
      <c r="V40" s="59">
        <f t="shared" si="3"/>
        <v>11200000</v>
      </c>
      <c r="W40" s="60">
        <f t="shared" si="0"/>
        <v>28</v>
      </c>
      <c r="X40" s="60">
        <f t="shared" si="1"/>
        <v>7</v>
      </c>
      <c r="Y40" s="60">
        <f t="shared" si="2"/>
        <v>28</v>
      </c>
    </row>
    <row r="41" spans="1:25">
      <c r="A41" s="12">
        <v>37</v>
      </c>
      <c r="B41" s="16" t="s">
        <v>86</v>
      </c>
      <c r="C41" s="16">
        <v>93206783</v>
      </c>
      <c r="D41" s="16">
        <v>3125188563</v>
      </c>
      <c r="E41" s="12" t="s">
        <v>230</v>
      </c>
      <c r="F41" s="12"/>
      <c r="G41" s="17">
        <v>6000000</v>
      </c>
      <c r="H41" s="14" t="s">
        <v>4</v>
      </c>
      <c r="I41" s="15" t="s">
        <v>116</v>
      </c>
      <c r="J41" s="37">
        <v>0</v>
      </c>
      <c r="K41" s="37">
        <v>800000</v>
      </c>
      <c r="L41" s="37">
        <v>800000</v>
      </c>
      <c r="M41" s="37">
        <v>0</v>
      </c>
      <c r="N41" s="37">
        <v>0</v>
      </c>
      <c r="O41" s="37">
        <v>800000</v>
      </c>
      <c r="P41" s="39">
        <v>800000</v>
      </c>
      <c r="Q41" s="37">
        <v>800000</v>
      </c>
      <c r="R41" s="37">
        <v>800000</v>
      </c>
      <c r="S41" s="37"/>
      <c r="T41" s="37"/>
      <c r="U41" s="37"/>
      <c r="V41" s="59">
        <f t="shared" si="3"/>
        <v>4800000</v>
      </c>
      <c r="W41" s="60">
        <f t="shared" si="0"/>
        <v>12</v>
      </c>
      <c r="X41" s="60">
        <f t="shared" si="1"/>
        <v>6</v>
      </c>
      <c r="Y41" s="60">
        <f t="shared" si="2"/>
        <v>12</v>
      </c>
    </row>
    <row r="42" spans="1:25">
      <c r="A42" s="12">
        <v>38</v>
      </c>
      <c r="B42" s="16" t="s">
        <v>58</v>
      </c>
      <c r="C42" s="16">
        <v>72147202</v>
      </c>
      <c r="D42" s="16">
        <v>3126317467</v>
      </c>
      <c r="E42" s="12" t="s">
        <v>345</v>
      </c>
      <c r="F42" s="12"/>
      <c r="G42" s="17">
        <v>4400000</v>
      </c>
      <c r="H42" s="14" t="s">
        <v>8</v>
      </c>
      <c r="I42" s="15" t="s">
        <v>116</v>
      </c>
      <c r="J42" s="37">
        <v>0</v>
      </c>
      <c r="K42" s="37">
        <v>0</v>
      </c>
      <c r="L42" s="37">
        <v>0</v>
      </c>
      <c r="M42" s="37">
        <v>400000</v>
      </c>
      <c r="N42" s="37">
        <v>0</v>
      </c>
      <c r="O42" s="37">
        <v>0</v>
      </c>
      <c r="P42" s="39">
        <v>0</v>
      </c>
      <c r="Q42" s="37">
        <v>1600000</v>
      </c>
      <c r="R42" s="37">
        <v>0</v>
      </c>
      <c r="S42" s="37"/>
      <c r="T42" s="37"/>
      <c r="U42" s="37"/>
      <c r="V42" s="59">
        <f t="shared" si="3"/>
        <v>2000000</v>
      </c>
      <c r="W42" s="60">
        <f t="shared" si="0"/>
        <v>5</v>
      </c>
      <c r="X42" s="60">
        <f t="shared" si="1"/>
        <v>2</v>
      </c>
      <c r="Y42" s="60">
        <f t="shared" si="2"/>
        <v>5</v>
      </c>
    </row>
    <row r="43" spans="1:25">
      <c r="A43" s="12">
        <v>39</v>
      </c>
      <c r="B43" s="16" t="s">
        <v>62</v>
      </c>
      <c r="C43" s="16"/>
      <c r="D43" s="16"/>
      <c r="E43" s="12" t="s">
        <v>159</v>
      </c>
      <c r="F43" s="16"/>
      <c r="G43" s="17">
        <v>6522000</v>
      </c>
      <c r="H43" s="18" t="s">
        <v>4</v>
      </c>
      <c r="I43" s="15" t="s">
        <v>116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9">
        <v>0</v>
      </c>
      <c r="Q43" s="37">
        <v>0</v>
      </c>
      <c r="R43" s="37">
        <v>0</v>
      </c>
      <c r="S43" s="37"/>
      <c r="T43" s="37"/>
      <c r="U43" s="37"/>
      <c r="V43" s="59">
        <f t="shared" si="3"/>
        <v>0</v>
      </c>
      <c r="W43" s="60">
        <f t="shared" si="0"/>
        <v>0</v>
      </c>
      <c r="X43" s="60">
        <f t="shared" si="1"/>
        <v>0</v>
      </c>
      <c r="Y43" s="60">
        <f t="shared" si="2"/>
        <v>0</v>
      </c>
    </row>
    <row r="44" spans="1:25">
      <c r="A44" s="12">
        <v>40</v>
      </c>
      <c r="B44" s="16" t="s">
        <v>69</v>
      </c>
      <c r="C44" s="16">
        <v>8742974</v>
      </c>
      <c r="D44" s="16">
        <v>317889812</v>
      </c>
      <c r="E44" s="12" t="s">
        <v>442</v>
      </c>
      <c r="F44" s="16"/>
      <c r="G44" s="17">
        <v>20208000</v>
      </c>
      <c r="H44" s="18" t="s">
        <v>4</v>
      </c>
      <c r="I44" s="15" t="s">
        <v>116</v>
      </c>
      <c r="J44" s="37">
        <v>2085000</v>
      </c>
      <c r="K44" s="37">
        <v>2000000</v>
      </c>
      <c r="L44" s="37">
        <v>1180000</v>
      </c>
      <c r="M44" s="37">
        <v>0</v>
      </c>
      <c r="N44" s="37">
        <v>2140000</v>
      </c>
      <c r="O44" s="37">
        <v>1430000</v>
      </c>
      <c r="P44" s="39">
        <v>0</v>
      </c>
      <c r="Q44" s="37">
        <v>1770000</v>
      </c>
      <c r="R44" s="37">
        <v>0</v>
      </c>
      <c r="S44" s="37"/>
      <c r="T44" s="37"/>
      <c r="U44" s="37"/>
      <c r="V44" s="59">
        <f t="shared" si="3"/>
        <v>10605000</v>
      </c>
      <c r="W44" s="60">
        <f t="shared" si="0"/>
        <v>26.512499999999999</v>
      </c>
      <c r="X44" s="60">
        <f t="shared" si="1"/>
        <v>6</v>
      </c>
      <c r="Y44" s="60">
        <f t="shared" si="2"/>
        <v>27</v>
      </c>
    </row>
    <row r="45" spans="1:25">
      <c r="A45" s="12">
        <v>41</v>
      </c>
      <c r="B45" s="16" t="s">
        <v>94</v>
      </c>
      <c r="C45" s="16"/>
      <c r="D45" s="16"/>
      <c r="E45" s="12" t="s">
        <v>160</v>
      </c>
      <c r="F45" s="16"/>
      <c r="G45" s="17">
        <v>600000</v>
      </c>
      <c r="H45" s="18" t="s">
        <v>4</v>
      </c>
      <c r="I45" s="15" t="s">
        <v>116</v>
      </c>
      <c r="J45" s="37">
        <v>0</v>
      </c>
      <c r="K45" s="37">
        <v>0</v>
      </c>
      <c r="L45" s="37">
        <v>0</v>
      </c>
      <c r="M45" s="37">
        <v>400000</v>
      </c>
      <c r="N45" s="37">
        <v>0</v>
      </c>
      <c r="O45" s="37">
        <v>0</v>
      </c>
      <c r="P45" s="39">
        <v>0</v>
      </c>
      <c r="Q45" s="37">
        <v>0</v>
      </c>
      <c r="R45" s="37">
        <v>0</v>
      </c>
      <c r="S45" s="37"/>
      <c r="T45" s="37"/>
      <c r="U45" s="37"/>
      <c r="V45" s="59">
        <f t="shared" si="3"/>
        <v>400000</v>
      </c>
      <c r="W45" s="60">
        <f t="shared" si="0"/>
        <v>1</v>
      </c>
      <c r="X45" s="60">
        <f t="shared" si="1"/>
        <v>1</v>
      </c>
      <c r="Y45" s="60">
        <f t="shared" si="2"/>
        <v>1</v>
      </c>
    </row>
    <row r="46" spans="1:25">
      <c r="A46" s="12">
        <v>42</v>
      </c>
      <c r="B46" s="12" t="s">
        <v>161</v>
      </c>
      <c r="C46" s="12">
        <v>900379577</v>
      </c>
      <c r="D46" s="12">
        <v>31844096518</v>
      </c>
      <c r="E46" s="12" t="s">
        <v>547</v>
      </c>
      <c r="F46" s="12"/>
      <c r="G46" s="13">
        <v>19725000</v>
      </c>
      <c r="H46" s="14"/>
      <c r="I46" s="15" t="s">
        <v>116</v>
      </c>
      <c r="J46" s="37">
        <v>6000000</v>
      </c>
      <c r="K46" s="37">
        <v>15000000</v>
      </c>
      <c r="L46" s="37">
        <v>9000000</v>
      </c>
      <c r="M46" s="37">
        <v>6000000</v>
      </c>
      <c r="N46" s="37">
        <v>8800000</v>
      </c>
      <c r="O46" s="37">
        <v>0</v>
      </c>
      <c r="P46" s="39">
        <v>5600000</v>
      </c>
      <c r="Q46" s="37">
        <v>7200000</v>
      </c>
      <c r="R46" s="37">
        <v>0</v>
      </c>
      <c r="S46" s="37"/>
      <c r="T46" s="37"/>
      <c r="U46" s="37"/>
      <c r="V46" s="59">
        <f t="shared" si="3"/>
        <v>57600000</v>
      </c>
      <c r="W46" s="60">
        <f t="shared" si="0"/>
        <v>144</v>
      </c>
      <c r="X46" s="60">
        <f t="shared" si="1"/>
        <v>7</v>
      </c>
      <c r="Y46" s="60">
        <f t="shared" si="2"/>
        <v>144</v>
      </c>
    </row>
    <row r="47" spans="1:25">
      <c r="A47" s="12">
        <v>43</v>
      </c>
      <c r="B47" s="12" t="s">
        <v>46</v>
      </c>
      <c r="C47" s="12"/>
      <c r="D47" s="12"/>
      <c r="E47" s="12" t="s">
        <v>162</v>
      </c>
      <c r="F47" s="12">
        <v>1</v>
      </c>
      <c r="G47" s="13">
        <v>4095000</v>
      </c>
      <c r="H47" s="14" t="s">
        <v>4</v>
      </c>
      <c r="I47" s="15" t="s">
        <v>116</v>
      </c>
      <c r="J47" s="37">
        <v>0</v>
      </c>
      <c r="K47" s="37">
        <v>1950000</v>
      </c>
      <c r="L47" s="37">
        <v>400000</v>
      </c>
      <c r="M47" s="37">
        <v>1900000</v>
      </c>
      <c r="N47" s="37">
        <v>0</v>
      </c>
      <c r="O47" s="37">
        <v>0</v>
      </c>
      <c r="P47" s="39">
        <v>0</v>
      </c>
      <c r="Q47" s="37">
        <v>0</v>
      </c>
      <c r="R47" s="37">
        <v>0</v>
      </c>
      <c r="S47" s="37"/>
      <c r="T47" s="37"/>
      <c r="U47" s="37"/>
      <c r="V47" s="59">
        <f t="shared" si="3"/>
        <v>4250000</v>
      </c>
      <c r="W47" s="60">
        <f t="shared" si="0"/>
        <v>10.625</v>
      </c>
      <c r="X47" s="60">
        <f t="shared" si="1"/>
        <v>3</v>
      </c>
      <c r="Y47" s="60">
        <f t="shared" si="2"/>
        <v>11</v>
      </c>
    </row>
    <row r="48" spans="1:25">
      <c r="A48" s="12">
        <v>44</v>
      </c>
      <c r="B48" s="12" t="s">
        <v>130</v>
      </c>
      <c r="C48" s="12"/>
      <c r="D48" s="12"/>
      <c r="E48" s="12" t="s">
        <v>180</v>
      </c>
      <c r="F48" s="12">
        <v>1</v>
      </c>
      <c r="G48" s="13">
        <v>12937600</v>
      </c>
      <c r="H48" s="14" t="s">
        <v>8</v>
      </c>
      <c r="I48" s="15" t="s">
        <v>116</v>
      </c>
      <c r="J48" s="37">
        <v>0</v>
      </c>
      <c r="K48" s="37">
        <v>6800000</v>
      </c>
      <c r="L48" s="37">
        <v>7200000</v>
      </c>
      <c r="M48" s="37">
        <v>7200000</v>
      </c>
      <c r="N48" s="37">
        <v>8400000</v>
      </c>
      <c r="O48" s="37">
        <v>0</v>
      </c>
      <c r="P48" s="39">
        <v>0</v>
      </c>
      <c r="Q48" s="37">
        <v>0</v>
      </c>
      <c r="R48" s="37">
        <v>0</v>
      </c>
      <c r="S48" s="37"/>
      <c r="T48" s="37"/>
      <c r="U48" s="37"/>
      <c r="V48" s="59">
        <f t="shared" si="3"/>
        <v>29600000</v>
      </c>
      <c r="W48" s="60">
        <f t="shared" si="0"/>
        <v>74</v>
      </c>
      <c r="X48" s="60">
        <f t="shared" si="1"/>
        <v>4</v>
      </c>
      <c r="Y48" s="60">
        <f t="shared" si="2"/>
        <v>74</v>
      </c>
    </row>
    <row r="49" spans="1:25">
      <c r="A49" s="12">
        <v>45</v>
      </c>
      <c r="B49" s="16" t="s">
        <v>131</v>
      </c>
      <c r="C49" s="16">
        <v>16354014</v>
      </c>
      <c r="D49" s="16">
        <v>3133884161</v>
      </c>
      <c r="E49" s="12" t="s">
        <v>346</v>
      </c>
      <c r="F49" s="16">
        <v>1</v>
      </c>
      <c r="G49" s="17">
        <v>16940000</v>
      </c>
      <c r="H49" s="18" t="s">
        <v>8</v>
      </c>
      <c r="I49" s="15" t="s">
        <v>116</v>
      </c>
      <c r="J49" s="37">
        <v>800000</v>
      </c>
      <c r="K49" s="37">
        <v>425000</v>
      </c>
      <c r="L49" s="37">
        <v>0</v>
      </c>
      <c r="M49" s="37">
        <v>1600000</v>
      </c>
      <c r="N49" s="37">
        <v>0</v>
      </c>
      <c r="O49" s="37">
        <v>800000</v>
      </c>
      <c r="P49" s="39">
        <v>0</v>
      </c>
      <c r="Q49" s="37">
        <v>800000</v>
      </c>
      <c r="R49" s="37">
        <v>0</v>
      </c>
      <c r="S49" s="37"/>
      <c r="T49" s="37"/>
      <c r="U49" s="37"/>
      <c r="V49" s="59">
        <f t="shared" si="3"/>
        <v>4425000</v>
      </c>
      <c r="W49" s="60">
        <f t="shared" si="0"/>
        <v>11.0625</v>
      </c>
      <c r="X49" s="60">
        <f t="shared" si="1"/>
        <v>5</v>
      </c>
      <c r="Y49" s="60">
        <f t="shared" si="2"/>
        <v>12</v>
      </c>
    </row>
    <row r="50" spans="1:25">
      <c r="A50" s="12">
        <v>46</v>
      </c>
      <c r="B50" s="16" t="s">
        <v>77</v>
      </c>
      <c r="C50" s="16"/>
      <c r="D50" s="16"/>
      <c r="E50" s="12" t="s">
        <v>163</v>
      </c>
      <c r="F50" s="16"/>
      <c r="G50" s="17">
        <v>2700000</v>
      </c>
      <c r="H50" s="18" t="s">
        <v>4</v>
      </c>
      <c r="I50" s="15" t="s">
        <v>116</v>
      </c>
      <c r="J50" s="37">
        <v>0</v>
      </c>
      <c r="K50" s="37">
        <v>0</v>
      </c>
      <c r="L50" s="37">
        <v>160000</v>
      </c>
      <c r="M50" s="37">
        <v>70000</v>
      </c>
      <c r="N50" s="37">
        <v>120000</v>
      </c>
      <c r="O50" s="37">
        <v>250000</v>
      </c>
      <c r="P50" s="39">
        <v>270000</v>
      </c>
      <c r="Q50" s="37">
        <v>170000</v>
      </c>
      <c r="R50" s="37">
        <v>0</v>
      </c>
      <c r="S50" s="37"/>
      <c r="T50" s="37"/>
      <c r="U50" s="37"/>
      <c r="V50" s="59">
        <f t="shared" si="3"/>
        <v>1040000</v>
      </c>
      <c r="W50" s="60">
        <f t="shared" si="0"/>
        <v>2.6</v>
      </c>
      <c r="X50" s="60">
        <f t="shared" si="1"/>
        <v>6</v>
      </c>
      <c r="Y50" s="60">
        <f t="shared" si="2"/>
        <v>3</v>
      </c>
    </row>
    <row r="51" spans="1:25">
      <c r="A51" s="12">
        <v>47</v>
      </c>
      <c r="B51" s="16" t="s">
        <v>79</v>
      </c>
      <c r="C51" s="16">
        <v>900299699</v>
      </c>
      <c r="D51" s="16">
        <v>3214118979</v>
      </c>
      <c r="E51" s="12" t="s">
        <v>257</v>
      </c>
      <c r="F51" s="12"/>
      <c r="G51" s="17">
        <v>16800000</v>
      </c>
      <c r="H51" s="14" t="s">
        <v>10</v>
      </c>
      <c r="I51" s="15" t="s">
        <v>116</v>
      </c>
      <c r="J51" s="37">
        <v>800000</v>
      </c>
      <c r="K51" s="37">
        <v>800000</v>
      </c>
      <c r="L51" s="37">
        <v>800000</v>
      </c>
      <c r="M51" s="37">
        <v>800000</v>
      </c>
      <c r="N51" s="37">
        <v>800000</v>
      </c>
      <c r="O51" s="37">
        <v>800000</v>
      </c>
      <c r="P51" s="39">
        <v>800000</v>
      </c>
      <c r="Q51" s="37">
        <v>800000</v>
      </c>
      <c r="R51" s="37">
        <v>0</v>
      </c>
      <c r="S51" s="37"/>
      <c r="T51" s="37"/>
      <c r="U51" s="37"/>
      <c r="V51" s="59">
        <f t="shared" si="3"/>
        <v>6400000</v>
      </c>
      <c r="W51" s="60">
        <f t="shared" si="0"/>
        <v>16</v>
      </c>
      <c r="X51" s="60">
        <f t="shared" si="1"/>
        <v>8</v>
      </c>
      <c r="Y51" s="60">
        <f t="shared" si="2"/>
        <v>16</v>
      </c>
    </row>
    <row r="52" spans="1:25">
      <c r="A52" s="12">
        <v>48</v>
      </c>
      <c r="B52" s="16" t="s">
        <v>54</v>
      </c>
      <c r="C52" s="16">
        <v>901892495</v>
      </c>
      <c r="D52" s="16"/>
      <c r="E52" s="12" t="s">
        <v>564</v>
      </c>
      <c r="F52" s="16"/>
      <c r="G52" s="17">
        <v>220000</v>
      </c>
      <c r="H52" s="18" t="s">
        <v>8</v>
      </c>
      <c r="I52" s="15" t="s">
        <v>116</v>
      </c>
      <c r="J52" s="37">
        <v>0</v>
      </c>
      <c r="K52" s="37">
        <v>0</v>
      </c>
      <c r="L52" s="37">
        <v>0</v>
      </c>
      <c r="M52" s="37">
        <v>0</v>
      </c>
      <c r="N52" s="37">
        <v>400000</v>
      </c>
      <c r="O52" s="37">
        <v>0</v>
      </c>
      <c r="P52" s="39">
        <v>800000</v>
      </c>
      <c r="Q52" s="37">
        <v>0</v>
      </c>
      <c r="R52" s="37">
        <v>400000</v>
      </c>
      <c r="S52" s="37"/>
      <c r="T52" s="37"/>
      <c r="U52" s="37"/>
      <c r="V52" s="59">
        <f t="shared" si="3"/>
        <v>1600000</v>
      </c>
      <c r="W52" s="60">
        <f t="shared" si="0"/>
        <v>4</v>
      </c>
      <c r="X52" s="60">
        <f t="shared" si="1"/>
        <v>3</v>
      </c>
      <c r="Y52" s="60">
        <f t="shared" si="2"/>
        <v>4</v>
      </c>
    </row>
    <row r="53" spans="1:25">
      <c r="A53" s="12">
        <v>49</v>
      </c>
      <c r="B53" s="16" t="s">
        <v>122</v>
      </c>
      <c r="C53" s="16"/>
      <c r="D53" s="16"/>
      <c r="E53" s="12" t="s">
        <v>562</v>
      </c>
      <c r="F53" s="12"/>
      <c r="G53" s="17">
        <v>13600000</v>
      </c>
      <c r="H53" s="14" t="s">
        <v>4</v>
      </c>
      <c r="I53" s="15" t="s">
        <v>116</v>
      </c>
      <c r="J53" s="37">
        <v>1200000</v>
      </c>
      <c r="K53" s="37">
        <v>2000000</v>
      </c>
      <c r="L53" s="37">
        <v>1200000</v>
      </c>
      <c r="M53" s="37">
        <v>1750000</v>
      </c>
      <c r="N53" s="37">
        <v>0</v>
      </c>
      <c r="O53" s="37">
        <v>1500000</v>
      </c>
      <c r="P53" s="39">
        <v>1200000</v>
      </c>
      <c r="Q53" s="37">
        <v>1600000</v>
      </c>
      <c r="R53" s="37">
        <v>0</v>
      </c>
      <c r="S53" s="37"/>
      <c r="T53" s="37"/>
      <c r="U53" s="37"/>
      <c r="V53" s="59">
        <f t="shared" si="3"/>
        <v>10450000</v>
      </c>
      <c r="W53" s="60">
        <f t="shared" si="0"/>
        <v>26.125</v>
      </c>
      <c r="X53" s="60">
        <f t="shared" si="1"/>
        <v>7</v>
      </c>
      <c r="Y53" s="60">
        <f t="shared" si="2"/>
        <v>27</v>
      </c>
    </row>
    <row r="54" spans="1:25">
      <c r="A54" s="12">
        <v>50</v>
      </c>
      <c r="B54" s="16" t="s">
        <v>61</v>
      </c>
      <c r="C54" s="16"/>
      <c r="D54" s="16"/>
      <c r="E54" s="12" t="s">
        <v>164</v>
      </c>
      <c r="F54" s="16"/>
      <c r="G54" s="17">
        <v>3050000</v>
      </c>
      <c r="H54" s="18" t="s">
        <v>4</v>
      </c>
      <c r="I54" s="15" t="s">
        <v>116</v>
      </c>
      <c r="J54" s="37">
        <v>0</v>
      </c>
      <c r="K54" s="37">
        <v>0</v>
      </c>
      <c r="L54" s="37">
        <v>0</v>
      </c>
      <c r="M54" s="37">
        <v>2470000</v>
      </c>
      <c r="N54" s="37">
        <v>0</v>
      </c>
      <c r="O54" s="37">
        <v>0</v>
      </c>
      <c r="P54" s="39">
        <v>0</v>
      </c>
      <c r="Q54" s="37">
        <v>0</v>
      </c>
      <c r="R54" s="37">
        <v>0</v>
      </c>
      <c r="S54" s="37"/>
      <c r="T54" s="37"/>
      <c r="U54" s="37"/>
      <c r="V54" s="59">
        <f t="shared" si="3"/>
        <v>2470000</v>
      </c>
      <c r="W54" s="60">
        <f t="shared" si="0"/>
        <v>6.1749999999999998</v>
      </c>
      <c r="X54" s="60">
        <f t="shared" si="1"/>
        <v>1</v>
      </c>
      <c r="Y54" s="60">
        <f t="shared" si="2"/>
        <v>7</v>
      </c>
    </row>
    <row r="55" spans="1:25">
      <c r="A55" s="12">
        <v>51</v>
      </c>
      <c r="B55" s="16" t="s">
        <v>123</v>
      </c>
      <c r="C55" s="16">
        <v>11809146</v>
      </c>
      <c r="D55" s="16">
        <v>3136811706</v>
      </c>
      <c r="E55" s="12" t="s">
        <v>174</v>
      </c>
      <c r="F55" s="16"/>
      <c r="G55" s="17">
        <v>9745000</v>
      </c>
      <c r="H55" s="18" t="s">
        <v>4</v>
      </c>
      <c r="I55" s="15" t="s">
        <v>116</v>
      </c>
      <c r="J55" s="37">
        <v>800000</v>
      </c>
      <c r="K55" s="37">
        <v>0</v>
      </c>
      <c r="L55" s="37">
        <v>2400000</v>
      </c>
      <c r="M55" s="37">
        <v>1200000</v>
      </c>
      <c r="N55" s="37">
        <v>0</v>
      </c>
      <c r="O55" s="37">
        <v>1200000</v>
      </c>
      <c r="P55" s="39">
        <v>2800000</v>
      </c>
      <c r="Q55" s="37">
        <v>1600000</v>
      </c>
      <c r="R55" s="37">
        <v>0</v>
      </c>
      <c r="S55" s="37"/>
      <c r="T55" s="37"/>
      <c r="U55" s="37"/>
      <c r="V55" s="59">
        <f t="shared" si="3"/>
        <v>10000000</v>
      </c>
      <c r="W55" s="60">
        <f t="shared" si="0"/>
        <v>25</v>
      </c>
      <c r="X55" s="60">
        <f t="shared" si="1"/>
        <v>6</v>
      </c>
      <c r="Y55" s="60">
        <f t="shared" si="2"/>
        <v>25</v>
      </c>
    </row>
    <row r="56" spans="1:25">
      <c r="A56" s="12">
        <v>52</v>
      </c>
      <c r="B56" s="12" t="s">
        <v>90</v>
      </c>
      <c r="C56" s="12"/>
      <c r="D56" s="12"/>
      <c r="E56" s="12" t="s">
        <v>165</v>
      </c>
      <c r="F56" s="12"/>
      <c r="G56" s="13">
        <v>1600000</v>
      </c>
      <c r="H56" s="14" t="s">
        <v>4</v>
      </c>
      <c r="I56" s="15" t="s">
        <v>116</v>
      </c>
      <c r="J56" s="37">
        <v>400000</v>
      </c>
      <c r="K56" s="37">
        <v>400000</v>
      </c>
      <c r="L56" s="37">
        <v>0</v>
      </c>
      <c r="M56" s="37">
        <v>0</v>
      </c>
      <c r="N56" s="37">
        <v>400000</v>
      </c>
      <c r="O56" s="37">
        <v>0</v>
      </c>
      <c r="P56" s="39">
        <v>0</v>
      </c>
      <c r="Q56" s="37">
        <v>0</v>
      </c>
      <c r="R56" s="37">
        <v>0</v>
      </c>
      <c r="S56" s="37"/>
      <c r="T56" s="37"/>
      <c r="U56" s="37"/>
      <c r="V56" s="59">
        <f t="shared" si="3"/>
        <v>1200000</v>
      </c>
      <c r="W56" s="60">
        <f t="shared" si="0"/>
        <v>3</v>
      </c>
      <c r="X56" s="60">
        <f t="shared" si="1"/>
        <v>3</v>
      </c>
      <c r="Y56" s="60">
        <f t="shared" si="2"/>
        <v>3</v>
      </c>
    </row>
    <row r="57" spans="1:25">
      <c r="A57" s="16">
        <v>53</v>
      </c>
      <c r="B57" s="16" t="s">
        <v>47</v>
      </c>
      <c r="C57" s="16"/>
      <c r="D57" s="16"/>
      <c r="E57" s="16" t="s">
        <v>166</v>
      </c>
      <c r="F57" s="16">
        <v>1</v>
      </c>
      <c r="G57" s="17">
        <v>2285000</v>
      </c>
      <c r="H57" s="18" t="s">
        <v>8</v>
      </c>
      <c r="I57" s="15" t="s">
        <v>116</v>
      </c>
      <c r="J57" s="39">
        <v>400000</v>
      </c>
      <c r="K57" s="37">
        <v>0</v>
      </c>
      <c r="L57" s="37">
        <v>0</v>
      </c>
      <c r="M57" s="40">
        <v>400000</v>
      </c>
      <c r="N57" s="40">
        <v>400000</v>
      </c>
      <c r="O57" s="37">
        <v>0</v>
      </c>
      <c r="P57" s="39">
        <v>0</v>
      </c>
      <c r="Q57" s="37">
        <v>400000</v>
      </c>
      <c r="R57" s="37">
        <v>0</v>
      </c>
      <c r="S57" s="37"/>
      <c r="T57" s="37"/>
      <c r="U57" s="37"/>
      <c r="V57" s="59">
        <f t="shared" si="3"/>
        <v>1600000</v>
      </c>
      <c r="W57" s="60">
        <f t="shared" si="0"/>
        <v>4</v>
      </c>
      <c r="X57" s="60">
        <f t="shared" si="1"/>
        <v>4</v>
      </c>
      <c r="Y57" s="60">
        <f t="shared" si="2"/>
        <v>4</v>
      </c>
    </row>
    <row r="58" spans="1:25">
      <c r="A58" s="12">
        <v>54</v>
      </c>
      <c r="B58" s="16" t="s">
        <v>223</v>
      </c>
      <c r="C58" s="16"/>
      <c r="D58" s="16"/>
      <c r="E58" s="12" t="s">
        <v>561</v>
      </c>
      <c r="F58" s="16"/>
      <c r="G58" s="17">
        <v>2800000</v>
      </c>
      <c r="H58" s="18" t="s">
        <v>4</v>
      </c>
      <c r="I58" s="15" t="s">
        <v>116</v>
      </c>
      <c r="J58" s="37">
        <v>0</v>
      </c>
      <c r="K58" s="37">
        <v>0</v>
      </c>
      <c r="L58" s="37">
        <v>400000</v>
      </c>
      <c r="M58" s="37">
        <v>0</v>
      </c>
      <c r="N58" s="37">
        <v>0</v>
      </c>
      <c r="O58" s="37">
        <v>0</v>
      </c>
      <c r="P58" s="39">
        <v>0</v>
      </c>
      <c r="Q58" s="37">
        <v>400000</v>
      </c>
      <c r="R58" s="37">
        <v>400000</v>
      </c>
      <c r="S58" s="37"/>
      <c r="T58" s="37"/>
      <c r="U58" s="37"/>
      <c r="V58" s="59">
        <f t="shared" si="3"/>
        <v>1200000</v>
      </c>
      <c r="W58" s="60">
        <f t="shared" si="0"/>
        <v>3</v>
      </c>
      <c r="X58" s="60">
        <f t="shared" si="1"/>
        <v>3</v>
      </c>
      <c r="Y58" s="60">
        <f t="shared" si="2"/>
        <v>3</v>
      </c>
    </row>
    <row r="59" spans="1:25">
      <c r="A59" s="12">
        <v>55</v>
      </c>
      <c r="B59" s="16" t="s">
        <v>124</v>
      </c>
      <c r="C59" s="16"/>
      <c r="D59" s="16"/>
      <c r="E59" s="12" t="s">
        <v>175</v>
      </c>
      <c r="F59" s="16"/>
      <c r="G59" s="17">
        <v>9200000</v>
      </c>
      <c r="H59" s="18" t="s">
        <v>4</v>
      </c>
      <c r="I59" s="15" t="s">
        <v>116</v>
      </c>
      <c r="J59" s="37">
        <v>600000</v>
      </c>
      <c r="K59" s="37">
        <v>600000</v>
      </c>
      <c r="L59" s="37">
        <v>2000000</v>
      </c>
      <c r="M59" s="37">
        <v>0</v>
      </c>
      <c r="N59" s="37">
        <v>0</v>
      </c>
      <c r="O59" s="37">
        <v>600000</v>
      </c>
      <c r="P59" s="39">
        <v>3600000</v>
      </c>
      <c r="Q59" s="37">
        <v>3600000</v>
      </c>
      <c r="R59" s="37">
        <v>800000</v>
      </c>
      <c r="S59" s="37"/>
      <c r="T59" s="37"/>
      <c r="U59" s="37"/>
      <c r="V59" s="59">
        <f t="shared" si="3"/>
        <v>11800000</v>
      </c>
      <c r="W59" s="60">
        <f t="shared" si="0"/>
        <v>29.5</v>
      </c>
      <c r="X59" s="60">
        <f t="shared" si="1"/>
        <v>7</v>
      </c>
      <c r="Y59" s="60">
        <f t="shared" si="2"/>
        <v>30</v>
      </c>
    </row>
    <row r="60" spans="1:25">
      <c r="A60" s="12">
        <v>56</v>
      </c>
      <c r="B60" s="12" t="s">
        <v>75</v>
      </c>
      <c r="C60" s="12" t="s">
        <v>534</v>
      </c>
      <c r="D60" s="12"/>
      <c r="E60" s="12" t="s">
        <v>168</v>
      </c>
      <c r="F60" s="12"/>
      <c r="G60" s="13">
        <v>11200000</v>
      </c>
      <c r="H60" s="14" t="s">
        <v>4</v>
      </c>
      <c r="I60" s="15" t="s">
        <v>116</v>
      </c>
      <c r="J60" s="37">
        <v>0</v>
      </c>
      <c r="K60" s="37">
        <v>1200000</v>
      </c>
      <c r="L60" s="37">
        <v>2000000</v>
      </c>
      <c r="M60" s="37">
        <v>1600000</v>
      </c>
      <c r="N60" s="37">
        <v>0</v>
      </c>
      <c r="O60" s="37">
        <v>800000</v>
      </c>
      <c r="P60" s="39">
        <v>1200000</v>
      </c>
      <c r="Q60" s="37">
        <v>0</v>
      </c>
      <c r="R60" s="37">
        <v>0</v>
      </c>
      <c r="S60" s="37"/>
      <c r="T60" s="37"/>
      <c r="U60" s="37"/>
      <c r="V60" s="59">
        <f t="shared" si="3"/>
        <v>6800000</v>
      </c>
      <c r="W60" s="60">
        <f t="shared" si="0"/>
        <v>17</v>
      </c>
      <c r="X60" s="60">
        <f t="shared" si="1"/>
        <v>5</v>
      </c>
      <c r="Y60" s="60">
        <f t="shared" si="2"/>
        <v>17</v>
      </c>
    </row>
    <row r="61" spans="1:25">
      <c r="A61" s="12">
        <v>57</v>
      </c>
      <c r="B61" s="16" t="s">
        <v>125</v>
      </c>
      <c r="C61" s="16"/>
      <c r="D61" s="16"/>
      <c r="E61" s="12" t="s">
        <v>176</v>
      </c>
      <c r="F61" s="12">
        <v>2</v>
      </c>
      <c r="G61" s="17">
        <v>14800000</v>
      </c>
      <c r="H61" s="14" t="s">
        <v>8</v>
      </c>
      <c r="I61" s="15" t="s">
        <v>116</v>
      </c>
      <c r="J61" s="37">
        <v>0</v>
      </c>
      <c r="K61" s="37">
        <v>400000</v>
      </c>
      <c r="L61" s="37">
        <v>1200000</v>
      </c>
      <c r="M61" s="37">
        <v>400000</v>
      </c>
      <c r="N61" s="37">
        <v>0</v>
      </c>
      <c r="O61" s="37">
        <v>1600000</v>
      </c>
      <c r="P61" s="39">
        <v>900000</v>
      </c>
      <c r="Q61" s="37">
        <v>400000</v>
      </c>
      <c r="R61" s="37">
        <v>2000000</v>
      </c>
      <c r="S61" s="37"/>
      <c r="T61" s="37"/>
      <c r="U61" s="37"/>
      <c r="V61" s="59">
        <f t="shared" si="3"/>
        <v>6900000</v>
      </c>
      <c r="W61" s="60">
        <f t="shared" si="0"/>
        <v>17.25</v>
      </c>
      <c r="X61" s="60">
        <f t="shared" si="1"/>
        <v>7</v>
      </c>
      <c r="Y61" s="60">
        <f t="shared" si="2"/>
        <v>18</v>
      </c>
    </row>
    <row r="62" spans="1:25">
      <c r="A62" s="12">
        <v>58</v>
      </c>
      <c r="B62" s="12" t="s">
        <v>126</v>
      </c>
      <c r="C62" s="12">
        <v>900371129</v>
      </c>
      <c r="D62" s="12">
        <v>3216464514</v>
      </c>
      <c r="E62" s="12" t="s">
        <v>347</v>
      </c>
      <c r="F62" s="12"/>
      <c r="G62" s="13">
        <v>2400000</v>
      </c>
      <c r="H62" s="14" t="s">
        <v>4</v>
      </c>
      <c r="I62" s="15" t="s">
        <v>116</v>
      </c>
      <c r="J62" s="37">
        <v>800000</v>
      </c>
      <c r="K62" s="37">
        <v>4800000</v>
      </c>
      <c r="L62" s="37">
        <v>1200000</v>
      </c>
      <c r="M62" s="37">
        <v>400000</v>
      </c>
      <c r="N62" s="37">
        <v>400000</v>
      </c>
      <c r="O62" s="37">
        <v>400000</v>
      </c>
      <c r="P62" s="39">
        <v>800000</v>
      </c>
      <c r="Q62" s="37">
        <v>0</v>
      </c>
      <c r="R62" s="37">
        <v>0</v>
      </c>
      <c r="S62" s="37"/>
      <c r="T62" s="37"/>
      <c r="U62" s="37"/>
      <c r="V62" s="59">
        <f t="shared" si="3"/>
        <v>8800000</v>
      </c>
      <c r="W62" s="60">
        <f t="shared" si="0"/>
        <v>22</v>
      </c>
      <c r="X62" s="60">
        <f t="shared" si="1"/>
        <v>7</v>
      </c>
      <c r="Y62" s="60">
        <f t="shared" si="2"/>
        <v>22</v>
      </c>
    </row>
    <row r="63" spans="1:25">
      <c r="A63" s="12">
        <v>59</v>
      </c>
      <c r="B63" s="16" t="s">
        <v>145</v>
      </c>
      <c r="C63" s="16"/>
      <c r="D63" s="16"/>
      <c r="E63" s="12" t="s">
        <v>182</v>
      </c>
      <c r="F63" s="16"/>
      <c r="G63" s="17">
        <v>440000</v>
      </c>
      <c r="H63" s="18" t="s">
        <v>4</v>
      </c>
      <c r="I63" s="15" t="s">
        <v>116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9">
        <v>0</v>
      </c>
      <c r="Q63" s="37">
        <v>0</v>
      </c>
      <c r="R63" s="37">
        <v>0</v>
      </c>
      <c r="S63" s="37"/>
      <c r="T63" s="37"/>
      <c r="U63" s="37"/>
      <c r="V63" s="59">
        <f t="shared" si="3"/>
        <v>0</v>
      </c>
      <c r="W63" s="60">
        <f t="shared" si="0"/>
        <v>0</v>
      </c>
      <c r="X63" s="60">
        <f t="shared" si="1"/>
        <v>0</v>
      </c>
      <c r="Y63" s="60">
        <f t="shared" si="2"/>
        <v>0</v>
      </c>
    </row>
    <row r="64" spans="1:25">
      <c r="A64" s="12">
        <v>60</v>
      </c>
      <c r="B64" s="16" t="s">
        <v>108</v>
      </c>
      <c r="C64" s="16"/>
      <c r="D64" s="16"/>
      <c r="E64" s="12" t="s">
        <v>169</v>
      </c>
      <c r="F64" s="12"/>
      <c r="G64" s="17">
        <v>1250000</v>
      </c>
      <c r="H64" s="14" t="s">
        <v>4</v>
      </c>
      <c r="I64" s="15" t="s">
        <v>116</v>
      </c>
      <c r="J64" s="37">
        <v>0</v>
      </c>
      <c r="K64" s="37">
        <v>100000</v>
      </c>
      <c r="L64" s="37">
        <v>0</v>
      </c>
      <c r="M64" s="37">
        <v>100000</v>
      </c>
      <c r="N64" s="37">
        <v>400000</v>
      </c>
      <c r="O64" s="37">
        <v>0</v>
      </c>
      <c r="P64" s="39">
        <v>0</v>
      </c>
      <c r="Q64" s="37">
        <v>240000</v>
      </c>
      <c r="R64" s="37">
        <v>310000</v>
      </c>
      <c r="S64" s="37"/>
      <c r="T64" s="37"/>
      <c r="U64" s="37"/>
      <c r="V64" s="59">
        <f t="shared" si="3"/>
        <v>1150000</v>
      </c>
      <c r="W64" s="60">
        <f t="shared" si="0"/>
        <v>2.875</v>
      </c>
      <c r="X64" s="60">
        <f t="shared" si="1"/>
        <v>5</v>
      </c>
      <c r="Y64" s="60">
        <f t="shared" si="2"/>
        <v>3</v>
      </c>
    </row>
    <row r="65" spans="1:25">
      <c r="A65" s="12">
        <v>61</v>
      </c>
      <c r="B65" s="16" t="s">
        <v>63</v>
      </c>
      <c r="C65" s="16"/>
      <c r="D65" s="16"/>
      <c r="E65" s="12" t="s">
        <v>170</v>
      </c>
      <c r="F65" s="16"/>
      <c r="G65" s="17">
        <v>1400000</v>
      </c>
      <c r="H65" s="18" t="s">
        <v>4</v>
      </c>
      <c r="I65" s="15" t="s">
        <v>116</v>
      </c>
      <c r="J65" s="37">
        <v>400000</v>
      </c>
      <c r="K65" s="37">
        <v>400000</v>
      </c>
      <c r="L65" s="37">
        <v>0</v>
      </c>
      <c r="M65" s="37">
        <v>400000</v>
      </c>
      <c r="N65" s="37">
        <v>0</v>
      </c>
      <c r="O65" s="37">
        <v>0</v>
      </c>
      <c r="P65" s="39">
        <v>0</v>
      </c>
      <c r="Q65" s="37">
        <v>0</v>
      </c>
      <c r="R65" s="37">
        <v>0</v>
      </c>
      <c r="S65" s="37"/>
      <c r="T65" s="37"/>
      <c r="U65" s="37"/>
      <c r="V65" s="59">
        <f t="shared" si="3"/>
        <v>1200000</v>
      </c>
      <c r="W65" s="60">
        <f t="shared" si="0"/>
        <v>3</v>
      </c>
      <c r="X65" s="60">
        <f t="shared" si="1"/>
        <v>3</v>
      </c>
      <c r="Y65" s="60">
        <f t="shared" si="2"/>
        <v>3</v>
      </c>
    </row>
    <row r="66" spans="1:25">
      <c r="A66" s="12">
        <v>62</v>
      </c>
      <c r="B66" s="16" t="s">
        <v>127</v>
      </c>
      <c r="C66" s="16"/>
      <c r="D66" s="16"/>
      <c r="E66" s="12" t="s">
        <v>177</v>
      </c>
      <c r="F66" s="16"/>
      <c r="G66" s="17">
        <v>9524000</v>
      </c>
      <c r="H66" s="18" t="s">
        <v>4</v>
      </c>
      <c r="I66" s="15" t="s">
        <v>116</v>
      </c>
      <c r="J66" s="37">
        <v>0</v>
      </c>
      <c r="K66" s="37">
        <v>0</v>
      </c>
      <c r="L66" s="37">
        <v>0</v>
      </c>
      <c r="M66" s="37">
        <v>2800000</v>
      </c>
      <c r="N66" s="37">
        <v>0</v>
      </c>
      <c r="O66" s="37">
        <v>1600000</v>
      </c>
      <c r="P66" s="39">
        <v>1600000</v>
      </c>
      <c r="Q66" s="37">
        <v>1600000</v>
      </c>
      <c r="R66" s="37">
        <v>0</v>
      </c>
      <c r="S66" s="37"/>
      <c r="T66" s="37"/>
      <c r="U66" s="37"/>
      <c r="V66" s="59">
        <f t="shared" si="3"/>
        <v>7600000</v>
      </c>
      <c r="W66" s="60">
        <f t="shared" si="0"/>
        <v>19</v>
      </c>
      <c r="X66" s="60">
        <f t="shared" si="1"/>
        <v>4</v>
      </c>
      <c r="Y66" s="60">
        <f t="shared" si="2"/>
        <v>19</v>
      </c>
    </row>
    <row r="67" spans="1:25">
      <c r="A67" s="12">
        <v>63</v>
      </c>
      <c r="B67" s="16" t="s">
        <v>528</v>
      </c>
      <c r="C67" s="16" t="s">
        <v>701</v>
      </c>
      <c r="D67" s="16">
        <v>3233712038</v>
      </c>
      <c r="E67" s="12" t="s">
        <v>171</v>
      </c>
      <c r="F67" s="16"/>
      <c r="G67" s="17">
        <v>7266250</v>
      </c>
      <c r="H67" s="18" t="s">
        <v>4</v>
      </c>
      <c r="I67" s="15" t="s">
        <v>116</v>
      </c>
      <c r="J67" s="37">
        <v>2130000</v>
      </c>
      <c r="K67" s="37">
        <v>2135000</v>
      </c>
      <c r="L67" s="37">
        <v>2080000</v>
      </c>
      <c r="M67" s="37">
        <v>0</v>
      </c>
      <c r="N67" s="37">
        <v>1910000</v>
      </c>
      <c r="O67" s="37">
        <v>2070000</v>
      </c>
      <c r="P67" s="39">
        <v>2100000</v>
      </c>
      <c r="Q67" s="37">
        <v>1900000</v>
      </c>
      <c r="R67" s="37">
        <v>2280000</v>
      </c>
      <c r="S67" s="37"/>
      <c r="T67" s="37"/>
      <c r="U67" s="37"/>
      <c r="V67" s="59">
        <f t="shared" si="3"/>
        <v>16605000</v>
      </c>
      <c r="W67" s="60">
        <f t="shared" si="0"/>
        <v>41.512500000000003</v>
      </c>
      <c r="X67" s="60">
        <f t="shared" si="1"/>
        <v>8</v>
      </c>
      <c r="Y67" s="60">
        <f t="shared" si="2"/>
        <v>42</v>
      </c>
    </row>
    <row r="68" spans="1:25">
      <c r="A68" s="12">
        <v>64</v>
      </c>
      <c r="B68" s="16" t="s">
        <v>82</v>
      </c>
      <c r="C68" s="16"/>
      <c r="D68" s="16"/>
      <c r="E68" s="12" t="s">
        <v>172</v>
      </c>
      <c r="F68" s="16"/>
      <c r="G68" s="17">
        <v>3645000</v>
      </c>
      <c r="H68" s="18" t="s">
        <v>4</v>
      </c>
      <c r="I68" s="15" t="s">
        <v>116</v>
      </c>
      <c r="J68" s="37">
        <v>570000</v>
      </c>
      <c r="K68" s="37">
        <v>400000</v>
      </c>
      <c r="L68" s="37">
        <v>0</v>
      </c>
      <c r="M68" s="37">
        <v>0</v>
      </c>
      <c r="N68" s="37">
        <v>0</v>
      </c>
      <c r="O68" s="37">
        <v>0</v>
      </c>
      <c r="P68" s="39">
        <v>400000</v>
      </c>
      <c r="Q68" s="37">
        <v>400000</v>
      </c>
      <c r="R68" s="37">
        <v>400000</v>
      </c>
      <c r="S68" s="37"/>
      <c r="T68" s="37"/>
      <c r="U68" s="37"/>
      <c r="V68" s="59">
        <f t="shared" si="3"/>
        <v>2170000</v>
      </c>
      <c r="W68" s="60">
        <f t="shared" si="0"/>
        <v>5.4249999999999998</v>
      </c>
      <c r="X68" s="60">
        <f t="shared" si="1"/>
        <v>5</v>
      </c>
      <c r="Y68" s="60">
        <f t="shared" si="2"/>
        <v>6</v>
      </c>
    </row>
    <row r="69" spans="1:25">
      <c r="A69" s="12">
        <v>65</v>
      </c>
      <c r="B69" s="16" t="s">
        <v>95</v>
      </c>
      <c r="C69" s="16"/>
      <c r="D69" s="16"/>
      <c r="E69" s="12" t="s">
        <v>173</v>
      </c>
      <c r="F69" s="16"/>
      <c r="G69" s="17">
        <v>5704059</v>
      </c>
      <c r="H69" s="18" t="s">
        <v>4</v>
      </c>
      <c r="I69" s="15" t="s">
        <v>116</v>
      </c>
      <c r="J69" s="37">
        <v>0</v>
      </c>
      <c r="K69" s="37">
        <v>2254243</v>
      </c>
      <c r="L69" s="37">
        <v>0</v>
      </c>
      <c r="M69" s="37">
        <v>0</v>
      </c>
      <c r="N69" s="37">
        <v>0</v>
      </c>
      <c r="O69" s="37">
        <v>0</v>
      </c>
      <c r="P69" s="39">
        <v>0</v>
      </c>
      <c r="Q69" s="37">
        <v>0</v>
      </c>
      <c r="R69" s="37">
        <v>0</v>
      </c>
      <c r="S69" s="37"/>
      <c r="T69" s="37"/>
      <c r="U69" s="37"/>
      <c r="V69" s="59">
        <f t="shared" si="3"/>
        <v>2254243</v>
      </c>
      <c r="W69" s="60">
        <f t="shared" ref="W69:W132" si="4">V69/400000</f>
        <v>5.6356074999999999</v>
      </c>
      <c r="X69" s="60">
        <f t="shared" ref="X69:X132" si="5">COUNTIF(J69:U69,"&gt;0")</f>
        <v>1</v>
      </c>
      <c r="Y69" s="60">
        <f t="shared" ref="Y69:Y132" si="6">ROUNDUP(W69,0)</f>
        <v>6</v>
      </c>
    </row>
    <row r="70" spans="1:25">
      <c r="A70" s="12">
        <v>66</v>
      </c>
      <c r="B70" s="12" t="s">
        <v>128</v>
      </c>
      <c r="C70" s="12">
        <v>900384157</v>
      </c>
      <c r="D70" s="12">
        <v>3103160465</v>
      </c>
      <c r="E70" s="12" t="s">
        <v>178</v>
      </c>
      <c r="F70" s="12"/>
      <c r="G70" s="13">
        <v>18700000</v>
      </c>
      <c r="H70" s="14" t="s">
        <v>4</v>
      </c>
      <c r="I70" s="15" t="s">
        <v>116</v>
      </c>
      <c r="J70" s="37">
        <v>4800000</v>
      </c>
      <c r="K70" s="37">
        <v>5440000</v>
      </c>
      <c r="L70" s="37">
        <v>5000000</v>
      </c>
      <c r="M70" s="37">
        <v>6000000</v>
      </c>
      <c r="N70" s="37">
        <v>0</v>
      </c>
      <c r="O70" s="37">
        <v>5060000</v>
      </c>
      <c r="P70" s="39">
        <v>4300000</v>
      </c>
      <c r="Q70" s="37">
        <v>850000</v>
      </c>
      <c r="R70" s="37">
        <v>720000</v>
      </c>
      <c r="S70" s="37"/>
      <c r="T70" s="37"/>
      <c r="U70" s="37"/>
      <c r="V70" s="59">
        <f t="shared" ref="V70:V133" si="7">SUM(J70:U70)</f>
        <v>32170000</v>
      </c>
      <c r="W70" s="60">
        <f t="shared" si="4"/>
        <v>80.424999999999997</v>
      </c>
      <c r="X70" s="60">
        <f t="shared" si="5"/>
        <v>8</v>
      </c>
      <c r="Y70" s="60">
        <f t="shared" si="6"/>
        <v>81</v>
      </c>
    </row>
    <row r="71" spans="1:25">
      <c r="A71" s="12">
        <v>67</v>
      </c>
      <c r="B71" s="12" t="s">
        <v>129</v>
      </c>
      <c r="C71" s="12">
        <v>900406774</v>
      </c>
      <c r="D71" s="12"/>
      <c r="E71" s="12" t="s">
        <v>179</v>
      </c>
      <c r="F71" s="12"/>
      <c r="G71" s="13">
        <v>62180000</v>
      </c>
      <c r="H71" s="14" t="s">
        <v>4</v>
      </c>
      <c r="I71" s="15" t="s">
        <v>116</v>
      </c>
      <c r="J71" s="37">
        <v>0</v>
      </c>
      <c r="K71" s="37">
        <v>10006000</v>
      </c>
      <c r="L71" s="37">
        <v>0</v>
      </c>
      <c r="M71" s="37">
        <v>12000000</v>
      </c>
      <c r="N71" s="37">
        <v>12400000</v>
      </c>
      <c r="O71" s="37">
        <v>10214000</v>
      </c>
      <c r="P71" s="39">
        <v>10000000</v>
      </c>
      <c r="Q71" s="37">
        <v>11000000</v>
      </c>
      <c r="R71" s="37">
        <v>0</v>
      </c>
      <c r="S71" s="37"/>
      <c r="T71" s="37"/>
      <c r="U71" s="37"/>
      <c r="V71" s="59">
        <f t="shared" si="7"/>
        <v>65620000</v>
      </c>
      <c r="W71" s="60">
        <f t="shared" si="4"/>
        <v>164.05</v>
      </c>
      <c r="X71" s="60">
        <f t="shared" si="5"/>
        <v>6</v>
      </c>
      <c r="Y71" s="60">
        <f t="shared" si="6"/>
        <v>165</v>
      </c>
    </row>
    <row r="72" spans="1:25">
      <c r="A72" s="12">
        <v>68</v>
      </c>
      <c r="B72" s="12" t="s">
        <v>141</v>
      </c>
      <c r="C72" s="12"/>
      <c r="D72" s="12"/>
      <c r="E72" s="12" t="s">
        <v>797</v>
      </c>
      <c r="F72" s="12"/>
      <c r="G72" s="13">
        <v>2110000</v>
      </c>
      <c r="H72" s="14" t="s">
        <v>4</v>
      </c>
      <c r="I72" s="15" t="s">
        <v>116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9">
        <v>0</v>
      </c>
      <c r="Q72" s="37">
        <v>0</v>
      </c>
      <c r="R72" s="37">
        <v>0</v>
      </c>
      <c r="S72" s="37"/>
      <c r="T72" s="37"/>
      <c r="U72" s="37"/>
      <c r="V72" s="59">
        <f t="shared" si="7"/>
        <v>0</v>
      </c>
      <c r="W72" s="60">
        <f t="shared" si="4"/>
        <v>0</v>
      </c>
      <c r="X72" s="60">
        <f t="shared" si="5"/>
        <v>0</v>
      </c>
      <c r="Y72" s="60">
        <f t="shared" si="6"/>
        <v>0</v>
      </c>
    </row>
    <row r="73" spans="1:25">
      <c r="A73" s="12">
        <v>69</v>
      </c>
      <c r="B73" s="16" t="s">
        <v>215</v>
      </c>
      <c r="C73" s="16"/>
      <c r="D73" s="16"/>
      <c r="E73" s="12" t="s">
        <v>646</v>
      </c>
      <c r="F73" s="16"/>
      <c r="G73" s="17">
        <v>7580000</v>
      </c>
      <c r="H73" s="18" t="s">
        <v>4</v>
      </c>
      <c r="I73" s="15" t="s">
        <v>116</v>
      </c>
      <c r="J73" s="37">
        <v>1200000</v>
      </c>
      <c r="K73" s="37">
        <v>400000</v>
      </c>
      <c r="L73" s="37">
        <v>400000</v>
      </c>
      <c r="M73" s="37">
        <v>400000</v>
      </c>
      <c r="N73" s="37">
        <v>0</v>
      </c>
      <c r="O73" s="37">
        <v>400000</v>
      </c>
      <c r="P73" s="39">
        <v>400000</v>
      </c>
      <c r="Q73" s="37">
        <v>0</v>
      </c>
      <c r="R73" s="37">
        <v>0</v>
      </c>
      <c r="S73" s="37"/>
      <c r="T73" s="37"/>
      <c r="U73" s="37"/>
      <c r="V73" s="59">
        <f t="shared" si="7"/>
        <v>3200000</v>
      </c>
      <c r="W73" s="60">
        <f t="shared" si="4"/>
        <v>8</v>
      </c>
      <c r="X73" s="60">
        <f t="shared" si="5"/>
        <v>6</v>
      </c>
      <c r="Y73" s="60">
        <f t="shared" si="6"/>
        <v>8</v>
      </c>
    </row>
    <row r="74" spans="1:25">
      <c r="A74" s="12">
        <v>70</v>
      </c>
      <c r="B74" s="12" t="s">
        <v>245</v>
      </c>
      <c r="C74" s="12"/>
      <c r="D74" s="12"/>
      <c r="E74" s="12" t="s">
        <v>158</v>
      </c>
      <c r="F74" s="12"/>
      <c r="G74" s="13">
        <v>2800000</v>
      </c>
      <c r="H74" s="14" t="s">
        <v>4</v>
      </c>
      <c r="I74" s="15" t="s">
        <v>116</v>
      </c>
      <c r="J74" s="37">
        <v>0</v>
      </c>
      <c r="K74" s="37">
        <v>0</v>
      </c>
      <c r="L74" s="37">
        <v>400000</v>
      </c>
      <c r="M74" s="38">
        <v>0</v>
      </c>
      <c r="N74" s="37">
        <v>0</v>
      </c>
      <c r="O74" s="37">
        <v>0</v>
      </c>
      <c r="P74" s="39">
        <v>800000</v>
      </c>
      <c r="Q74" s="37">
        <v>400000</v>
      </c>
      <c r="R74" s="37">
        <v>0</v>
      </c>
      <c r="S74" s="37"/>
      <c r="T74" s="37"/>
      <c r="U74" s="37"/>
      <c r="V74" s="59">
        <f t="shared" si="7"/>
        <v>1600000</v>
      </c>
      <c r="W74" s="60">
        <f t="shared" si="4"/>
        <v>4</v>
      </c>
      <c r="X74" s="60">
        <f t="shared" si="5"/>
        <v>3</v>
      </c>
      <c r="Y74" s="60">
        <f t="shared" si="6"/>
        <v>4</v>
      </c>
    </row>
    <row r="75" spans="1:25">
      <c r="A75" s="12">
        <v>71</v>
      </c>
      <c r="B75" s="12" t="s">
        <v>210</v>
      </c>
      <c r="C75" s="12"/>
      <c r="D75" s="12"/>
      <c r="E75" s="12" t="s">
        <v>237</v>
      </c>
      <c r="F75" s="12"/>
      <c r="G75" s="13">
        <v>3600000</v>
      </c>
      <c r="H75" s="14"/>
      <c r="I75" s="15" t="s">
        <v>116</v>
      </c>
      <c r="J75" s="37">
        <v>0</v>
      </c>
      <c r="K75" s="37">
        <v>0</v>
      </c>
      <c r="L75" s="37">
        <v>0</v>
      </c>
      <c r="M75" s="38">
        <v>0</v>
      </c>
      <c r="N75" s="37">
        <v>0</v>
      </c>
      <c r="O75" s="37">
        <v>0</v>
      </c>
      <c r="P75" s="39">
        <v>800000</v>
      </c>
      <c r="Q75" s="37">
        <v>0</v>
      </c>
      <c r="R75" s="37">
        <v>0</v>
      </c>
      <c r="S75" s="37"/>
      <c r="T75" s="37"/>
      <c r="U75" s="37"/>
      <c r="V75" s="59">
        <f t="shared" si="7"/>
        <v>800000</v>
      </c>
      <c r="W75" s="60">
        <f t="shared" si="4"/>
        <v>2</v>
      </c>
      <c r="X75" s="60">
        <f t="shared" si="5"/>
        <v>1</v>
      </c>
      <c r="Y75" s="60">
        <f t="shared" si="6"/>
        <v>2</v>
      </c>
    </row>
    <row r="76" spans="1:25">
      <c r="A76" s="12">
        <v>72</v>
      </c>
      <c r="B76" s="12" t="s">
        <v>211</v>
      </c>
      <c r="C76" s="12"/>
      <c r="D76" s="12"/>
      <c r="E76" s="12" t="s">
        <v>539</v>
      </c>
      <c r="F76" s="12"/>
      <c r="G76" s="13">
        <v>12090000</v>
      </c>
      <c r="H76" s="14"/>
      <c r="I76" s="15" t="s">
        <v>116</v>
      </c>
      <c r="J76" s="37">
        <v>0</v>
      </c>
      <c r="K76" s="37">
        <v>2000000</v>
      </c>
      <c r="L76" s="37">
        <v>800000</v>
      </c>
      <c r="M76" s="38">
        <v>0</v>
      </c>
      <c r="N76" s="37">
        <v>2000000</v>
      </c>
      <c r="O76" s="37">
        <v>2400000</v>
      </c>
      <c r="P76" s="39">
        <v>2400000</v>
      </c>
      <c r="Q76" s="37">
        <v>2000000</v>
      </c>
      <c r="R76" s="37">
        <v>2000000</v>
      </c>
      <c r="S76" s="37"/>
      <c r="T76" s="37"/>
      <c r="U76" s="37"/>
      <c r="V76" s="59">
        <f t="shared" si="7"/>
        <v>13600000</v>
      </c>
      <c r="W76" s="60">
        <f t="shared" si="4"/>
        <v>34</v>
      </c>
      <c r="X76" s="60">
        <f t="shared" si="5"/>
        <v>7</v>
      </c>
      <c r="Y76" s="60">
        <f t="shared" si="6"/>
        <v>34</v>
      </c>
    </row>
    <row r="77" spans="1:25">
      <c r="A77" s="12">
        <v>73</v>
      </c>
      <c r="B77" s="12" t="s">
        <v>212</v>
      </c>
      <c r="C77" s="12" t="s">
        <v>443</v>
      </c>
      <c r="D77" s="12">
        <v>3222616473</v>
      </c>
      <c r="E77" s="12" t="s">
        <v>239</v>
      </c>
      <c r="F77" s="12"/>
      <c r="G77" s="13">
        <v>8200000</v>
      </c>
      <c r="H77" s="14"/>
      <c r="I77" s="15" t="s">
        <v>116</v>
      </c>
      <c r="J77" s="37">
        <v>800000</v>
      </c>
      <c r="K77" s="37">
        <v>800000</v>
      </c>
      <c r="L77" s="37">
        <v>800000</v>
      </c>
      <c r="M77" s="37">
        <v>800000</v>
      </c>
      <c r="N77" s="37">
        <v>800000</v>
      </c>
      <c r="O77" s="37">
        <v>800000</v>
      </c>
      <c r="P77" s="39">
        <v>800000</v>
      </c>
      <c r="Q77" s="37">
        <v>1200000</v>
      </c>
      <c r="R77" s="37">
        <v>800000</v>
      </c>
      <c r="S77" s="37"/>
      <c r="T77" s="37"/>
      <c r="U77" s="37"/>
      <c r="V77" s="59">
        <f t="shared" si="7"/>
        <v>7600000</v>
      </c>
      <c r="W77" s="60">
        <f t="shared" si="4"/>
        <v>19</v>
      </c>
      <c r="X77" s="60">
        <f t="shared" si="5"/>
        <v>9</v>
      </c>
      <c r="Y77" s="60">
        <f t="shared" si="6"/>
        <v>19</v>
      </c>
    </row>
    <row r="78" spans="1:25">
      <c r="A78" s="12">
        <v>74</v>
      </c>
      <c r="B78" s="12" t="s">
        <v>213</v>
      </c>
      <c r="C78" s="12"/>
      <c r="D78" s="12"/>
      <c r="E78" s="12" t="s">
        <v>620</v>
      </c>
      <c r="F78" s="12">
        <v>1</v>
      </c>
      <c r="G78" s="13">
        <v>14000000</v>
      </c>
      <c r="H78" s="14" t="s">
        <v>8</v>
      </c>
      <c r="I78" s="15" t="s">
        <v>116</v>
      </c>
      <c r="J78" s="37">
        <v>7200000</v>
      </c>
      <c r="K78" s="37">
        <v>0</v>
      </c>
      <c r="L78" s="37">
        <v>0</v>
      </c>
      <c r="M78" s="37">
        <v>0</v>
      </c>
      <c r="N78" s="37">
        <v>0</v>
      </c>
      <c r="O78" s="37">
        <v>8000000</v>
      </c>
      <c r="P78" s="39">
        <v>8000000</v>
      </c>
      <c r="Q78" s="37">
        <v>0</v>
      </c>
      <c r="R78" s="37">
        <v>0</v>
      </c>
      <c r="S78" s="37"/>
      <c r="T78" s="37"/>
      <c r="U78" s="37"/>
      <c r="V78" s="59">
        <f t="shared" si="7"/>
        <v>23200000</v>
      </c>
      <c r="W78" s="60">
        <f t="shared" si="4"/>
        <v>58</v>
      </c>
      <c r="X78" s="60">
        <f t="shared" si="5"/>
        <v>3</v>
      </c>
      <c r="Y78" s="60">
        <f t="shared" si="6"/>
        <v>58</v>
      </c>
    </row>
    <row r="79" spans="1:25">
      <c r="A79" s="12">
        <v>75</v>
      </c>
      <c r="B79" s="12" t="s">
        <v>34</v>
      </c>
      <c r="C79" s="12"/>
      <c r="D79" s="12"/>
      <c r="E79" s="12" t="s">
        <v>257</v>
      </c>
      <c r="F79" s="12"/>
      <c r="G79" s="13">
        <v>200000</v>
      </c>
      <c r="H79" s="14" t="s">
        <v>5</v>
      </c>
      <c r="I79" s="15" t="s">
        <v>116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9">
        <v>0</v>
      </c>
      <c r="Q79" s="37">
        <v>0</v>
      </c>
      <c r="R79" s="37">
        <v>0</v>
      </c>
      <c r="S79" s="37"/>
      <c r="T79" s="37"/>
      <c r="U79" s="37"/>
      <c r="V79" s="59">
        <f t="shared" si="7"/>
        <v>0</v>
      </c>
      <c r="W79" s="60">
        <f t="shared" si="4"/>
        <v>0</v>
      </c>
      <c r="X79" s="60">
        <f t="shared" si="5"/>
        <v>0</v>
      </c>
      <c r="Y79" s="60">
        <f t="shared" si="6"/>
        <v>0</v>
      </c>
    </row>
    <row r="80" spans="1:25">
      <c r="A80" s="12">
        <v>76</v>
      </c>
      <c r="B80" s="12" t="s">
        <v>41</v>
      </c>
      <c r="C80" s="12"/>
      <c r="D80" s="12"/>
      <c r="E80" s="12" t="s">
        <v>561</v>
      </c>
      <c r="F80" s="12">
        <v>1</v>
      </c>
      <c r="G80" s="13">
        <v>50000</v>
      </c>
      <c r="H80" s="14" t="s">
        <v>8</v>
      </c>
      <c r="I80" s="15" t="s">
        <v>116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9">
        <v>0</v>
      </c>
      <c r="Q80" s="37">
        <v>0</v>
      </c>
      <c r="R80" s="37">
        <v>0</v>
      </c>
      <c r="S80" s="37"/>
      <c r="T80" s="37"/>
      <c r="U80" s="37"/>
      <c r="V80" s="59">
        <f t="shared" si="7"/>
        <v>0</v>
      </c>
      <c r="W80" s="60">
        <f t="shared" si="4"/>
        <v>0</v>
      </c>
      <c r="X80" s="60">
        <f t="shared" si="5"/>
        <v>0</v>
      </c>
      <c r="Y80" s="60">
        <f t="shared" si="6"/>
        <v>0</v>
      </c>
    </row>
    <row r="81" spans="1:25">
      <c r="A81" s="12">
        <v>77</v>
      </c>
      <c r="B81" s="16" t="s">
        <v>35</v>
      </c>
      <c r="C81" s="16"/>
      <c r="D81" s="16"/>
      <c r="E81" s="12" t="s">
        <v>257</v>
      </c>
      <c r="F81" s="16"/>
      <c r="G81" s="17">
        <v>1762000</v>
      </c>
      <c r="H81" s="18" t="s">
        <v>4</v>
      </c>
      <c r="I81" s="15" t="s">
        <v>116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9">
        <v>0</v>
      </c>
      <c r="Q81" s="37">
        <v>0</v>
      </c>
      <c r="R81" s="37">
        <v>0</v>
      </c>
      <c r="S81" s="37"/>
      <c r="T81" s="37"/>
      <c r="U81" s="37"/>
      <c r="V81" s="59">
        <f t="shared" si="7"/>
        <v>0</v>
      </c>
      <c r="W81" s="60">
        <f t="shared" si="4"/>
        <v>0</v>
      </c>
      <c r="X81" s="60">
        <f t="shared" si="5"/>
        <v>0</v>
      </c>
      <c r="Y81" s="60">
        <f t="shared" si="6"/>
        <v>0</v>
      </c>
    </row>
    <row r="82" spans="1:25">
      <c r="A82" s="12">
        <v>78</v>
      </c>
      <c r="B82" s="16" t="s">
        <v>83</v>
      </c>
      <c r="C82" s="12"/>
      <c r="D82" s="16"/>
      <c r="E82" s="12" t="s">
        <v>561</v>
      </c>
      <c r="F82" s="16"/>
      <c r="G82" s="17">
        <v>800000</v>
      </c>
      <c r="H82" s="18" t="s">
        <v>4</v>
      </c>
      <c r="I82" s="15" t="s">
        <v>116</v>
      </c>
      <c r="J82" s="37">
        <v>0</v>
      </c>
      <c r="K82" s="37">
        <v>0</v>
      </c>
      <c r="L82" s="37">
        <v>0</v>
      </c>
      <c r="M82" s="37">
        <v>420982</v>
      </c>
      <c r="N82" s="37">
        <v>0</v>
      </c>
      <c r="O82" s="37">
        <v>0</v>
      </c>
      <c r="P82" s="39">
        <v>0</v>
      </c>
      <c r="Q82" s="37">
        <v>0</v>
      </c>
      <c r="R82" s="37">
        <v>0</v>
      </c>
      <c r="S82" s="37"/>
      <c r="T82" s="37"/>
      <c r="U82" s="37"/>
      <c r="V82" s="59">
        <f t="shared" si="7"/>
        <v>420982</v>
      </c>
      <c r="W82" s="60">
        <f t="shared" si="4"/>
        <v>1.0524549999999999</v>
      </c>
      <c r="X82" s="60">
        <f t="shared" si="5"/>
        <v>1</v>
      </c>
      <c r="Y82" s="60">
        <f t="shared" si="6"/>
        <v>2</v>
      </c>
    </row>
    <row r="83" spans="1:25">
      <c r="A83" s="12">
        <v>79</v>
      </c>
      <c r="B83" s="16" t="s">
        <v>67</v>
      </c>
      <c r="C83" s="16">
        <v>1093783625</v>
      </c>
      <c r="D83" s="16">
        <v>3223202421</v>
      </c>
      <c r="E83" s="12" t="s">
        <v>239</v>
      </c>
      <c r="F83" s="16"/>
      <c r="G83" s="17">
        <v>6000000</v>
      </c>
      <c r="H83" s="18" t="s">
        <v>4</v>
      </c>
      <c r="I83" s="15" t="s">
        <v>116</v>
      </c>
      <c r="J83" s="37">
        <v>400000</v>
      </c>
      <c r="K83" s="37">
        <v>1600000</v>
      </c>
      <c r="L83" s="37">
        <v>800000</v>
      </c>
      <c r="M83" s="37">
        <v>1200000</v>
      </c>
      <c r="N83" s="37">
        <v>1200000</v>
      </c>
      <c r="O83" s="37">
        <v>1200000</v>
      </c>
      <c r="P83" s="39">
        <v>1200000</v>
      </c>
      <c r="Q83" s="37">
        <v>1200000</v>
      </c>
      <c r="R83" s="37">
        <v>1200000</v>
      </c>
      <c r="S83" s="37"/>
      <c r="T83" s="37"/>
      <c r="U83" s="37"/>
      <c r="V83" s="59">
        <f t="shared" si="7"/>
        <v>10000000</v>
      </c>
      <c r="W83" s="60">
        <f t="shared" si="4"/>
        <v>25</v>
      </c>
      <c r="X83" s="60">
        <f t="shared" si="5"/>
        <v>9</v>
      </c>
      <c r="Y83" s="60">
        <f t="shared" si="6"/>
        <v>25</v>
      </c>
    </row>
    <row r="84" spans="1:25">
      <c r="A84" s="12">
        <v>80</v>
      </c>
      <c r="B84" s="12" t="s">
        <v>97</v>
      </c>
      <c r="C84" s="12">
        <v>79477468</v>
      </c>
      <c r="D84" s="12">
        <v>3185861284</v>
      </c>
      <c r="E84" s="12" t="s">
        <v>472</v>
      </c>
      <c r="F84" s="12"/>
      <c r="G84" s="13">
        <v>4240000</v>
      </c>
      <c r="H84" s="14" t="s">
        <v>4</v>
      </c>
      <c r="I84" s="15" t="s">
        <v>116</v>
      </c>
      <c r="J84" s="37">
        <v>400000</v>
      </c>
      <c r="K84" s="37">
        <v>400000</v>
      </c>
      <c r="L84" s="37">
        <v>300000</v>
      </c>
      <c r="M84" s="37">
        <v>0</v>
      </c>
      <c r="N84" s="37">
        <v>300000</v>
      </c>
      <c r="O84" s="37">
        <v>300000</v>
      </c>
      <c r="P84" s="39">
        <v>400000</v>
      </c>
      <c r="Q84" s="37">
        <v>300000</v>
      </c>
      <c r="R84" s="37">
        <v>600000</v>
      </c>
      <c r="S84" s="37"/>
      <c r="T84" s="37"/>
      <c r="U84" s="37"/>
      <c r="V84" s="59">
        <f t="shared" si="7"/>
        <v>3000000</v>
      </c>
      <c r="W84" s="60">
        <f t="shared" si="4"/>
        <v>7.5</v>
      </c>
      <c r="X84" s="60">
        <f t="shared" si="5"/>
        <v>8</v>
      </c>
      <c r="Y84" s="60">
        <f t="shared" si="6"/>
        <v>8</v>
      </c>
    </row>
    <row r="85" spans="1:25">
      <c r="A85" s="12">
        <v>81</v>
      </c>
      <c r="B85" s="16" t="s">
        <v>37</v>
      </c>
      <c r="C85" s="16">
        <v>12135690</v>
      </c>
      <c r="D85" s="16"/>
      <c r="E85" s="12" t="s">
        <v>175</v>
      </c>
      <c r="F85" s="16"/>
      <c r="G85" s="17">
        <v>1300000</v>
      </c>
      <c r="H85" s="18" t="s">
        <v>8</v>
      </c>
      <c r="I85" s="15" t="s">
        <v>116</v>
      </c>
      <c r="J85" s="37">
        <v>401000</v>
      </c>
      <c r="K85" s="37">
        <v>0</v>
      </c>
      <c r="L85" s="37">
        <v>0</v>
      </c>
      <c r="M85" s="37">
        <v>1000000</v>
      </c>
      <c r="N85" s="37">
        <v>0</v>
      </c>
      <c r="O85" s="37">
        <v>400000</v>
      </c>
      <c r="P85" s="39">
        <v>800000</v>
      </c>
      <c r="Q85" s="37">
        <v>0</v>
      </c>
      <c r="R85" s="37">
        <v>800000</v>
      </c>
      <c r="S85" s="37"/>
      <c r="T85" s="37"/>
      <c r="U85" s="37"/>
      <c r="V85" s="59">
        <f t="shared" si="7"/>
        <v>3401000</v>
      </c>
      <c r="W85" s="60">
        <f t="shared" si="4"/>
        <v>8.5024999999999995</v>
      </c>
      <c r="X85" s="60">
        <f t="shared" si="5"/>
        <v>5</v>
      </c>
      <c r="Y85" s="60">
        <f t="shared" si="6"/>
        <v>9</v>
      </c>
    </row>
    <row r="86" spans="1:25">
      <c r="A86" s="12">
        <v>82</v>
      </c>
      <c r="B86" s="12" t="s">
        <v>100</v>
      </c>
      <c r="C86" s="12"/>
      <c r="D86" s="12"/>
      <c r="E86" s="12" t="s">
        <v>561</v>
      </c>
      <c r="F86" s="12"/>
      <c r="G86" s="13">
        <v>420000</v>
      </c>
      <c r="H86" s="14" t="s">
        <v>4</v>
      </c>
      <c r="I86" s="15" t="s">
        <v>116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9">
        <v>0</v>
      </c>
      <c r="Q86" s="37">
        <v>0</v>
      </c>
      <c r="R86" s="37">
        <v>0</v>
      </c>
      <c r="S86" s="37"/>
      <c r="T86" s="37"/>
      <c r="U86" s="37"/>
      <c r="V86" s="59">
        <f t="shared" si="7"/>
        <v>0</v>
      </c>
      <c r="W86" s="60">
        <f t="shared" si="4"/>
        <v>0</v>
      </c>
      <c r="X86" s="60">
        <f t="shared" si="5"/>
        <v>0</v>
      </c>
      <c r="Y86" s="60">
        <f t="shared" si="6"/>
        <v>0</v>
      </c>
    </row>
    <row r="87" spans="1:25">
      <c r="A87" s="12">
        <v>83</v>
      </c>
      <c r="B87" s="12" t="s">
        <v>138</v>
      </c>
      <c r="C87" s="12">
        <v>1128400756</v>
      </c>
      <c r="D87" s="12">
        <v>3043640493</v>
      </c>
      <c r="E87" s="12" t="s">
        <v>253</v>
      </c>
      <c r="F87" s="12"/>
      <c r="G87" s="13">
        <v>2000000</v>
      </c>
      <c r="H87" s="14" t="s">
        <v>4</v>
      </c>
      <c r="I87" s="15" t="s">
        <v>116</v>
      </c>
      <c r="J87" s="37">
        <v>0</v>
      </c>
      <c r="K87" s="37">
        <v>0</v>
      </c>
      <c r="L87" s="37">
        <v>0</v>
      </c>
      <c r="M87" s="38">
        <v>400000</v>
      </c>
      <c r="N87" s="37">
        <v>0</v>
      </c>
      <c r="O87" s="37">
        <v>0</v>
      </c>
      <c r="P87" s="39">
        <v>0</v>
      </c>
      <c r="Q87" s="37">
        <v>0</v>
      </c>
      <c r="R87" s="37">
        <v>0</v>
      </c>
      <c r="S87" s="37"/>
      <c r="T87" s="37"/>
      <c r="U87" s="37"/>
      <c r="V87" s="59">
        <f t="shared" si="7"/>
        <v>400000</v>
      </c>
      <c r="W87" s="60">
        <f t="shared" si="4"/>
        <v>1</v>
      </c>
      <c r="X87" s="60">
        <f t="shared" si="5"/>
        <v>1</v>
      </c>
      <c r="Y87" s="60">
        <f t="shared" si="6"/>
        <v>1</v>
      </c>
    </row>
    <row r="88" spans="1:25">
      <c r="A88" s="12">
        <v>84</v>
      </c>
      <c r="B88" s="12" t="s">
        <v>191</v>
      </c>
      <c r="C88" s="12"/>
      <c r="D88" s="12"/>
      <c r="E88" s="12"/>
      <c r="F88" s="12"/>
      <c r="G88" s="13">
        <v>4000000</v>
      </c>
      <c r="H88" s="13"/>
      <c r="I88" s="15" t="s">
        <v>116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9">
        <v>0</v>
      </c>
      <c r="Q88" s="37">
        <v>0</v>
      </c>
      <c r="R88" s="37">
        <v>0</v>
      </c>
      <c r="S88" s="37"/>
      <c r="T88" s="37"/>
      <c r="U88" s="37"/>
      <c r="V88" s="59">
        <f t="shared" si="7"/>
        <v>0</v>
      </c>
      <c r="W88" s="60">
        <f t="shared" si="4"/>
        <v>0</v>
      </c>
      <c r="X88" s="60">
        <f t="shared" si="5"/>
        <v>0</v>
      </c>
      <c r="Y88" s="60">
        <f t="shared" si="6"/>
        <v>0</v>
      </c>
    </row>
    <row r="89" spans="1:25">
      <c r="A89" s="12">
        <v>85</v>
      </c>
      <c r="B89" s="16" t="s">
        <v>134</v>
      </c>
      <c r="C89" s="16">
        <v>13838106</v>
      </c>
      <c r="D89" s="16">
        <v>3158359949</v>
      </c>
      <c r="E89" s="12" t="s">
        <v>547</v>
      </c>
      <c r="F89" s="16">
        <v>2</v>
      </c>
      <c r="G89" s="17">
        <v>4300000</v>
      </c>
      <c r="H89" s="18" t="s">
        <v>13</v>
      </c>
      <c r="I89" s="15" t="s">
        <v>116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37">
        <v>0</v>
      </c>
      <c r="P89" s="39">
        <v>0</v>
      </c>
      <c r="Q89" s="37">
        <v>0</v>
      </c>
      <c r="R89" s="37">
        <v>0</v>
      </c>
      <c r="S89" s="37"/>
      <c r="T89" s="37"/>
      <c r="U89" s="37"/>
      <c r="V89" s="59">
        <f t="shared" si="7"/>
        <v>0</v>
      </c>
      <c r="W89" s="60">
        <f t="shared" si="4"/>
        <v>0</v>
      </c>
      <c r="X89" s="60">
        <f t="shared" si="5"/>
        <v>0</v>
      </c>
      <c r="Y89" s="60">
        <f t="shared" si="6"/>
        <v>0</v>
      </c>
    </row>
    <row r="90" spans="1:25">
      <c r="A90" s="12">
        <v>86</v>
      </c>
      <c r="B90" s="16" t="s">
        <v>80</v>
      </c>
      <c r="C90" s="16">
        <v>91249777</v>
      </c>
      <c r="D90" s="16"/>
      <c r="E90" s="12"/>
      <c r="F90" s="16"/>
      <c r="G90" s="17">
        <v>3600000</v>
      </c>
      <c r="H90" s="18" t="s">
        <v>4</v>
      </c>
      <c r="I90" s="15" t="s">
        <v>116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9">
        <v>0</v>
      </c>
      <c r="Q90" s="37">
        <v>0</v>
      </c>
      <c r="R90" s="37">
        <v>0</v>
      </c>
      <c r="S90" s="37"/>
      <c r="T90" s="37"/>
      <c r="U90" s="37"/>
      <c r="V90" s="59">
        <f t="shared" si="7"/>
        <v>0</v>
      </c>
      <c r="W90" s="60">
        <f t="shared" si="4"/>
        <v>0</v>
      </c>
      <c r="X90" s="60">
        <f t="shared" si="5"/>
        <v>0</v>
      </c>
      <c r="Y90" s="60">
        <f t="shared" si="6"/>
        <v>0</v>
      </c>
    </row>
    <row r="91" spans="1:25">
      <c r="A91" s="12">
        <v>87</v>
      </c>
      <c r="B91" s="16" t="s">
        <v>78</v>
      </c>
      <c r="C91" s="16"/>
      <c r="D91" s="16"/>
      <c r="E91" s="12"/>
      <c r="F91" s="16"/>
      <c r="G91" s="17">
        <v>400000</v>
      </c>
      <c r="H91" s="18" t="s">
        <v>4</v>
      </c>
      <c r="I91" s="15" t="s">
        <v>116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9">
        <v>0</v>
      </c>
      <c r="Q91" s="37">
        <v>0</v>
      </c>
      <c r="R91" s="37">
        <v>0</v>
      </c>
      <c r="S91" s="37"/>
      <c r="T91" s="37"/>
      <c r="U91" s="37"/>
      <c r="V91" s="59">
        <f t="shared" si="7"/>
        <v>0</v>
      </c>
      <c r="W91" s="60">
        <f t="shared" si="4"/>
        <v>0</v>
      </c>
      <c r="X91" s="60">
        <f t="shared" si="5"/>
        <v>0</v>
      </c>
      <c r="Y91" s="60">
        <f t="shared" si="6"/>
        <v>0</v>
      </c>
    </row>
    <row r="92" spans="1:25">
      <c r="A92" s="12">
        <v>88</v>
      </c>
      <c r="B92" s="16" t="s">
        <v>68</v>
      </c>
      <c r="C92" s="16"/>
      <c r="D92" s="16"/>
      <c r="E92" s="12"/>
      <c r="F92" s="12"/>
      <c r="G92" s="17">
        <v>860000</v>
      </c>
      <c r="H92" s="14" t="s">
        <v>4</v>
      </c>
      <c r="I92" s="15" t="s">
        <v>116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9">
        <v>0</v>
      </c>
      <c r="Q92" s="37">
        <v>0</v>
      </c>
      <c r="R92" s="37">
        <v>0</v>
      </c>
      <c r="S92" s="37"/>
      <c r="T92" s="37"/>
      <c r="U92" s="37"/>
      <c r="V92" s="59">
        <f t="shared" si="7"/>
        <v>0</v>
      </c>
      <c r="W92" s="60">
        <f t="shared" si="4"/>
        <v>0</v>
      </c>
      <c r="X92" s="60">
        <f t="shared" si="5"/>
        <v>0</v>
      </c>
      <c r="Y92" s="60">
        <f t="shared" si="6"/>
        <v>0</v>
      </c>
    </row>
    <row r="93" spans="1:25">
      <c r="A93" s="12">
        <v>89</v>
      </c>
      <c r="B93" s="12" t="s">
        <v>52</v>
      </c>
      <c r="C93" s="12">
        <v>15374739</v>
      </c>
      <c r="D93" s="12"/>
      <c r="E93" s="12" t="s">
        <v>561</v>
      </c>
      <c r="F93" s="12"/>
      <c r="G93" s="13">
        <v>4140000</v>
      </c>
      <c r="H93" s="14" t="s">
        <v>8</v>
      </c>
      <c r="I93" s="15" t="s">
        <v>116</v>
      </c>
      <c r="J93" s="37">
        <v>0</v>
      </c>
      <c r="K93" s="37">
        <v>0</v>
      </c>
      <c r="L93" s="37">
        <v>800000</v>
      </c>
      <c r="M93" s="37">
        <v>400000</v>
      </c>
      <c r="N93" s="37">
        <v>0</v>
      </c>
      <c r="O93" s="37">
        <v>400000</v>
      </c>
      <c r="P93" s="39">
        <v>0</v>
      </c>
      <c r="Q93" s="37">
        <v>0</v>
      </c>
      <c r="R93" s="37">
        <v>0</v>
      </c>
      <c r="S93" s="37"/>
      <c r="T93" s="37"/>
      <c r="U93" s="37"/>
      <c r="V93" s="59">
        <f t="shared" si="7"/>
        <v>1600000</v>
      </c>
      <c r="W93" s="60">
        <f t="shared" si="4"/>
        <v>4</v>
      </c>
      <c r="X93" s="60">
        <f t="shared" si="5"/>
        <v>3</v>
      </c>
      <c r="Y93" s="60">
        <f t="shared" si="6"/>
        <v>4</v>
      </c>
    </row>
    <row r="94" spans="1:25">
      <c r="A94" s="12">
        <v>90</v>
      </c>
      <c r="B94" s="12" t="s">
        <v>48</v>
      </c>
      <c r="C94" s="12"/>
      <c r="D94" s="12"/>
      <c r="E94" s="12"/>
      <c r="F94" s="12">
        <v>1</v>
      </c>
      <c r="G94" s="13">
        <v>400000</v>
      </c>
      <c r="H94" s="14" t="s">
        <v>4</v>
      </c>
      <c r="I94" s="15" t="s">
        <v>116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9">
        <v>0</v>
      </c>
      <c r="Q94" s="37">
        <v>0</v>
      </c>
      <c r="R94" s="37">
        <v>0</v>
      </c>
      <c r="S94" s="37"/>
      <c r="T94" s="37"/>
      <c r="U94" s="37"/>
      <c r="V94" s="59">
        <f t="shared" si="7"/>
        <v>0</v>
      </c>
      <c r="W94" s="60">
        <f t="shared" si="4"/>
        <v>0</v>
      </c>
      <c r="X94" s="60">
        <f t="shared" si="5"/>
        <v>0</v>
      </c>
      <c r="Y94" s="60">
        <f t="shared" si="6"/>
        <v>0</v>
      </c>
    </row>
    <row r="95" spans="1:25">
      <c r="A95" s="12">
        <v>91</v>
      </c>
      <c r="B95" s="12" t="s">
        <v>45</v>
      </c>
      <c r="C95" s="12"/>
      <c r="D95" s="12"/>
      <c r="E95" s="12"/>
      <c r="F95" s="12"/>
      <c r="G95" s="13">
        <v>1600000</v>
      </c>
      <c r="H95" s="14" t="s">
        <v>8</v>
      </c>
      <c r="I95" s="15" t="s">
        <v>116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0</v>
      </c>
      <c r="P95" s="39">
        <v>0</v>
      </c>
      <c r="Q95" s="37">
        <v>0</v>
      </c>
      <c r="R95" s="37">
        <v>0</v>
      </c>
      <c r="S95" s="37"/>
      <c r="T95" s="37"/>
      <c r="U95" s="37"/>
      <c r="V95" s="59">
        <f t="shared" si="7"/>
        <v>0</v>
      </c>
      <c r="W95" s="60">
        <f t="shared" si="4"/>
        <v>0</v>
      </c>
      <c r="X95" s="60">
        <f t="shared" si="5"/>
        <v>0</v>
      </c>
      <c r="Y95" s="60">
        <f t="shared" si="6"/>
        <v>0</v>
      </c>
    </row>
    <row r="96" spans="1:25">
      <c r="A96" s="12">
        <v>92</v>
      </c>
      <c r="B96" s="19" t="s">
        <v>24</v>
      </c>
      <c r="C96" s="19">
        <v>1077426534</v>
      </c>
      <c r="D96" s="19">
        <v>3113654554</v>
      </c>
      <c r="E96" s="12" t="s">
        <v>347</v>
      </c>
      <c r="F96" s="12">
        <v>1</v>
      </c>
      <c r="G96" s="13">
        <v>1600000</v>
      </c>
      <c r="H96" s="14" t="s">
        <v>4</v>
      </c>
      <c r="I96" s="15" t="s">
        <v>116</v>
      </c>
      <c r="J96" s="37">
        <v>0</v>
      </c>
      <c r="K96" s="37">
        <v>0</v>
      </c>
      <c r="L96" s="37">
        <v>0</v>
      </c>
      <c r="M96" s="37">
        <v>800000</v>
      </c>
      <c r="N96" s="37">
        <v>0</v>
      </c>
      <c r="O96" s="37">
        <v>0</v>
      </c>
      <c r="P96" s="39">
        <v>0</v>
      </c>
      <c r="Q96" s="37">
        <v>0</v>
      </c>
      <c r="R96" s="37">
        <v>0</v>
      </c>
      <c r="S96" s="37"/>
      <c r="T96" s="37"/>
      <c r="U96" s="37"/>
      <c r="V96" s="59">
        <f t="shared" si="7"/>
        <v>800000</v>
      </c>
      <c r="W96" s="60">
        <f t="shared" si="4"/>
        <v>2</v>
      </c>
      <c r="X96" s="60">
        <f t="shared" si="5"/>
        <v>1</v>
      </c>
      <c r="Y96" s="60">
        <f t="shared" si="6"/>
        <v>2</v>
      </c>
    </row>
    <row r="97" spans="1:25">
      <c r="A97" s="12">
        <v>93</v>
      </c>
      <c r="B97" s="16" t="s">
        <v>73</v>
      </c>
      <c r="C97" s="16">
        <v>70326161</v>
      </c>
      <c r="D97" s="16">
        <v>3017435330</v>
      </c>
      <c r="E97" s="12" t="s">
        <v>562</v>
      </c>
      <c r="F97" s="12"/>
      <c r="G97" s="17">
        <v>1200000</v>
      </c>
      <c r="H97" s="14" t="s">
        <v>4</v>
      </c>
      <c r="I97" s="15" t="s">
        <v>116</v>
      </c>
      <c r="J97" s="37">
        <v>400000</v>
      </c>
      <c r="K97" s="37">
        <v>400000</v>
      </c>
      <c r="L97" s="37">
        <v>400000</v>
      </c>
      <c r="M97" s="37">
        <v>400000</v>
      </c>
      <c r="N97" s="37">
        <v>400000</v>
      </c>
      <c r="O97" s="37">
        <v>400000</v>
      </c>
      <c r="P97" s="39">
        <v>0</v>
      </c>
      <c r="Q97" s="37">
        <v>400000</v>
      </c>
      <c r="R97" s="37">
        <v>0</v>
      </c>
      <c r="S97" s="37"/>
      <c r="T97" s="37"/>
      <c r="U97" s="37"/>
      <c r="V97" s="59">
        <f t="shared" si="7"/>
        <v>2800000</v>
      </c>
      <c r="W97" s="60">
        <f t="shared" si="4"/>
        <v>7</v>
      </c>
      <c r="X97" s="60">
        <f t="shared" si="5"/>
        <v>7</v>
      </c>
      <c r="Y97" s="60">
        <f t="shared" si="6"/>
        <v>7</v>
      </c>
    </row>
    <row r="98" spans="1:25">
      <c r="A98" s="12">
        <v>94</v>
      </c>
      <c r="B98" s="16" t="s">
        <v>132</v>
      </c>
      <c r="C98" s="16"/>
      <c r="D98" s="16"/>
      <c r="E98" s="12" t="s">
        <v>798</v>
      </c>
      <c r="F98" s="16"/>
      <c r="G98" s="17">
        <v>400000</v>
      </c>
      <c r="H98" s="18"/>
      <c r="I98" s="15" t="s">
        <v>116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9">
        <v>400000</v>
      </c>
      <c r="Q98" s="37">
        <v>400000</v>
      </c>
      <c r="R98" s="37">
        <v>0</v>
      </c>
      <c r="S98" s="37"/>
      <c r="T98" s="37"/>
      <c r="U98" s="37"/>
      <c r="V98" s="59">
        <f t="shared" si="7"/>
        <v>800000</v>
      </c>
      <c r="W98" s="60">
        <f t="shared" si="4"/>
        <v>2</v>
      </c>
      <c r="X98" s="60">
        <f t="shared" si="5"/>
        <v>2</v>
      </c>
      <c r="Y98" s="60">
        <f t="shared" si="6"/>
        <v>2</v>
      </c>
    </row>
    <row r="99" spans="1:25">
      <c r="A99" s="12">
        <v>95</v>
      </c>
      <c r="B99" s="16" t="s">
        <v>81</v>
      </c>
      <c r="C99" s="16">
        <v>77037962</v>
      </c>
      <c r="D99" s="16">
        <v>3108469718</v>
      </c>
      <c r="E99" s="12" t="s">
        <v>348</v>
      </c>
      <c r="F99" s="16"/>
      <c r="G99" s="17">
        <v>8000000</v>
      </c>
      <c r="H99" s="18" t="s">
        <v>4</v>
      </c>
      <c r="I99" s="15" t="s">
        <v>116</v>
      </c>
      <c r="J99" s="37">
        <v>2400000</v>
      </c>
      <c r="K99" s="37">
        <v>2400000</v>
      </c>
      <c r="L99" s="37">
        <v>0</v>
      </c>
      <c r="M99" s="37">
        <v>0</v>
      </c>
      <c r="N99" s="37">
        <v>2400000</v>
      </c>
      <c r="O99" s="37">
        <v>2400000</v>
      </c>
      <c r="P99" s="39">
        <v>0</v>
      </c>
      <c r="Q99" s="37">
        <v>0</v>
      </c>
      <c r="R99" s="37">
        <v>0</v>
      </c>
      <c r="S99" s="37"/>
      <c r="T99" s="37"/>
      <c r="U99" s="37"/>
      <c r="V99" s="59">
        <f t="shared" si="7"/>
        <v>9600000</v>
      </c>
      <c r="W99" s="60">
        <f t="shared" si="4"/>
        <v>24</v>
      </c>
      <c r="X99" s="60">
        <f t="shared" si="5"/>
        <v>4</v>
      </c>
      <c r="Y99" s="60">
        <f t="shared" si="6"/>
        <v>24</v>
      </c>
    </row>
    <row r="100" spans="1:25">
      <c r="A100" s="12">
        <v>96</v>
      </c>
      <c r="B100" s="16" t="s">
        <v>112</v>
      </c>
      <c r="C100" s="16"/>
      <c r="D100" s="16"/>
      <c r="E100" s="12"/>
      <c r="F100" s="12"/>
      <c r="G100" s="17">
        <v>10000000</v>
      </c>
      <c r="H100" s="14" t="s">
        <v>4</v>
      </c>
      <c r="I100" s="15" t="s">
        <v>116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9">
        <v>0</v>
      </c>
      <c r="Q100" s="37">
        <v>0</v>
      </c>
      <c r="R100" s="37">
        <v>0</v>
      </c>
      <c r="S100" s="37"/>
      <c r="T100" s="37"/>
      <c r="U100" s="37"/>
      <c r="V100" s="59">
        <f t="shared" si="7"/>
        <v>0</v>
      </c>
      <c r="W100" s="60">
        <f t="shared" si="4"/>
        <v>0</v>
      </c>
      <c r="X100" s="60">
        <f t="shared" si="5"/>
        <v>0</v>
      </c>
      <c r="Y100" s="60">
        <f t="shared" si="6"/>
        <v>0</v>
      </c>
    </row>
    <row r="101" spans="1:25">
      <c r="A101" s="12">
        <v>97</v>
      </c>
      <c r="B101" s="12" t="s">
        <v>55</v>
      </c>
      <c r="C101" s="12"/>
      <c r="D101" s="12"/>
      <c r="E101" s="12"/>
      <c r="F101" s="12"/>
      <c r="G101" s="13">
        <v>800000</v>
      </c>
      <c r="H101" s="13" t="s">
        <v>4</v>
      </c>
      <c r="I101" s="15" t="s">
        <v>116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9">
        <v>0</v>
      </c>
      <c r="Q101" s="37">
        <v>0</v>
      </c>
      <c r="R101" s="37">
        <v>0</v>
      </c>
      <c r="S101" s="37"/>
      <c r="T101" s="37"/>
      <c r="U101" s="37"/>
      <c r="V101" s="59">
        <f t="shared" si="7"/>
        <v>0</v>
      </c>
      <c r="W101" s="60">
        <f t="shared" si="4"/>
        <v>0</v>
      </c>
      <c r="X101" s="60">
        <f t="shared" si="5"/>
        <v>0</v>
      </c>
      <c r="Y101" s="60">
        <f t="shared" si="6"/>
        <v>0</v>
      </c>
    </row>
    <row r="102" spans="1:25">
      <c r="A102" s="12">
        <v>98</v>
      </c>
      <c r="B102" s="12" t="s">
        <v>25</v>
      </c>
      <c r="C102" s="12"/>
      <c r="D102" s="12"/>
      <c r="E102" s="12"/>
      <c r="F102" s="12">
        <v>3</v>
      </c>
      <c r="G102" s="13">
        <v>0</v>
      </c>
      <c r="H102" s="14" t="s">
        <v>13</v>
      </c>
      <c r="I102" s="15" t="s">
        <v>116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9">
        <v>0</v>
      </c>
      <c r="Q102" s="37">
        <v>0</v>
      </c>
      <c r="R102" s="37">
        <v>0</v>
      </c>
      <c r="S102" s="37"/>
      <c r="T102" s="37"/>
      <c r="U102" s="37"/>
      <c r="V102" s="59">
        <f t="shared" si="7"/>
        <v>0</v>
      </c>
      <c r="W102" s="60">
        <f t="shared" si="4"/>
        <v>0</v>
      </c>
      <c r="X102" s="60">
        <f t="shared" si="5"/>
        <v>0</v>
      </c>
      <c r="Y102" s="60">
        <f t="shared" si="6"/>
        <v>0</v>
      </c>
    </row>
    <row r="103" spans="1:25">
      <c r="A103" s="12">
        <v>99</v>
      </c>
      <c r="B103" s="12" t="s">
        <v>137</v>
      </c>
      <c r="C103" s="12"/>
      <c r="D103" s="12"/>
      <c r="E103" s="12" t="s">
        <v>547</v>
      </c>
      <c r="F103" s="12"/>
      <c r="G103" s="13">
        <v>800000</v>
      </c>
      <c r="H103" s="14" t="s">
        <v>4</v>
      </c>
      <c r="I103" s="15" t="s">
        <v>116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9">
        <v>0</v>
      </c>
      <c r="Q103" s="37">
        <v>0</v>
      </c>
      <c r="R103" s="37">
        <v>0</v>
      </c>
      <c r="S103" s="37"/>
      <c r="T103" s="37"/>
      <c r="U103" s="37"/>
      <c r="V103" s="59">
        <f t="shared" si="7"/>
        <v>0</v>
      </c>
      <c r="W103" s="60">
        <f t="shared" si="4"/>
        <v>0</v>
      </c>
      <c r="X103" s="60">
        <f t="shared" si="5"/>
        <v>0</v>
      </c>
      <c r="Y103" s="60">
        <f t="shared" si="6"/>
        <v>0</v>
      </c>
    </row>
    <row r="104" spans="1:25">
      <c r="A104" s="12">
        <v>100</v>
      </c>
      <c r="B104" s="12" t="s">
        <v>38</v>
      </c>
      <c r="C104" s="12">
        <v>1077424658</v>
      </c>
      <c r="D104" s="12">
        <v>3216464514</v>
      </c>
      <c r="E104" s="12" t="s">
        <v>347</v>
      </c>
      <c r="F104" s="12"/>
      <c r="G104" s="13">
        <v>4000000</v>
      </c>
      <c r="H104" s="14" t="s">
        <v>8</v>
      </c>
      <c r="I104" s="15" t="s">
        <v>116</v>
      </c>
      <c r="J104" s="37">
        <v>0</v>
      </c>
      <c r="K104" s="37">
        <v>1200000</v>
      </c>
      <c r="L104" s="37">
        <v>0</v>
      </c>
      <c r="M104" s="37">
        <v>0</v>
      </c>
      <c r="N104" s="37">
        <v>0</v>
      </c>
      <c r="O104" s="37">
        <v>0</v>
      </c>
      <c r="P104" s="39">
        <v>0</v>
      </c>
      <c r="Q104" s="37">
        <v>0</v>
      </c>
      <c r="R104" s="37">
        <v>0</v>
      </c>
      <c r="S104" s="37"/>
      <c r="T104" s="37"/>
      <c r="U104" s="37"/>
      <c r="V104" s="59">
        <f t="shared" si="7"/>
        <v>1200000</v>
      </c>
      <c r="W104" s="60">
        <f t="shared" si="4"/>
        <v>3</v>
      </c>
      <c r="X104" s="60">
        <f t="shared" si="5"/>
        <v>1</v>
      </c>
      <c r="Y104" s="60">
        <f t="shared" si="6"/>
        <v>3</v>
      </c>
    </row>
    <row r="105" spans="1:25">
      <c r="A105" s="12">
        <v>101</v>
      </c>
      <c r="B105" s="16" t="s">
        <v>26</v>
      </c>
      <c r="C105" s="16"/>
      <c r="D105" s="16"/>
      <c r="E105" s="12" t="s">
        <v>257</v>
      </c>
      <c r="F105" s="12">
        <v>2</v>
      </c>
      <c r="G105" s="13">
        <v>12800000</v>
      </c>
      <c r="H105" s="14" t="s">
        <v>7</v>
      </c>
      <c r="I105" s="15" t="s">
        <v>116</v>
      </c>
      <c r="J105" s="37">
        <v>800000</v>
      </c>
      <c r="K105" s="37">
        <v>800000</v>
      </c>
      <c r="L105" s="37">
        <v>800000</v>
      </c>
      <c r="M105" s="39">
        <v>800000</v>
      </c>
      <c r="N105" s="37">
        <v>800000</v>
      </c>
      <c r="O105" s="37">
        <v>800000</v>
      </c>
      <c r="P105" s="39">
        <v>800000</v>
      </c>
      <c r="Q105" s="37">
        <v>800000</v>
      </c>
      <c r="R105" s="37">
        <v>0</v>
      </c>
      <c r="S105" s="37"/>
      <c r="T105" s="37"/>
      <c r="U105" s="37"/>
      <c r="V105" s="59">
        <f t="shared" si="7"/>
        <v>6400000</v>
      </c>
      <c r="W105" s="60">
        <f t="shared" si="4"/>
        <v>16</v>
      </c>
      <c r="X105" s="60">
        <f t="shared" si="5"/>
        <v>8</v>
      </c>
      <c r="Y105" s="60">
        <f t="shared" si="6"/>
        <v>16</v>
      </c>
    </row>
    <row r="106" spans="1:25">
      <c r="A106" s="12">
        <v>102</v>
      </c>
      <c r="B106" s="12" t="s">
        <v>149</v>
      </c>
      <c r="C106" s="12"/>
      <c r="D106" s="12"/>
      <c r="E106" s="12" t="s">
        <v>257</v>
      </c>
      <c r="F106" s="12"/>
      <c r="G106" s="13">
        <v>200000</v>
      </c>
      <c r="H106" s="14"/>
      <c r="I106" s="15" t="s">
        <v>116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9">
        <v>0</v>
      </c>
      <c r="Q106" s="37">
        <v>0</v>
      </c>
      <c r="R106" s="37">
        <v>0</v>
      </c>
      <c r="S106" s="37"/>
      <c r="T106" s="37"/>
      <c r="U106" s="37"/>
      <c r="V106" s="59">
        <f t="shared" si="7"/>
        <v>0</v>
      </c>
      <c r="W106" s="60">
        <f t="shared" si="4"/>
        <v>0</v>
      </c>
      <c r="X106" s="60">
        <f t="shared" si="5"/>
        <v>0</v>
      </c>
      <c r="Y106" s="60">
        <f t="shared" si="6"/>
        <v>0</v>
      </c>
    </row>
    <row r="107" spans="1:25">
      <c r="A107" s="12">
        <v>103</v>
      </c>
      <c r="B107" s="12" t="s">
        <v>43</v>
      </c>
      <c r="C107" s="12"/>
      <c r="D107" s="12"/>
      <c r="E107" s="12" t="s">
        <v>257</v>
      </c>
      <c r="F107" s="12"/>
      <c r="G107" s="13">
        <v>200000</v>
      </c>
      <c r="H107" s="14" t="s">
        <v>5</v>
      </c>
      <c r="I107" s="15" t="s">
        <v>116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9">
        <v>0</v>
      </c>
      <c r="Q107" s="37">
        <v>0</v>
      </c>
      <c r="R107" s="37">
        <v>0</v>
      </c>
      <c r="S107" s="37"/>
      <c r="T107" s="37"/>
      <c r="U107" s="37"/>
      <c r="V107" s="59">
        <f t="shared" si="7"/>
        <v>0</v>
      </c>
      <c r="W107" s="60">
        <f t="shared" si="4"/>
        <v>0</v>
      </c>
      <c r="X107" s="60">
        <f t="shared" si="5"/>
        <v>0</v>
      </c>
      <c r="Y107" s="60">
        <f t="shared" si="6"/>
        <v>0</v>
      </c>
    </row>
    <row r="108" spans="1:25">
      <c r="A108" s="12">
        <v>104</v>
      </c>
      <c r="B108" s="16" t="s">
        <v>27</v>
      </c>
      <c r="C108" s="16"/>
      <c r="D108" s="16"/>
      <c r="E108" s="12" t="s">
        <v>257</v>
      </c>
      <c r="F108" s="12">
        <v>2</v>
      </c>
      <c r="G108" s="17">
        <v>2800000</v>
      </c>
      <c r="H108" s="14" t="s">
        <v>4</v>
      </c>
      <c r="I108" s="15" t="s">
        <v>116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9">
        <v>0</v>
      </c>
      <c r="Q108" s="37">
        <v>0</v>
      </c>
      <c r="R108" s="37">
        <v>0</v>
      </c>
      <c r="S108" s="37"/>
      <c r="T108" s="37"/>
      <c r="U108" s="37"/>
      <c r="V108" s="59">
        <f t="shared" si="7"/>
        <v>0</v>
      </c>
      <c r="W108" s="60">
        <f t="shared" si="4"/>
        <v>0</v>
      </c>
      <c r="X108" s="60">
        <f t="shared" si="5"/>
        <v>0</v>
      </c>
      <c r="Y108" s="60">
        <f t="shared" si="6"/>
        <v>0</v>
      </c>
    </row>
    <row r="109" spans="1:25">
      <c r="A109" s="12">
        <v>105</v>
      </c>
      <c r="B109" s="12" t="s">
        <v>59</v>
      </c>
      <c r="C109" s="12"/>
      <c r="D109" s="12"/>
      <c r="E109" s="12" t="s">
        <v>561</v>
      </c>
      <c r="F109" s="12"/>
      <c r="G109" s="13">
        <v>500000</v>
      </c>
      <c r="H109" s="14" t="s">
        <v>4</v>
      </c>
      <c r="I109" s="15" t="s">
        <v>116</v>
      </c>
      <c r="J109" s="37">
        <v>0</v>
      </c>
      <c r="K109" s="37">
        <v>0</v>
      </c>
      <c r="L109" s="37">
        <v>0</v>
      </c>
      <c r="M109" s="38">
        <v>0</v>
      </c>
      <c r="N109" s="37">
        <v>0</v>
      </c>
      <c r="O109" s="37">
        <v>0</v>
      </c>
      <c r="P109" s="39">
        <v>0</v>
      </c>
      <c r="Q109" s="37">
        <v>0</v>
      </c>
      <c r="R109" s="37">
        <v>0</v>
      </c>
      <c r="S109" s="37"/>
      <c r="T109" s="37"/>
      <c r="U109" s="37"/>
      <c r="V109" s="59">
        <f t="shared" si="7"/>
        <v>0</v>
      </c>
      <c r="W109" s="60">
        <f t="shared" si="4"/>
        <v>0</v>
      </c>
      <c r="X109" s="60">
        <f t="shared" si="5"/>
        <v>0</v>
      </c>
      <c r="Y109" s="60">
        <f t="shared" si="6"/>
        <v>0</v>
      </c>
    </row>
    <row r="110" spans="1:25">
      <c r="A110" s="12">
        <v>106</v>
      </c>
      <c r="B110" s="12" t="s">
        <v>189</v>
      </c>
      <c r="C110" s="12">
        <v>35601610</v>
      </c>
      <c r="D110" s="12">
        <v>3207593131</v>
      </c>
      <c r="E110" s="12" t="s">
        <v>347</v>
      </c>
      <c r="F110" s="12"/>
      <c r="G110" s="13">
        <v>800000</v>
      </c>
      <c r="H110" s="14"/>
      <c r="I110" s="15" t="s">
        <v>116</v>
      </c>
      <c r="J110" s="37">
        <v>0</v>
      </c>
      <c r="K110" s="37">
        <v>0</v>
      </c>
      <c r="L110" s="37">
        <v>0</v>
      </c>
      <c r="M110" s="37">
        <v>800000</v>
      </c>
      <c r="N110" s="37">
        <v>0</v>
      </c>
      <c r="O110" s="37">
        <v>800000</v>
      </c>
      <c r="P110" s="39">
        <v>0</v>
      </c>
      <c r="Q110" s="37">
        <v>0</v>
      </c>
      <c r="R110" s="37">
        <v>0</v>
      </c>
      <c r="S110" s="37"/>
      <c r="T110" s="37"/>
      <c r="U110" s="37"/>
      <c r="V110" s="59">
        <f t="shared" si="7"/>
        <v>1600000</v>
      </c>
      <c r="W110" s="60">
        <f t="shared" si="4"/>
        <v>4</v>
      </c>
      <c r="X110" s="60">
        <f t="shared" si="5"/>
        <v>2</v>
      </c>
      <c r="Y110" s="60">
        <f t="shared" si="6"/>
        <v>4</v>
      </c>
    </row>
    <row r="111" spans="1:25">
      <c r="A111" s="12">
        <v>107</v>
      </c>
      <c r="B111" s="12" t="s">
        <v>143</v>
      </c>
      <c r="C111" s="12">
        <v>1032464597</v>
      </c>
      <c r="D111" s="12" t="s">
        <v>444</v>
      </c>
      <c r="E111" s="12" t="s">
        <v>445</v>
      </c>
      <c r="F111" s="12"/>
      <c r="G111" s="13">
        <v>12000000</v>
      </c>
      <c r="H111" s="14" t="s">
        <v>4</v>
      </c>
      <c r="I111" s="15" t="s">
        <v>116</v>
      </c>
      <c r="J111" s="37">
        <v>2000000</v>
      </c>
      <c r="K111" s="37">
        <v>2000000</v>
      </c>
      <c r="L111" s="37">
        <v>2000000</v>
      </c>
      <c r="M111" s="37">
        <v>2000000</v>
      </c>
      <c r="N111" s="37">
        <v>2000000</v>
      </c>
      <c r="O111" s="37">
        <v>2000000</v>
      </c>
      <c r="P111" s="39">
        <v>2000000</v>
      </c>
      <c r="Q111" s="37">
        <v>2000000</v>
      </c>
      <c r="R111" s="37">
        <v>0</v>
      </c>
      <c r="S111" s="37"/>
      <c r="T111" s="37"/>
      <c r="U111" s="37"/>
      <c r="V111" s="59">
        <f t="shared" si="7"/>
        <v>16000000</v>
      </c>
      <c r="W111" s="60">
        <f t="shared" si="4"/>
        <v>40</v>
      </c>
      <c r="X111" s="60">
        <f t="shared" si="5"/>
        <v>8</v>
      </c>
      <c r="Y111" s="60">
        <f t="shared" si="6"/>
        <v>40</v>
      </c>
    </row>
    <row r="112" spans="1:25">
      <c r="A112" s="12">
        <v>108</v>
      </c>
      <c r="B112" s="12" t="s">
        <v>36</v>
      </c>
      <c r="C112" s="12"/>
      <c r="D112" s="12"/>
      <c r="E112" s="12"/>
      <c r="F112" s="12"/>
      <c r="G112" s="13">
        <v>4800000</v>
      </c>
      <c r="H112" s="14" t="s">
        <v>8</v>
      </c>
      <c r="I112" s="15" t="s">
        <v>116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9">
        <v>0</v>
      </c>
      <c r="Q112" s="37">
        <v>0</v>
      </c>
      <c r="R112" s="37">
        <v>0</v>
      </c>
      <c r="S112" s="37"/>
      <c r="T112" s="37"/>
      <c r="U112" s="37"/>
      <c r="V112" s="59">
        <f t="shared" si="7"/>
        <v>0</v>
      </c>
      <c r="W112" s="60">
        <f t="shared" si="4"/>
        <v>0</v>
      </c>
      <c r="X112" s="60">
        <f t="shared" si="5"/>
        <v>0</v>
      </c>
      <c r="Y112" s="60">
        <f t="shared" si="6"/>
        <v>0</v>
      </c>
    </row>
    <row r="113" spans="1:25">
      <c r="A113" s="12">
        <v>109</v>
      </c>
      <c r="B113" s="16" t="s">
        <v>142</v>
      </c>
      <c r="C113" s="16">
        <v>70067417</v>
      </c>
      <c r="D113" s="16" t="s">
        <v>552</v>
      </c>
      <c r="E113" s="12" t="s">
        <v>253</v>
      </c>
      <c r="F113" s="16"/>
      <c r="G113" s="17">
        <v>2400000</v>
      </c>
      <c r="H113" s="18" t="s">
        <v>4</v>
      </c>
      <c r="I113" s="15" t="s">
        <v>116</v>
      </c>
      <c r="J113" s="37">
        <v>400000</v>
      </c>
      <c r="K113" s="37">
        <v>0</v>
      </c>
      <c r="L113" s="37">
        <v>800000</v>
      </c>
      <c r="M113" s="37">
        <v>0</v>
      </c>
      <c r="N113" s="37">
        <v>400000</v>
      </c>
      <c r="O113" s="37">
        <v>400000</v>
      </c>
      <c r="P113" s="39">
        <v>0</v>
      </c>
      <c r="Q113" s="37">
        <v>400000</v>
      </c>
      <c r="R113" s="37">
        <v>400000</v>
      </c>
      <c r="S113" s="37"/>
      <c r="T113" s="37"/>
      <c r="U113" s="37"/>
      <c r="V113" s="59">
        <f t="shared" si="7"/>
        <v>2800000</v>
      </c>
      <c r="W113" s="60">
        <f t="shared" si="4"/>
        <v>7</v>
      </c>
      <c r="X113" s="60">
        <f t="shared" si="5"/>
        <v>6</v>
      </c>
      <c r="Y113" s="60">
        <f t="shared" si="6"/>
        <v>7</v>
      </c>
    </row>
    <row r="114" spans="1:25">
      <c r="A114" s="12">
        <v>110</v>
      </c>
      <c r="B114" s="12" t="s">
        <v>566</v>
      </c>
      <c r="C114" s="12">
        <v>13837081</v>
      </c>
      <c r="D114" s="12">
        <v>3208026783</v>
      </c>
      <c r="E114" s="12" t="s">
        <v>217</v>
      </c>
      <c r="F114" s="12"/>
      <c r="G114" s="13">
        <v>2390000</v>
      </c>
      <c r="H114" s="14" t="s">
        <v>4</v>
      </c>
      <c r="I114" s="15" t="s">
        <v>116</v>
      </c>
      <c r="J114" s="37">
        <v>1192000</v>
      </c>
      <c r="K114" s="37">
        <v>1205000</v>
      </c>
      <c r="L114" s="37">
        <v>400000</v>
      </c>
      <c r="M114" s="37">
        <v>400000</v>
      </c>
      <c r="N114" s="37">
        <v>0</v>
      </c>
      <c r="O114" s="37">
        <v>400000</v>
      </c>
      <c r="P114" s="39">
        <v>0</v>
      </c>
      <c r="Q114" s="37">
        <v>400000</v>
      </c>
      <c r="R114" s="37">
        <v>0</v>
      </c>
      <c r="S114" s="37"/>
      <c r="T114" s="37"/>
      <c r="U114" s="37"/>
      <c r="V114" s="59">
        <f t="shared" si="7"/>
        <v>3997000</v>
      </c>
      <c r="W114" s="60">
        <f t="shared" si="4"/>
        <v>9.9924999999999997</v>
      </c>
      <c r="X114" s="60">
        <f t="shared" si="5"/>
        <v>6</v>
      </c>
      <c r="Y114" s="60">
        <f t="shared" si="6"/>
        <v>10</v>
      </c>
    </row>
    <row r="115" spans="1:25">
      <c r="A115" s="12">
        <v>111</v>
      </c>
      <c r="B115" s="12" t="s">
        <v>33</v>
      </c>
      <c r="C115" s="12"/>
      <c r="D115" s="12"/>
      <c r="E115" s="12" t="s">
        <v>257</v>
      </c>
      <c r="F115" s="12"/>
      <c r="G115" s="13">
        <v>3700000</v>
      </c>
      <c r="H115" s="14" t="s">
        <v>9</v>
      </c>
      <c r="I115" s="15" t="s">
        <v>116</v>
      </c>
      <c r="J115" s="37">
        <v>400000</v>
      </c>
      <c r="K115" s="37">
        <v>0</v>
      </c>
      <c r="L115" s="37">
        <v>400000</v>
      </c>
      <c r="M115" s="38">
        <v>400000</v>
      </c>
      <c r="N115" s="37">
        <v>0</v>
      </c>
      <c r="O115" s="37">
        <v>800000</v>
      </c>
      <c r="P115" s="39">
        <v>400000</v>
      </c>
      <c r="Q115" s="37">
        <v>0</v>
      </c>
      <c r="R115" s="37">
        <v>0</v>
      </c>
      <c r="S115" s="37"/>
      <c r="T115" s="37"/>
      <c r="U115" s="37"/>
      <c r="V115" s="59">
        <f t="shared" si="7"/>
        <v>2400000</v>
      </c>
      <c r="W115" s="60">
        <f t="shared" si="4"/>
        <v>6</v>
      </c>
      <c r="X115" s="60">
        <f t="shared" si="5"/>
        <v>5</v>
      </c>
      <c r="Y115" s="60">
        <f t="shared" si="6"/>
        <v>6</v>
      </c>
    </row>
    <row r="116" spans="1:25">
      <c r="A116" s="12">
        <v>112</v>
      </c>
      <c r="B116" s="16" t="s">
        <v>192</v>
      </c>
      <c r="C116" s="16"/>
      <c r="D116" s="16"/>
      <c r="E116" s="12"/>
      <c r="F116" s="16"/>
      <c r="G116" s="17">
        <v>1200000</v>
      </c>
      <c r="H116" s="18"/>
      <c r="I116" s="15" t="s">
        <v>116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9">
        <v>0</v>
      </c>
      <c r="Q116" s="37">
        <v>0</v>
      </c>
      <c r="R116" s="37">
        <v>0</v>
      </c>
      <c r="S116" s="37"/>
      <c r="T116" s="37"/>
      <c r="U116" s="37"/>
      <c r="V116" s="59">
        <f t="shared" si="7"/>
        <v>0</v>
      </c>
      <c r="W116" s="60">
        <f t="shared" si="4"/>
        <v>0</v>
      </c>
      <c r="X116" s="60">
        <f t="shared" si="5"/>
        <v>0</v>
      </c>
      <c r="Y116" s="60">
        <f t="shared" si="6"/>
        <v>0</v>
      </c>
    </row>
    <row r="117" spans="1:25">
      <c r="A117" s="12">
        <v>113</v>
      </c>
      <c r="B117" s="16" t="s">
        <v>446</v>
      </c>
      <c r="C117" s="16">
        <v>1065587738</v>
      </c>
      <c r="D117" s="16">
        <v>3127912471</v>
      </c>
      <c r="E117" s="12" t="s">
        <v>442</v>
      </c>
      <c r="F117" s="16"/>
      <c r="G117" s="17">
        <v>1800000</v>
      </c>
      <c r="H117" s="18" t="s">
        <v>4</v>
      </c>
      <c r="I117" s="15" t="s">
        <v>116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9">
        <v>0</v>
      </c>
      <c r="Q117" s="37">
        <v>0</v>
      </c>
      <c r="R117" s="37">
        <v>0</v>
      </c>
      <c r="S117" s="37"/>
      <c r="T117" s="37"/>
      <c r="U117" s="37"/>
      <c r="V117" s="59">
        <f t="shared" si="7"/>
        <v>0</v>
      </c>
      <c r="W117" s="60">
        <f t="shared" si="4"/>
        <v>0</v>
      </c>
      <c r="X117" s="60">
        <f t="shared" si="5"/>
        <v>0</v>
      </c>
      <c r="Y117" s="60">
        <f t="shared" si="6"/>
        <v>0</v>
      </c>
    </row>
    <row r="118" spans="1:25">
      <c r="A118" s="12">
        <v>114</v>
      </c>
      <c r="B118" s="16" t="s">
        <v>87</v>
      </c>
      <c r="C118" s="16"/>
      <c r="D118" s="16"/>
      <c r="E118" s="12" t="s">
        <v>257</v>
      </c>
      <c r="F118" s="16"/>
      <c r="G118" s="17">
        <v>100000</v>
      </c>
      <c r="H118" s="18" t="s">
        <v>5</v>
      </c>
      <c r="I118" s="15" t="s">
        <v>116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9">
        <v>0</v>
      </c>
      <c r="Q118" s="37">
        <v>0</v>
      </c>
      <c r="R118" s="37">
        <v>0</v>
      </c>
      <c r="S118" s="37"/>
      <c r="T118" s="37"/>
      <c r="U118" s="37"/>
      <c r="V118" s="59">
        <f t="shared" si="7"/>
        <v>0</v>
      </c>
      <c r="W118" s="60">
        <f t="shared" si="4"/>
        <v>0</v>
      </c>
      <c r="X118" s="60">
        <f t="shared" si="5"/>
        <v>0</v>
      </c>
      <c r="Y118" s="60">
        <f t="shared" si="6"/>
        <v>0</v>
      </c>
    </row>
    <row r="119" spans="1:25">
      <c r="A119" s="12">
        <v>115</v>
      </c>
      <c r="B119" s="16" t="s">
        <v>105</v>
      </c>
      <c r="C119" s="16"/>
      <c r="D119" s="16"/>
      <c r="E119" s="12" t="s">
        <v>257</v>
      </c>
      <c r="F119" s="12"/>
      <c r="G119" s="17">
        <v>400000</v>
      </c>
      <c r="H119" s="14" t="s">
        <v>5</v>
      </c>
      <c r="I119" s="15" t="s">
        <v>116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9">
        <v>0</v>
      </c>
      <c r="Q119" s="37">
        <v>0</v>
      </c>
      <c r="R119" s="37">
        <v>0</v>
      </c>
      <c r="S119" s="37"/>
      <c r="T119" s="37"/>
      <c r="U119" s="37"/>
      <c r="V119" s="59">
        <f t="shared" si="7"/>
        <v>0</v>
      </c>
      <c r="W119" s="60">
        <f t="shared" si="4"/>
        <v>0</v>
      </c>
      <c r="X119" s="60">
        <f t="shared" si="5"/>
        <v>0</v>
      </c>
      <c r="Y119" s="60">
        <f t="shared" si="6"/>
        <v>0</v>
      </c>
    </row>
    <row r="120" spans="1:25">
      <c r="A120" s="12">
        <v>116</v>
      </c>
      <c r="B120" s="12" t="s">
        <v>57</v>
      </c>
      <c r="C120" s="12">
        <v>38230483</v>
      </c>
      <c r="D120" s="12">
        <v>3104869126</v>
      </c>
      <c r="E120" s="12" t="s">
        <v>447</v>
      </c>
      <c r="F120" s="12"/>
      <c r="G120" s="13">
        <v>4000000</v>
      </c>
      <c r="H120" s="14" t="s">
        <v>8</v>
      </c>
      <c r="I120" s="15" t="s">
        <v>116</v>
      </c>
      <c r="J120" s="37">
        <v>400000</v>
      </c>
      <c r="K120" s="37">
        <v>400000</v>
      </c>
      <c r="L120" s="37">
        <v>400000</v>
      </c>
      <c r="M120" s="37">
        <v>400000</v>
      </c>
      <c r="N120" s="37">
        <v>400000</v>
      </c>
      <c r="O120" s="37">
        <v>400000</v>
      </c>
      <c r="P120" s="39">
        <v>400000</v>
      </c>
      <c r="Q120" s="37">
        <v>400000</v>
      </c>
      <c r="R120" s="37">
        <v>0</v>
      </c>
      <c r="S120" s="37"/>
      <c r="T120" s="37"/>
      <c r="U120" s="37"/>
      <c r="V120" s="59">
        <f t="shared" si="7"/>
        <v>3200000</v>
      </c>
      <c r="W120" s="60">
        <f t="shared" si="4"/>
        <v>8</v>
      </c>
      <c r="X120" s="60">
        <f t="shared" si="5"/>
        <v>8</v>
      </c>
      <c r="Y120" s="60">
        <f t="shared" si="6"/>
        <v>8</v>
      </c>
    </row>
    <row r="121" spans="1:25">
      <c r="A121" s="12">
        <v>117</v>
      </c>
      <c r="B121" s="16" t="s">
        <v>28</v>
      </c>
      <c r="C121" s="16"/>
      <c r="D121" s="16"/>
      <c r="E121" s="12" t="s">
        <v>257</v>
      </c>
      <c r="F121" s="12">
        <v>1</v>
      </c>
      <c r="G121" s="17">
        <v>10670000</v>
      </c>
      <c r="H121" s="14" t="s">
        <v>5</v>
      </c>
      <c r="I121" s="15" t="s">
        <v>116</v>
      </c>
      <c r="J121" s="37">
        <v>800000</v>
      </c>
      <c r="K121" s="37">
        <v>1200000</v>
      </c>
      <c r="L121" s="37">
        <v>800000</v>
      </c>
      <c r="M121" s="37">
        <v>1200000</v>
      </c>
      <c r="N121" s="37">
        <v>800000</v>
      </c>
      <c r="O121" s="37">
        <v>800000</v>
      </c>
      <c r="P121" s="39">
        <v>0</v>
      </c>
      <c r="Q121" s="37">
        <v>2400000</v>
      </c>
      <c r="R121" s="37">
        <v>1600000</v>
      </c>
      <c r="S121" s="37"/>
      <c r="T121" s="37"/>
      <c r="U121" s="37"/>
      <c r="V121" s="59">
        <f t="shared" si="7"/>
        <v>9600000</v>
      </c>
      <c r="W121" s="60">
        <f t="shared" si="4"/>
        <v>24</v>
      </c>
      <c r="X121" s="60">
        <f t="shared" si="5"/>
        <v>8</v>
      </c>
      <c r="Y121" s="60">
        <f t="shared" si="6"/>
        <v>24</v>
      </c>
    </row>
    <row r="122" spans="1:25">
      <c r="A122" s="12">
        <v>118</v>
      </c>
      <c r="B122" s="12" t="s">
        <v>60</v>
      </c>
      <c r="C122" s="12">
        <v>22579381</v>
      </c>
      <c r="D122" s="12"/>
      <c r="E122" s="12" t="s">
        <v>681</v>
      </c>
      <c r="F122" s="12"/>
      <c r="G122" s="13">
        <v>1200000</v>
      </c>
      <c r="H122" s="14" t="s">
        <v>4</v>
      </c>
      <c r="I122" s="15" t="s">
        <v>116</v>
      </c>
      <c r="J122" s="37">
        <v>400000</v>
      </c>
      <c r="K122" s="37">
        <v>0</v>
      </c>
      <c r="L122" s="37">
        <v>400000</v>
      </c>
      <c r="M122" s="38">
        <v>0</v>
      </c>
      <c r="N122" s="37">
        <v>400000</v>
      </c>
      <c r="O122" s="37">
        <v>400000</v>
      </c>
      <c r="P122" s="39">
        <v>500000</v>
      </c>
      <c r="Q122" s="37">
        <v>400000</v>
      </c>
      <c r="R122" s="37">
        <v>500000</v>
      </c>
      <c r="S122" s="37"/>
      <c r="T122" s="37"/>
      <c r="U122" s="37"/>
      <c r="V122" s="59">
        <f t="shared" si="7"/>
        <v>3000000</v>
      </c>
      <c r="W122" s="60">
        <f t="shared" si="4"/>
        <v>7.5</v>
      </c>
      <c r="X122" s="60">
        <f t="shared" si="5"/>
        <v>7</v>
      </c>
      <c r="Y122" s="60">
        <f t="shared" si="6"/>
        <v>8</v>
      </c>
    </row>
    <row r="123" spans="1:25">
      <c r="A123" s="12">
        <v>119</v>
      </c>
      <c r="B123" s="16" t="s">
        <v>187</v>
      </c>
      <c r="C123" s="16">
        <v>32936225</v>
      </c>
      <c r="D123" s="16">
        <v>3215254487</v>
      </c>
      <c r="E123" s="12"/>
      <c r="F123" s="12"/>
      <c r="G123" s="13">
        <v>1200000</v>
      </c>
      <c r="H123" s="14"/>
      <c r="I123" s="15" t="s">
        <v>116</v>
      </c>
      <c r="J123" s="37">
        <v>0</v>
      </c>
      <c r="K123" s="37">
        <v>0</v>
      </c>
      <c r="L123" s="37">
        <v>0</v>
      </c>
      <c r="M123" s="39">
        <v>0</v>
      </c>
      <c r="N123" s="37">
        <v>0</v>
      </c>
      <c r="O123" s="37">
        <v>0</v>
      </c>
      <c r="P123" s="39">
        <v>0</v>
      </c>
      <c r="Q123" s="37">
        <v>0</v>
      </c>
      <c r="R123" s="37">
        <v>0</v>
      </c>
      <c r="S123" s="37"/>
      <c r="T123" s="37"/>
      <c r="U123" s="37"/>
      <c r="V123" s="59">
        <f t="shared" si="7"/>
        <v>0</v>
      </c>
      <c r="W123" s="60">
        <f t="shared" si="4"/>
        <v>0</v>
      </c>
      <c r="X123" s="60">
        <f t="shared" si="5"/>
        <v>0</v>
      </c>
      <c r="Y123" s="60">
        <f t="shared" si="6"/>
        <v>0</v>
      </c>
    </row>
    <row r="124" spans="1:25">
      <c r="A124" s="12">
        <v>120</v>
      </c>
      <c r="B124" s="12" t="s">
        <v>150</v>
      </c>
      <c r="C124" s="12"/>
      <c r="D124" s="12"/>
      <c r="E124" s="12"/>
      <c r="F124" s="12"/>
      <c r="G124" s="13">
        <v>200000</v>
      </c>
      <c r="H124" s="14"/>
      <c r="I124" s="15" t="s">
        <v>116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9">
        <v>0</v>
      </c>
      <c r="Q124" s="37">
        <v>0</v>
      </c>
      <c r="R124" s="37">
        <v>0</v>
      </c>
      <c r="S124" s="37"/>
      <c r="T124" s="37"/>
      <c r="U124" s="37"/>
      <c r="V124" s="59">
        <f t="shared" si="7"/>
        <v>0</v>
      </c>
      <c r="W124" s="60">
        <f t="shared" si="4"/>
        <v>0</v>
      </c>
      <c r="X124" s="60">
        <f t="shared" si="5"/>
        <v>0</v>
      </c>
      <c r="Y124" s="60">
        <f t="shared" si="6"/>
        <v>0</v>
      </c>
    </row>
    <row r="125" spans="1:25">
      <c r="A125" s="12">
        <v>121</v>
      </c>
      <c r="B125" s="12" t="s">
        <v>140</v>
      </c>
      <c r="C125" s="12"/>
      <c r="D125" s="12"/>
      <c r="E125" s="12"/>
      <c r="F125" s="12"/>
      <c r="G125" s="13">
        <v>850000</v>
      </c>
      <c r="H125" s="14" t="s">
        <v>4</v>
      </c>
      <c r="I125" s="15" t="s">
        <v>116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9">
        <v>0</v>
      </c>
      <c r="Q125" s="37">
        <v>0</v>
      </c>
      <c r="R125" s="37">
        <v>0</v>
      </c>
      <c r="S125" s="37"/>
      <c r="T125" s="37"/>
      <c r="U125" s="37"/>
      <c r="V125" s="59">
        <f t="shared" si="7"/>
        <v>0</v>
      </c>
      <c r="W125" s="60">
        <f t="shared" si="4"/>
        <v>0</v>
      </c>
      <c r="X125" s="60">
        <f t="shared" si="5"/>
        <v>0</v>
      </c>
      <c r="Y125" s="60">
        <f t="shared" si="6"/>
        <v>0</v>
      </c>
    </row>
    <row r="126" spans="1:25">
      <c r="A126" s="12">
        <v>122</v>
      </c>
      <c r="B126" s="16" t="s">
        <v>39</v>
      </c>
      <c r="C126" s="16">
        <v>11809146</v>
      </c>
      <c r="D126" s="16">
        <v>3136811706</v>
      </c>
      <c r="E126" s="12" t="s">
        <v>174</v>
      </c>
      <c r="F126" s="16"/>
      <c r="G126" s="17">
        <v>1600000</v>
      </c>
      <c r="H126" s="18" t="s">
        <v>8</v>
      </c>
      <c r="I126" s="15" t="s">
        <v>116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9">
        <v>0</v>
      </c>
      <c r="Q126" s="37">
        <v>0</v>
      </c>
      <c r="R126" s="37">
        <v>0</v>
      </c>
      <c r="S126" s="37"/>
      <c r="T126" s="37"/>
      <c r="U126" s="37"/>
      <c r="V126" s="59">
        <f t="shared" si="7"/>
        <v>0</v>
      </c>
      <c r="W126" s="60">
        <f t="shared" si="4"/>
        <v>0</v>
      </c>
      <c r="X126" s="60">
        <f t="shared" si="5"/>
        <v>0</v>
      </c>
      <c r="Y126" s="60">
        <f t="shared" si="6"/>
        <v>0</v>
      </c>
    </row>
    <row r="127" spans="1:25">
      <c r="A127" s="12">
        <v>123</v>
      </c>
      <c r="B127" s="12" t="s">
        <v>89</v>
      </c>
      <c r="C127" s="12"/>
      <c r="D127" s="12"/>
      <c r="E127" s="12"/>
      <c r="F127" s="12"/>
      <c r="G127" s="13">
        <v>3900000</v>
      </c>
      <c r="H127" s="14" t="s">
        <v>4</v>
      </c>
      <c r="I127" s="15" t="s">
        <v>116</v>
      </c>
      <c r="J127" s="37">
        <v>0</v>
      </c>
      <c r="K127" s="37">
        <v>0</v>
      </c>
      <c r="L127" s="37">
        <v>0</v>
      </c>
      <c r="M127" s="37">
        <v>0</v>
      </c>
      <c r="N127" s="39">
        <v>0</v>
      </c>
      <c r="O127" s="37">
        <v>0</v>
      </c>
      <c r="P127" s="39">
        <v>0</v>
      </c>
      <c r="Q127" s="37">
        <v>0</v>
      </c>
      <c r="R127" s="37">
        <v>0</v>
      </c>
      <c r="S127" s="37"/>
      <c r="T127" s="37"/>
      <c r="U127" s="37"/>
      <c r="V127" s="59">
        <f t="shared" si="7"/>
        <v>0</v>
      </c>
      <c r="W127" s="60">
        <f t="shared" si="4"/>
        <v>0</v>
      </c>
      <c r="X127" s="60">
        <f t="shared" si="5"/>
        <v>0</v>
      </c>
      <c r="Y127" s="60">
        <f t="shared" si="6"/>
        <v>0</v>
      </c>
    </row>
    <row r="128" spans="1:25">
      <c r="A128" s="12">
        <v>124</v>
      </c>
      <c r="B128" s="12" t="s">
        <v>156</v>
      </c>
      <c r="C128" s="12"/>
      <c r="D128" s="12"/>
      <c r="E128" s="12"/>
      <c r="F128" s="12"/>
      <c r="G128" s="13">
        <v>800000</v>
      </c>
      <c r="H128" s="13"/>
      <c r="I128" s="15" t="s">
        <v>116</v>
      </c>
      <c r="J128" s="37">
        <v>0</v>
      </c>
      <c r="K128" s="37">
        <v>0</v>
      </c>
      <c r="L128" s="37">
        <v>0</v>
      </c>
      <c r="M128" s="37">
        <v>0</v>
      </c>
      <c r="N128" s="39">
        <v>0</v>
      </c>
      <c r="O128" s="37">
        <v>0</v>
      </c>
      <c r="P128" s="39">
        <v>0</v>
      </c>
      <c r="Q128" s="37">
        <v>0</v>
      </c>
      <c r="R128" s="37">
        <v>0</v>
      </c>
      <c r="S128" s="37"/>
      <c r="T128" s="37"/>
      <c r="U128" s="37"/>
      <c r="V128" s="59">
        <f t="shared" si="7"/>
        <v>0</v>
      </c>
      <c r="W128" s="60">
        <f t="shared" si="4"/>
        <v>0</v>
      </c>
      <c r="X128" s="60">
        <f t="shared" si="5"/>
        <v>0</v>
      </c>
      <c r="Y128" s="60">
        <f t="shared" si="6"/>
        <v>0</v>
      </c>
    </row>
    <row r="129" spans="1:25">
      <c r="A129" s="12">
        <v>125</v>
      </c>
      <c r="B129" s="16" t="s">
        <v>29</v>
      </c>
      <c r="C129" s="16">
        <v>8694441</v>
      </c>
      <c r="D129" s="16">
        <v>3170295457</v>
      </c>
      <c r="E129" s="12" t="s">
        <v>442</v>
      </c>
      <c r="F129" s="16">
        <v>1</v>
      </c>
      <c r="G129" s="17">
        <v>400000</v>
      </c>
      <c r="H129" s="18" t="s">
        <v>13</v>
      </c>
      <c r="I129" s="15" t="s">
        <v>116</v>
      </c>
      <c r="J129" s="37">
        <v>400000</v>
      </c>
      <c r="K129" s="37">
        <v>400000</v>
      </c>
      <c r="L129" s="37">
        <v>400000</v>
      </c>
      <c r="M129" s="37">
        <v>0</v>
      </c>
      <c r="N129" s="39">
        <v>400000</v>
      </c>
      <c r="O129" s="37">
        <v>400000</v>
      </c>
      <c r="P129" s="39">
        <v>400000</v>
      </c>
      <c r="Q129" s="37">
        <v>0</v>
      </c>
      <c r="R129" s="37">
        <v>0</v>
      </c>
      <c r="S129" s="37"/>
      <c r="T129" s="37"/>
      <c r="U129" s="37"/>
      <c r="V129" s="59">
        <f t="shared" si="7"/>
        <v>2400000</v>
      </c>
      <c r="W129" s="60">
        <f t="shared" si="4"/>
        <v>6</v>
      </c>
      <c r="X129" s="60">
        <f t="shared" si="5"/>
        <v>6</v>
      </c>
      <c r="Y129" s="60">
        <f t="shared" si="6"/>
        <v>6</v>
      </c>
    </row>
    <row r="130" spans="1:25">
      <c r="A130" s="12">
        <v>126</v>
      </c>
      <c r="B130" s="12" t="s">
        <v>85</v>
      </c>
      <c r="C130" s="12">
        <v>60380993</v>
      </c>
      <c r="D130" s="12">
        <v>3213307371</v>
      </c>
      <c r="E130" s="12" t="s">
        <v>239</v>
      </c>
      <c r="F130" s="12"/>
      <c r="G130" s="13">
        <v>3200000</v>
      </c>
      <c r="H130" s="13" t="s">
        <v>4</v>
      </c>
      <c r="I130" s="15" t="s">
        <v>116</v>
      </c>
      <c r="J130" s="37">
        <v>400000</v>
      </c>
      <c r="K130" s="37">
        <v>0</v>
      </c>
      <c r="L130" s="37">
        <v>400000</v>
      </c>
      <c r="M130" s="37">
        <v>400000</v>
      </c>
      <c r="N130" s="39">
        <v>400000</v>
      </c>
      <c r="O130" s="37">
        <v>400000</v>
      </c>
      <c r="P130" s="39">
        <v>400000</v>
      </c>
      <c r="Q130" s="37">
        <v>400000</v>
      </c>
      <c r="R130" s="37">
        <v>0</v>
      </c>
      <c r="S130" s="37"/>
      <c r="T130" s="37"/>
      <c r="U130" s="37"/>
      <c r="V130" s="59">
        <f t="shared" si="7"/>
        <v>2800000</v>
      </c>
      <c r="W130" s="60">
        <f t="shared" si="4"/>
        <v>7</v>
      </c>
      <c r="X130" s="60">
        <f t="shared" si="5"/>
        <v>7</v>
      </c>
      <c r="Y130" s="60">
        <f t="shared" si="6"/>
        <v>7</v>
      </c>
    </row>
    <row r="131" spans="1:25">
      <c r="A131" s="12">
        <v>127</v>
      </c>
      <c r="B131" s="16" t="s">
        <v>30</v>
      </c>
      <c r="C131" s="16"/>
      <c r="D131" s="16"/>
      <c r="E131" s="12"/>
      <c r="F131" s="12">
        <v>1</v>
      </c>
      <c r="G131" s="13">
        <v>0</v>
      </c>
      <c r="H131" s="14" t="s">
        <v>13</v>
      </c>
      <c r="I131" s="15" t="s">
        <v>116</v>
      </c>
      <c r="J131" s="37">
        <v>0</v>
      </c>
      <c r="K131" s="37">
        <v>0</v>
      </c>
      <c r="L131" s="37">
        <v>0</v>
      </c>
      <c r="M131" s="39">
        <v>0</v>
      </c>
      <c r="N131" s="39">
        <v>0</v>
      </c>
      <c r="O131" s="37">
        <v>0</v>
      </c>
      <c r="P131" s="39">
        <v>0</v>
      </c>
      <c r="Q131" s="37">
        <v>0</v>
      </c>
      <c r="R131" s="37">
        <v>0</v>
      </c>
      <c r="S131" s="37"/>
      <c r="T131" s="37"/>
      <c r="U131" s="37"/>
      <c r="V131" s="59">
        <f t="shared" si="7"/>
        <v>0</v>
      </c>
      <c r="W131" s="60">
        <f t="shared" si="4"/>
        <v>0</v>
      </c>
      <c r="X131" s="60">
        <f t="shared" si="5"/>
        <v>0</v>
      </c>
      <c r="Y131" s="60">
        <f t="shared" si="6"/>
        <v>0</v>
      </c>
    </row>
    <row r="132" spans="1:25">
      <c r="A132" s="12">
        <v>128</v>
      </c>
      <c r="B132" s="12" t="s">
        <v>752</v>
      </c>
      <c r="C132" s="12">
        <v>860606</v>
      </c>
      <c r="D132" s="12"/>
      <c r="E132" s="12" t="s">
        <v>257</v>
      </c>
      <c r="F132" s="12"/>
      <c r="G132" s="13">
        <v>2800000</v>
      </c>
      <c r="H132" s="14"/>
      <c r="I132" s="15" t="s">
        <v>116</v>
      </c>
      <c r="J132" s="37">
        <v>400000</v>
      </c>
      <c r="K132" s="37">
        <v>0</v>
      </c>
      <c r="L132" s="37">
        <v>900000</v>
      </c>
      <c r="M132" s="37">
        <v>400000</v>
      </c>
      <c r="N132" s="39">
        <v>0</v>
      </c>
      <c r="O132" s="37">
        <v>0</v>
      </c>
      <c r="P132" s="39">
        <v>400000</v>
      </c>
      <c r="Q132" s="37">
        <v>400000</v>
      </c>
      <c r="R132" s="37">
        <v>0</v>
      </c>
      <c r="S132" s="37"/>
      <c r="T132" s="37"/>
      <c r="U132" s="37"/>
      <c r="V132" s="59">
        <f t="shared" si="7"/>
        <v>2500000</v>
      </c>
      <c r="W132" s="60">
        <f t="shared" si="4"/>
        <v>6.25</v>
      </c>
      <c r="X132" s="60">
        <f t="shared" si="5"/>
        <v>5</v>
      </c>
      <c r="Y132" s="60">
        <f t="shared" si="6"/>
        <v>7</v>
      </c>
    </row>
    <row r="133" spans="1:25">
      <c r="A133" s="12">
        <v>129</v>
      </c>
      <c r="B133" s="16" t="s">
        <v>154</v>
      </c>
      <c r="C133" s="16"/>
      <c r="D133" s="16"/>
      <c r="E133" s="12" t="s">
        <v>257</v>
      </c>
      <c r="F133" s="16"/>
      <c r="G133" s="17">
        <v>400000</v>
      </c>
      <c r="H133" s="18"/>
      <c r="I133" s="15" t="s">
        <v>116</v>
      </c>
      <c r="J133" s="37">
        <v>0</v>
      </c>
      <c r="K133" s="37">
        <v>0</v>
      </c>
      <c r="L133" s="37">
        <v>0</v>
      </c>
      <c r="M133" s="37">
        <v>0</v>
      </c>
      <c r="N133" s="39">
        <v>0</v>
      </c>
      <c r="O133" s="37">
        <v>0</v>
      </c>
      <c r="P133" s="39">
        <v>0</v>
      </c>
      <c r="Q133" s="37">
        <v>0</v>
      </c>
      <c r="R133" s="37">
        <v>0</v>
      </c>
      <c r="S133" s="37"/>
      <c r="T133" s="37"/>
      <c r="U133" s="37"/>
      <c r="V133" s="59">
        <f t="shared" si="7"/>
        <v>0</v>
      </c>
      <c r="W133" s="60">
        <f t="shared" ref="W133:W196" si="8">V133/400000</f>
        <v>0</v>
      </c>
      <c r="X133" s="60">
        <f t="shared" ref="X133:X196" si="9">COUNTIF(J133:U133,"&gt;0")</f>
        <v>0</v>
      </c>
      <c r="Y133" s="60">
        <f t="shared" ref="Y133:Y196" si="10">ROUNDUP(W133,0)</f>
        <v>0</v>
      </c>
    </row>
    <row r="134" spans="1:25">
      <c r="A134" s="12">
        <v>130</v>
      </c>
      <c r="B134" s="12" t="s">
        <v>107</v>
      </c>
      <c r="C134" s="12"/>
      <c r="D134" s="12"/>
      <c r="E134" s="12"/>
      <c r="F134" s="12"/>
      <c r="G134" s="13">
        <v>100000</v>
      </c>
      <c r="H134" s="14" t="s">
        <v>4</v>
      </c>
      <c r="I134" s="15" t="s">
        <v>116</v>
      </c>
      <c r="J134" s="37">
        <v>0</v>
      </c>
      <c r="K134" s="37">
        <v>0</v>
      </c>
      <c r="L134" s="37">
        <v>0</v>
      </c>
      <c r="M134" s="37">
        <v>0</v>
      </c>
      <c r="N134" s="39">
        <v>0</v>
      </c>
      <c r="O134" s="37">
        <v>0</v>
      </c>
      <c r="P134" s="39">
        <v>0</v>
      </c>
      <c r="Q134" s="37">
        <v>0</v>
      </c>
      <c r="R134" s="37">
        <v>0</v>
      </c>
      <c r="S134" s="37"/>
      <c r="T134" s="37"/>
      <c r="U134" s="37"/>
      <c r="V134" s="59">
        <f t="shared" ref="V134:V197" si="11">SUM(J134:U134)</f>
        <v>0</v>
      </c>
      <c r="W134" s="60">
        <f t="shared" si="8"/>
        <v>0</v>
      </c>
      <c r="X134" s="60">
        <f t="shared" si="9"/>
        <v>0</v>
      </c>
      <c r="Y134" s="60">
        <f t="shared" si="10"/>
        <v>0</v>
      </c>
    </row>
    <row r="135" spans="1:25">
      <c r="A135" s="12">
        <v>131</v>
      </c>
      <c r="B135" s="16" t="s">
        <v>152</v>
      </c>
      <c r="C135" s="16"/>
      <c r="D135" s="16"/>
      <c r="E135" s="12" t="s">
        <v>257</v>
      </c>
      <c r="F135" s="16"/>
      <c r="G135" s="17">
        <v>5600000</v>
      </c>
      <c r="H135" s="18"/>
      <c r="I135" s="15" t="s">
        <v>116</v>
      </c>
      <c r="J135" s="37">
        <v>0</v>
      </c>
      <c r="K135" s="37">
        <v>0</v>
      </c>
      <c r="L135" s="37">
        <v>0</v>
      </c>
      <c r="M135" s="37">
        <v>0</v>
      </c>
      <c r="N135" s="39">
        <v>1600000</v>
      </c>
      <c r="O135" s="37">
        <v>0</v>
      </c>
      <c r="P135" s="39">
        <v>0</v>
      </c>
      <c r="Q135" s="37">
        <v>0</v>
      </c>
      <c r="R135" s="37">
        <v>0</v>
      </c>
      <c r="S135" s="37"/>
      <c r="T135" s="37"/>
      <c r="U135" s="37"/>
      <c r="V135" s="59">
        <f t="shared" si="11"/>
        <v>1600000</v>
      </c>
      <c r="W135" s="60">
        <f t="shared" si="8"/>
        <v>4</v>
      </c>
      <c r="X135" s="60">
        <f t="shared" si="9"/>
        <v>1</v>
      </c>
      <c r="Y135" s="60">
        <f t="shared" si="10"/>
        <v>4</v>
      </c>
    </row>
    <row r="136" spans="1:25">
      <c r="A136" s="12">
        <v>132</v>
      </c>
      <c r="B136" s="12" t="s">
        <v>110</v>
      </c>
      <c r="C136" s="12"/>
      <c r="D136" s="12"/>
      <c r="E136" s="12" t="s">
        <v>257</v>
      </c>
      <c r="F136" s="12"/>
      <c r="G136" s="13">
        <v>100000</v>
      </c>
      <c r="H136" s="14" t="s">
        <v>4</v>
      </c>
      <c r="I136" s="15" t="s">
        <v>116</v>
      </c>
      <c r="J136" s="37">
        <v>0</v>
      </c>
      <c r="K136" s="37">
        <v>0</v>
      </c>
      <c r="L136" s="37">
        <v>0</v>
      </c>
      <c r="M136" s="37">
        <v>0</v>
      </c>
      <c r="N136" s="39">
        <v>0</v>
      </c>
      <c r="O136" s="37">
        <v>0</v>
      </c>
      <c r="P136" s="39">
        <v>0</v>
      </c>
      <c r="Q136" s="37">
        <v>0</v>
      </c>
      <c r="R136" s="37">
        <v>0</v>
      </c>
      <c r="S136" s="37"/>
      <c r="T136" s="37"/>
      <c r="U136" s="37"/>
      <c r="V136" s="59">
        <f t="shared" si="11"/>
        <v>0</v>
      </c>
      <c r="W136" s="60">
        <f t="shared" si="8"/>
        <v>0</v>
      </c>
      <c r="X136" s="60">
        <f t="shared" si="9"/>
        <v>0</v>
      </c>
      <c r="Y136" s="60">
        <f t="shared" si="10"/>
        <v>0</v>
      </c>
    </row>
    <row r="137" spans="1:25">
      <c r="A137" s="12">
        <v>133</v>
      </c>
      <c r="B137" s="12" t="s">
        <v>31</v>
      </c>
      <c r="C137" s="12">
        <v>77187578</v>
      </c>
      <c r="D137" s="12">
        <v>3123048536</v>
      </c>
      <c r="E137" s="12" t="s">
        <v>257</v>
      </c>
      <c r="F137" s="12">
        <v>2</v>
      </c>
      <c r="G137" s="13">
        <v>11300000</v>
      </c>
      <c r="H137" s="13" t="s">
        <v>4</v>
      </c>
      <c r="I137" s="15" t="s">
        <v>116</v>
      </c>
      <c r="J137" s="37">
        <v>400000</v>
      </c>
      <c r="K137" s="37">
        <v>400000</v>
      </c>
      <c r="L137" s="37">
        <v>400000</v>
      </c>
      <c r="M137" s="37">
        <v>0</v>
      </c>
      <c r="N137" s="39">
        <v>400000</v>
      </c>
      <c r="O137" s="37">
        <v>400000</v>
      </c>
      <c r="P137" s="39">
        <v>400000</v>
      </c>
      <c r="Q137" s="37">
        <v>0</v>
      </c>
      <c r="R137" s="37">
        <v>400000</v>
      </c>
      <c r="S137" s="37"/>
      <c r="T137" s="37"/>
      <c r="U137" s="37"/>
      <c r="V137" s="59">
        <f t="shared" si="11"/>
        <v>2800000</v>
      </c>
      <c r="W137" s="60">
        <f t="shared" si="8"/>
        <v>7</v>
      </c>
      <c r="X137" s="60">
        <f t="shared" si="9"/>
        <v>7</v>
      </c>
      <c r="Y137" s="60">
        <f t="shared" si="10"/>
        <v>7</v>
      </c>
    </row>
    <row r="138" spans="1:25">
      <c r="A138" s="12">
        <v>134</v>
      </c>
      <c r="B138" s="12" t="s">
        <v>32</v>
      </c>
      <c r="C138" s="12"/>
      <c r="D138" s="12"/>
      <c r="E138" s="12"/>
      <c r="F138" s="12">
        <v>1</v>
      </c>
      <c r="G138" s="13">
        <v>0</v>
      </c>
      <c r="H138" s="14" t="s">
        <v>13</v>
      </c>
      <c r="I138" s="15" t="s">
        <v>116</v>
      </c>
      <c r="J138" s="37">
        <v>0</v>
      </c>
      <c r="K138" s="37">
        <v>0</v>
      </c>
      <c r="L138" s="37">
        <v>0</v>
      </c>
      <c r="M138" s="37">
        <v>0</v>
      </c>
      <c r="N138" s="39">
        <v>0</v>
      </c>
      <c r="O138" s="37">
        <v>0</v>
      </c>
      <c r="P138" s="39">
        <v>0</v>
      </c>
      <c r="Q138" s="37">
        <v>0</v>
      </c>
      <c r="R138" s="37">
        <v>0</v>
      </c>
      <c r="S138" s="37"/>
      <c r="T138" s="37"/>
      <c r="U138" s="37"/>
      <c r="V138" s="59">
        <f t="shared" si="11"/>
        <v>0</v>
      </c>
      <c r="W138" s="60">
        <f t="shared" si="8"/>
        <v>0</v>
      </c>
      <c r="X138" s="60">
        <f t="shared" si="9"/>
        <v>0</v>
      </c>
      <c r="Y138" s="60">
        <f t="shared" si="10"/>
        <v>0</v>
      </c>
    </row>
    <row r="139" spans="1:25">
      <c r="A139" s="12">
        <v>135</v>
      </c>
      <c r="B139" s="16" t="s">
        <v>448</v>
      </c>
      <c r="C139" s="16">
        <v>41679611</v>
      </c>
      <c r="D139" s="16" t="s">
        <v>449</v>
      </c>
      <c r="E139" s="12" t="s">
        <v>450</v>
      </c>
      <c r="F139" s="16"/>
      <c r="G139" s="17">
        <v>4000000</v>
      </c>
      <c r="H139" s="18" t="s">
        <v>4</v>
      </c>
      <c r="I139" s="15" t="s">
        <v>116</v>
      </c>
      <c r="J139" s="37">
        <v>800000</v>
      </c>
      <c r="K139" s="37">
        <v>800000</v>
      </c>
      <c r="L139" s="37">
        <v>800000</v>
      </c>
      <c r="M139" s="37">
        <v>800000</v>
      </c>
      <c r="N139" s="39">
        <v>800000</v>
      </c>
      <c r="O139" s="37">
        <v>800000</v>
      </c>
      <c r="P139" s="39">
        <v>800000</v>
      </c>
      <c r="Q139" s="37">
        <v>800000</v>
      </c>
      <c r="R139" s="37">
        <v>0</v>
      </c>
      <c r="S139" s="37"/>
      <c r="T139" s="37"/>
      <c r="U139" s="37"/>
      <c r="V139" s="59">
        <f t="shared" si="11"/>
        <v>6400000</v>
      </c>
      <c r="W139" s="60">
        <f t="shared" si="8"/>
        <v>16</v>
      </c>
      <c r="X139" s="60">
        <f t="shared" si="9"/>
        <v>8</v>
      </c>
      <c r="Y139" s="60">
        <f t="shared" si="10"/>
        <v>16</v>
      </c>
    </row>
    <row r="140" spans="1:25">
      <c r="A140" s="12">
        <v>136</v>
      </c>
      <c r="B140" s="12" t="s">
        <v>66</v>
      </c>
      <c r="C140" s="12"/>
      <c r="D140" s="12"/>
      <c r="E140" s="12"/>
      <c r="F140" s="12"/>
      <c r="G140" s="13">
        <v>3000000</v>
      </c>
      <c r="H140" s="14" t="s">
        <v>4</v>
      </c>
      <c r="I140" s="15" t="s">
        <v>116</v>
      </c>
      <c r="J140" s="37">
        <v>0</v>
      </c>
      <c r="K140" s="37">
        <v>0</v>
      </c>
      <c r="L140" s="37">
        <v>0</v>
      </c>
      <c r="M140" s="37">
        <v>0</v>
      </c>
      <c r="N140" s="39">
        <v>0</v>
      </c>
      <c r="O140" s="37">
        <v>0</v>
      </c>
      <c r="P140" s="39">
        <v>0</v>
      </c>
      <c r="Q140" s="37">
        <v>0</v>
      </c>
      <c r="R140" s="37">
        <v>0</v>
      </c>
      <c r="S140" s="37"/>
      <c r="T140" s="37"/>
      <c r="U140" s="37"/>
      <c r="V140" s="59">
        <f t="shared" si="11"/>
        <v>0</v>
      </c>
      <c r="W140" s="60">
        <f t="shared" si="8"/>
        <v>0</v>
      </c>
      <c r="X140" s="60">
        <f t="shared" si="9"/>
        <v>0</v>
      </c>
      <c r="Y140" s="60">
        <f t="shared" si="10"/>
        <v>0</v>
      </c>
    </row>
    <row r="141" spans="1:25">
      <c r="A141" s="12">
        <v>137</v>
      </c>
      <c r="B141" s="16" t="s">
        <v>184</v>
      </c>
      <c r="C141" s="16"/>
      <c r="D141" s="16"/>
      <c r="E141" s="12"/>
      <c r="F141" s="16"/>
      <c r="G141" s="17">
        <v>260000</v>
      </c>
      <c r="H141" s="18"/>
      <c r="I141" s="15" t="s">
        <v>116</v>
      </c>
      <c r="J141" s="37">
        <v>0</v>
      </c>
      <c r="K141" s="37">
        <v>0</v>
      </c>
      <c r="L141" s="37">
        <v>0</v>
      </c>
      <c r="M141" s="37">
        <v>0</v>
      </c>
      <c r="N141" s="39">
        <v>0</v>
      </c>
      <c r="O141" s="37">
        <v>0</v>
      </c>
      <c r="P141" s="39">
        <v>0</v>
      </c>
      <c r="Q141" s="37">
        <v>0</v>
      </c>
      <c r="R141" s="37">
        <v>0</v>
      </c>
      <c r="S141" s="37"/>
      <c r="T141" s="37"/>
      <c r="U141" s="37"/>
      <c r="V141" s="59">
        <f t="shared" si="11"/>
        <v>0</v>
      </c>
      <c r="W141" s="60">
        <f t="shared" si="8"/>
        <v>0</v>
      </c>
      <c r="X141" s="60">
        <f t="shared" si="9"/>
        <v>0</v>
      </c>
      <c r="Y141" s="60">
        <f t="shared" si="10"/>
        <v>0</v>
      </c>
    </row>
    <row r="142" spans="1:25">
      <c r="A142" s="12">
        <v>138</v>
      </c>
      <c r="B142" s="16" t="s">
        <v>136</v>
      </c>
      <c r="C142" s="16"/>
      <c r="D142" s="16"/>
      <c r="E142" s="12" t="s">
        <v>257</v>
      </c>
      <c r="F142" s="12"/>
      <c r="G142" s="13">
        <v>3600000</v>
      </c>
      <c r="H142" s="14" t="s">
        <v>4</v>
      </c>
      <c r="I142" s="15" t="s">
        <v>116</v>
      </c>
      <c r="J142" s="37">
        <v>400000</v>
      </c>
      <c r="K142" s="37">
        <v>400000</v>
      </c>
      <c r="L142" s="38">
        <v>400000</v>
      </c>
      <c r="M142" s="39">
        <v>0</v>
      </c>
      <c r="N142" s="39">
        <v>1200000</v>
      </c>
      <c r="O142" s="37">
        <v>400000</v>
      </c>
      <c r="P142" s="39">
        <v>0</v>
      </c>
      <c r="Q142" s="37">
        <v>400000</v>
      </c>
      <c r="R142" s="37">
        <v>400000</v>
      </c>
      <c r="S142" s="37"/>
      <c r="T142" s="37"/>
      <c r="U142" s="37"/>
      <c r="V142" s="59">
        <f t="shared" si="11"/>
        <v>3600000</v>
      </c>
      <c r="W142" s="60">
        <f t="shared" si="8"/>
        <v>9</v>
      </c>
      <c r="X142" s="60">
        <f t="shared" si="9"/>
        <v>7</v>
      </c>
      <c r="Y142" s="60">
        <f t="shared" si="10"/>
        <v>9</v>
      </c>
    </row>
    <row r="143" spans="1:25">
      <c r="A143" s="12">
        <v>139</v>
      </c>
      <c r="B143" s="16" t="s">
        <v>151</v>
      </c>
      <c r="C143" s="16">
        <v>4517739</v>
      </c>
      <c r="D143" s="16"/>
      <c r="E143" s="12" t="s">
        <v>176</v>
      </c>
      <c r="F143" s="12"/>
      <c r="G143" s="17">
        <v>1400000</v>
      </c>
      <c r="H143" s="14"/>
      <c r="I143" s="15" t="s">
        <v>116</v>
      </c>
      <c r="J143" s="37">
        <v>0</v>
      </c>
      <c r="K143" s="37">
        <v>0</v>
      </c>
      <c r="L143" s="37">
        <v>0</v>
      </c>
      <c r="M143" s="37">
        <v>0</v>
      </c>
      <c r="N143" s="39">
        <v>0</v>
      </c>
      <c r="O143" s="37">
        <v>0</v>
      </c>
      <c r="P143" s="39">
        <v>0</v>
      </c>
      <c r="Q143" s="37">
        <v>0</v>
      </c>
      <c r="R143" s="37">
        <v>0</v>
      </c>
      <c r="S143" s="37"/>
      <c r="T143" s="37"/>
      <c r="U143" s="37"/>
      <c r="V143" s="59">
        <f t="shared" si="11"/>
        <v>0</v>
      </c>
      <c r="W143" s="60">
        <f t="shared" si="8"/>
        <v>0</v>
      </c>
      <c r="X143" s="60">
        <f t="shared" si="9"/>
        <v>0</v>
      </c>
      <c r="Y143" s="60">
        <f t="shared" si="10"/>
        <v>0</v>
      </c>
    </row>
    <row r="144" spans="1:25">
      <c r="A144" s="12">
        <v>140</v>
      </c>
      <c r="B144" s="16" t="s">
        <v>56</v>
      </c>
      <c r="C144" s="16"/>
      <c r="D144" s="16"/>
      <c r="E144" s="12"/>
      <c r="F144" s="12"/>
      <c r="G144" s="13">
        <v>400000</v>
      </c>
      <c r="H144" s="14" t="s">
        <v>4</v>
      </c>
      <c r="I144" s="15" t="s">
        <v>116</v>
      </c>
      <c r="J144" s="37">
        <v>0</v>
      </c>
      <c r="K144" s="37">
        <v>0</v>
      </c>
      <c r="L144" s="37">
        <v>0</v>
      </c>
      <c r="M144" s="39">
        <v>0</v>
      </c>
      <c r="N144" s="39">
        <v>0</v>
      </c>
      <c r="O144" s="37">
        <v>0</v>
      </c>
      <c r="P144" s="39">
        <v>0</v>
      </c>
      <c r="Q144" s="37">
        <v>0</v>
      </c>
      <c r="R144" s="37">
        <v>0</v>
      </c>
      <c r="S144" s="37"/>
      <c r="T144" s="37"/>
      <c r="U144" s="37"/>
      <c r="V144" s="59">
        <f t="shared" si="11"/>
        <v>0</v>
      </c>
      <c r="W144" s="60">
        <f t="shared" si="8"/>
        <v>0</v>
      </c>
      <c r="X144" s="60">
        <f t="shared" si="9"/>
        <v>0</v>
      </c>
      <c r="Y144" s="60">
        <f t="shared" si="10"/>
        <v>0</v>
      </c>
    </row>
    <row r="145" spans="1:25">
      <c r="A145" s="12">
        <v>141</v>
      </c>
      <c r="B145" s="12" t="s">
        <v>148</v>
      </c>
      <c r="C145" s="12"/>
      <c r="D145" s="12"/>
      <c r="E145" s="12"/>
      <c r="F145" s="12"/>
      <c r="G145" s="13">
        <v>1200000</v>
      </c>
      <c r="H145" s="14"/>
      <c r="I145" s="15" t="s">
        <v>116</v>
      </c>
      <c r="J145" s="37">
        <v>0</v>
      </c>
      <c r="K145" s="37">
        <v>0</v>
      </c>
      <c r="L145" s="37">
        <v>0</v>
      </c>
      <c r="M145" s="37">
        <v>0</v>
      </c>
      <c r="N145" s="39">
        <v>0</v>
      </c>
      <c r="O145" s="37">
        <v>0</v>
      </c>
      <c r="P145" s="39">
        <v>0</v>
      </c>
      <c r="Q145" s="37">
        <v>0</v>
      </c>
      <c r="R145" s="37">
        <v>0</v>
      </c>
      <c r="S145" s="37"/>
      <c r="T145" s="37"/>
      <c r="U145" s="37"/>
      <c r="V145" s="59">
        <f t="shared" si="11"/>
        <v>0</v>
      </c>
      <c r="W145" s="60">
        <f t="shared" si="8"/>
        <v>0</v>
      </c>
      <c r="X145" s="60">
        <f t="shared" si="9"/>
        <v>0</v>
      </c>
      <c r="Y145" s="60">
        <f t="shared" si="10"/>
        <v>0</v>
      </c>
    </row>
    <row r="146" spans="1:25">
      <c r="A146" s="12">
        <v>142</v>
      </c>
      <c r="B146" s="12" t="s">
        <v>155</v>
      </c>
      <c r="C146" s="12"/>
      <c r="D146" s="12"/>
      <c r="E146" s="12" t="s">
        <v>183</v>
      </c>
      <c r="F146" s="12"/>
      <c r="G146" s="13">
        <v>500000</v>
      </c>
      <c r="H146" s="14"/>
      <c r="I146" s="15" t="s">
        <v>116</v>
      </c>
      <c r="J146" s="37">
        <v>0</v>
      </c>
      <c r="K146" s="37">
        <v>0</v>
      </c>
      <c r="L146" s="37">
        <v>0</v>
      </c>
      <c r="M146" s="37">
        <v>0</v>
      </c>
      <c r="N146" s="39">
        <v>0</v>
      </c>
      <c r="O146" s="37">
        <v>0</v>
      </c>
      <c r="P146" s="39">
        <v>0</v>
      </c>
      <c r="Q146" s="37">
        <v>0</v>
      </c>
      <c r="R146" s="37">
        <v>0</v>
      </c>
      <c r="S146" s="37"/>
      <c r="T146" s="37"/>
      <c r="U146" s="37"/>
      <c r="V146" s="59">
        <f t="shared" si="11"/>
        <v>0</v>
      </c>
      <c r="W146" s="60">
        <f t="shared" si="8"/>
        <v>0</v>
      </c>
      <c r="X146" s="60">
        <f t="shared" si="9"/>
        <v>0</v>
      </c>
      <c r="Y146" s="60">
        <f t="shared" si="10"/>
        <v>0</v>
      </c>
    </row>
    <row r="147" spans="1:25">
      <c r="A147" s="12">
        <v>143</v>
      </c>
      <c r="B147" s="12" t="s">
        <v>49</v>
      </c>
      <c r="C147" s="12"/>
      <c r="D147" s="12"/>
      <c r="E147" s="12"/>
      <c r="F147" s="12">
        <v>1</v>
      </c>
      <c r="G147" s="13">
        <v>400000</v>
      </c>
      <c r="H147" s="14" t="s">
        <v>8</v>
      </c>
      <c r="I147" s="15" t="s">
        <v>116</v>
      </c>
      <c r="J147" s="37">
        <v>0</v>
      </c>
      <c r="K147" s="37">
        <v>0</v>
      </c>
      <c r="L147" s="37">
        <v>0</v>
      </c>
      <c r="M147" s="37">
        <v>0</v>
      </c>
      <c r="N147" s="39">
        <v>0</v>
      </c>
      <c r="O147" s="37">
        <v>0</v>
      </c>
      <c r="P147" s="39">
        <v>0</v>
      </c>
      <c r="Q147" s="37">
        <v>0</v>
      </c>
      <c r="R147" s="37">
        <v>0</v>
      </c>
      <c r="S147" s="37"/>
      <c r="T147" s="37"/>
      <c r="U147" s="37"/>
      <c r="V147" s="59">
        <f t="shared" si="11"/>
        <v>0</v>
      </c>
      <c r="W147" s="60">
        <f t="shared" si="8"/>
        <v>0</v>
      </c>
      <c r="X147" s="60">
        <f t="shared" si="9"/>
        <v>0</v>
      </c>
      <c r="Y147" s="60">
        <f t="shared" si="10"/>
        <v>0</v>
      </c>
    </row>
    <row r="148" spans="1:25">
      <c r="A148" s="12">
        <v>144</v>
      </c>
      <c r="B148" s="12" t="s">
        <v>194</v>
      </c>
      <c r="C148" s="12"/>
      <c r="D148" s="12"/>
      <c r="E148" s="12" t="s">
        <v>257</v>
      </c>
      <c r="F148" s="12"/>
      <c r="G148" s="13">
        <v>400000</v>
      </c>
      <c r="H148" s="14"/>
      <c r="I148" s="15" t="s">
        <v>116</v>
      </c>
      <c r="J148" s="37">
        <v>0</v>
      </c>
      <c r="K148" s="37">
        <v>0</v>
      </c>
      <c r="L148" s="37">
        <v>0</v>
      </c>
      <c r="M148" s="37">
        <v>0</v>
      </c>
      <c r="N148" s="39">
        <v>0</v>
      </c>
      <c r="O148" s="37">
        <v>0</v>
      </c>
      <c r="P148" s="39">
        <v>0</v>
      </c>
      <c r="Q148" s="37">
        <v>0</v>
      </c>
      <c r="R148" s="37">
        <v>0</v>
      </c>
      <c r="S148" s="37"/>
      <c r="T148" s="37"/>
      <c r="U148" s="37"/>
      <c r="V148" s="59">
        <f t="shared" si="11"/>
        <v>0</v>
      </c>
      <c r="W148" s="60">
        <f t="shared" si="8"/>
        <v>0</v>
      </c>
      <c r="X148" s="60">
        <f t="shared" si="9"/>
        <v>0</v>
      </c>
      <c r="Y148" s="60">
        <f t="shared" si="10"/>
        <v>0</v>
      </c>
    </row>
    <row r="149" spans="1:25">
      <c r="A149" s="12">
        <v>145</v>
      </c>
      <c r="B149" s="12" t="s">
        <v>195</v>
      </c>
      <c r="C149" s="12">
        <v>1067849185</v>
      </c>
      <c r="D149" s="12">
        <v>3043721442</v>
      </c>
      <c r="E149" s="12" t="s">
        <v>567</v>
      </c>
      <c r="F149" s="12"/>
      <c r="G149" s="13">
        <v>1600000</v>
      </c>
      <c r="H149" s="14"/>
      <c r="I149" s="15" t="s">
        <v>116</v>
      </c>
      <c r="J149" s="37">
        <v>400000</v>
      </c>
      <c r="K149" s="37">
        <v>0</v>
      </c>
      <c r="L149" s="37">
        <v>400000</v>
      </c>
      <c r="M149" s="37">
        <v>0</v>
      </c>
      <c r="N149" s="39">
        <v>1600000</v>
      </c>
      <c r="O149" s="37">
        <v>0</v>
      </c>
      <c r="P149" s="39">
        <v>400000</v>
      </c>
      <c r="Q149" s="37">
        <v>400000</v>
      </c>
      <c r="R149" s="37">
        <v>0</v>
      </c>
      <c r="S149" s="37"/>
      <c r="T149" s="37"/>
      <c r="U149" s="37"/>
      <c r="V149" s="59">
        <f t="shared" si="11"/>
        <v>3200000</v>
      </c>
      <c r="W149" s="60">
        <f t="shared" si="8"/>
        <v>8</v>
      </c>
      <c r="X149" s="60">
        <f t="shared" si="9"/>
        <v>5</v>
      </c>
      <c r="Y149" s="60">
        <f t="shared" si="10"/>
        <v>8</v>
      </c>
    </row>
    <row r="150" spans="1:25">
      <c r="A150" s="12">
        <v>146</v>
      </c>
      <c r="B150" s="12" t="s">
        <v>197</v>
      </c>
      <c r="C150" s="12"/>
      <c r="D150" s="12"/>
      <c r="E150" s="12"/>
      <c r="F150" s="12"/>
      <c r="G150" s="13">
        <v>3200000</v>
      </c>
      <c r="H150" s="14"/>
      <c r="I150" s="15" t="s">
        <v>116</v>
      </c>
      <c r="J150" s="37">
        <v>0</v>
      </c>
      <c r="K150" s="37">
        <v>0</v>
      </c>
      <c r="L150" s="37">
        <v>0</v>
      </c>
      <c r="M150" s="37">
        <v>0</v>
      </c>
      <c r="N150" s="39">
        <v>0</v>
      </c>
      <c r="O150" s="37">
        <v>0</v>
      </c>
      <c r="P150" s="39">
        <v>0</v>
      </c>
      <c r="Q150" s="37">
        <v>0</v>
      </c>
      <c r="R150" s="37">
        <v>0</v>
      </c>
      <c r="S150" s="37"/>
      <c r="T150" s="37"/>
      <c r="U150" s="37"/>
      <c r="V150" s="59">
        <f t="shared" si="11"/>
        <v>0</v>
      </c>
      <c r="W150" s="60">
        <f t="shared" si="8"/>
        <v>0</v>
      </c>
      <c r="X150" s="60">
        <f t="shared" si="9"/>
        <v>0</v>
      </c>
      <c r="Y150" s="60">
        <f t="shared" si="10"/>
        <v>0</v>
      </c>
    </row>
    <row r="151" spans="1:25">
      <c r="A151" s="12">
        <v>147</v>
      </c>
      <c r="B151" s="12" t="s">
        <v>198</v>
      </c>
      <c r="C151" s="12"/>
      <c r="D151" s="12"/>
      <c r="E151" s="12"/>
      <c r="F151" s="12"/>
      <c r="G151" s="13">
        <v>3200000</v>
      </c>
      <c r="H151" s="14"/>
      <c r="I151" s="15" t="s">
        <v>116</v>
      </c>
      <c r="J151" s="37">
        <v>0</v>
      </c>
      <c r="K151" s="37">
        <v>0</v>
      </c>
      <c r="L151" s="37">
        <v>0</v>
      </c>
      <c r="M151" s="37">
        <v>0</v>
      </c>
      <c r="N151" s="39">
        <v>0</v>
      </c>
      <c r="O151" s="37">
        <v>0</v>
      </c>
      <c r="P151" s="39">
        <v>0</v>
      </c>
      <c r="Q151" s="37">
        <v>0</v>
      </c>
      <c r="R151" s="37">
        <v>0</v>
      </c>
      <c r="S151" s="37"/>
      <c r="T151" s="37"/>
      <c r="U151" s="37"/>
      <c r="V151" s="59">
        <f t="shared" si="11"/>
        <v>0</v>
      </c>
      <c r="W151" s="60">
        <f t="shared" si="8"/>
        <v>0</v>
      </c>
      <c r="X151" s="60">
        <f t="shared" si="9"/>
        <v>0</v>
      </c>
      <c r="Y151" s="60">
        <f t="shared" si="10"/>
        <v>0</v>
      </c>
    </row>
    <row r="152" spans="1:25">
      <c r="A152" s="12">
        <v>148</v>
      </c>
      <c r="B152" s="16" t="s">
        <v>199</v>
      </c>
      <c r="C152" s="16"/>
      <c r="D152" s="16"/>
      <c r="E152" s="12"/>
      <c r="F152" s="12"/>
      <c r="G152" s="13">
        <v>200000</v>
      </c>
      <c r="H152" s="14"/>
      <c r="I152" s="15" t="s">
        <v>116</v>
      </c>
      <c r="J152" s="37">
        <v>0</v>
      </c>
      <c r="K152" s="37">
        <v>0</v>
      </c>
      <c r="L152" s="37">
        <v>0</v>
      </c>
      <c r="M152" s="37">
        <v>0</v>
      </c>
      <c r="N152" s="39">
        <v>0</v>
      </c>
      <c r="O152" s="37">
        <v>0</v>
      </c>
      <c r="P152" s="39">
        <v>0</v>
      </c>
      <c r="Q152" s="37">
        <v>0</v>
      </c>
      <c r="R152" s="37">
        <v>0</v>
      </c>
      <c r="S152" s="37"/>
      <c r="T152" s="37"/>
      <c r="U152" s="37"/>
      <c r="V152" s="59">
        <f t="shared" si="11"/>
        <v>0</v>
      </c>
      <c r="W152" s="60">
        <f t="shared" si="8"/>
        <v>0</v>
      </c>
      <c r="X152" s="60">
        <f t="shared" si="9"/>
        <v>0</v>
      </c>
      <c r="Y152" s="60">
        <f t="shared" si="10"/>
        <v>0</v>
      </c>
    </row>
    <row r="153" spans="1:25">
      <c r="A153" s="12">
        <v>149</v>
      </c>
      <c r="B153" s="16" t="s">
        <v>201</v>
      </c>
      <c r="C153" s="16"/>
      <c r="D153" s="16"/>
      <c r="E153" s="12"/>
      <c r="F153" s="12"/>
      <c r="G153" s="13">
        <v>800000</v>
      </c>
      <c r="H153" s="14"/>
      <c r="I153" s="15" t="s">
        <v>116</v>
      </c>
      <c r="J153" s="37">
        <v>0</v>
      </c>
      <c r="K153" s="37">
        <v>0</v>
      </c>
      <c r="L153" s="37">
        <v>0</v>
      </c>
      <c r="M153" s="37">
        <v>0</v>
      </c>
      <c r="N153" s="39">
        <v>0</v>
      </c>
      <c r="O153" s="37">
        <v>0</v>
      </c>
      <c r="P153" s="39">
        <v>0</v>
      </c>
      <c r="Q153" s="37">
        <v>0</v>
      </c>
      <c r="R153" s="37">
        <v>0</v>
      </c>
      <c r="S153" s="37"/>
      <c r="T153" s="37"/>
      <c r="U153" s="37"/>
      <c r="V153" s="59">
        <f t="shared" si="11"/>
        <v>0</v>
      </c>
      <c r="W153" s="60">
        <f t="shared" si="8"/>
        <v>0</v>
      </c>
      <c r="X153" s="60">
        <f t="shared" si="9"/>
        <v>0</v>
      </c>
      <c r="Y153" s="60">
        <f t="shared" si="10"/>
        <v>0</v>
      </c>
    </row>
    <row r="154" spans="1:25">
      <c r="A154" s="12">
        <v>150</v>
      </c>
      <c r="B154" s="16" t="s">
        <v>349</v>
      </c>
      <c r="C154" s="16">
        <v>1044429200</v>
      </c>
      <c r="D154" s="16">
        <v>3008202508</v>
      </c>
      <c r="E154" s="12" t="s">
        <v>681</v>
      </c>
      <c r="F154" s="12"/>
      <c r="G154" s="13">
        <v>2490000</v>
      </c>
      <c r="H154" s="14"/>
      <c r="I154" s="15" t="s">
        <v>116</v>
      </c>
      <c r="J154" s="37">
        <v>100000</v>
      </c>
      <c r="K154" s="37">
        <v>200000</v>
      </c>
      <c r="L154" s="37">
        <v>0</v>
      </c>
      <c r="M154" s="37">
        <v>200000</v>
      </c>
      <c r="N154" s="39">
        <v>0</v>
      </c>
      <c r="O154" s="37">
        <v>100000</v>
      </c>
      <c r="P154" s="39">
        <v>200000</v>
      </c>
      <c r="Q154" s="37">
        <v>100000</v>
      </c>
      <c r="R154" s="37">
        <v>0</v>
      </c>
      <c r="S154" s="37"/>
      <c r="T154" s="37"/>
      <c r="U154" s="37"/>
      <c r="V154" s="59">
        <f t="shared" si="11"/>
        <v>900000</v>
      </c>
      <c r="W154" s="60">
        <f t="shared" si="8"/>
        <v>2.25</v>
      </c>
      <c r="X154" s="60">
        <f t="shared" si="9"/>
        <v>6</v>
      </c>
      <c r="Y154" s="60">
        <f t="shared" si="10"/>
        <v>3</v>
      </c>
    </row>
    <row r="155" spans="1:25">
      <c r="A155" s="12">
        <v>151</v>
      </c>
      <c r="B155" s="16" t="s">
        <v>203</v>
      </c>
      <c r="C155" s="12">
        <v>1067594389</v>
      </c>
      <c r="D155" s="12"/>
      <c r="E155" s="12"/>
      <c r="F155" s="12"/>
      <c r="G155" s="13">
        <v>400000</v>
      </c>
      <c r="H155" s="14"/>
      <c r="I155" s="15" t="s">
        <v>116</v>
      </c>
      <c r="J155" s="37">
        <v>0</v>
      </c>
      <c r="K155" s="37">
        <v>0</v>
      </c>
      <c r="L155" s="37">
        <v>0</v>
      </c>
      <c r="M155" s="37">
        <v>0</v>
      </c>
      <c r="N155" s="39">
        <v>0</v>
      </c>
      <c r="O155" s="37">
        <v>0</v>
      </c>
      <c r="P155" s="39">
        <v>0</v>
      </c>
      <c r="Q155" s="37">
        <v>0</v>
      </c>
      <c r="R155" s="37">
        <v>0</v>
      </c>
      <c r="S155" s="37"/>
      <c r="T155" s="37"/>
      <c r="U155" s="37"/>
      <c r="V155" s="59">
        <f t="shared" si="11"/>
        <v>0</v>
      </c>
      <c r="W155" s="60">
        <f t="shared" si="8"/>
        <v>0</v>
      </c>
      <c r="X155" s="60">
        <f t="shared" si="9"/>
        <v>0</v>
      </c>
      <c r="Y155" s="60">
        <f t="shared" si="10"/>
        <v>0</v>
      </c>
    </row>
    <row r="156" spans="1:25">
      <c r="A156" s="12">
        <v>152</v>
      </c>
      <c r="B156" s="16" t="s">
        <v>218</v>
      </c>
      <c r="C156" s="23">
        <v>11705775</v>
      </c>
      <c r="D156" s="12">
        <v>3127559027</v>
      </c>
      <c r="E156" s="12" t="s">
        <v>174</v>
      </c>
      <c r="F156" s="12"/>
      <c r="G156" s="13">
        <v>400000</v>
      </c>
      <c r="H156" s="14"/>
      <c r="I156" s="15" t="s">
        <v>116</v>
      </c>
      <c r="J156" s="37">
        <v>0</v>
      </c>
      <c r="K156" s="37">
        <v>0</v>
      </c>
      <c r="L156" s="37">
        <v>0</v>
      </c>
      <c r="M156" s="37">
        <v>0</v>
      </c>
      <c r="N156" s="39">
        <v>0</v>
      </c>
      <c r="O156" s="37">
        <v>0</v>
      </c>
      <c r="P156" s="39">
        <v>0</v>
      </c>
      <c r="Q156" s="37">
        <v>0</v>
      </c>
      <c r="R156" s="37">
        <v>0</v>
      </c>
      <c r="S156" s="37"/>
      <c r="T156" s="37"/>
      <c r="U156" s="37"/>
      <c r="V156" s="59">
        <f t="shared" si="11"/>
        <v>0</v>
      </c>
      <c r="W156" s="60">
        <f t="shared" si="8"/>
        <v>0</v>
      </c>
      <c r="X156" s="60">
        <f t="shared" si="9"/>
        <v>0</v>
      </c>
      <c r="Y156" s="60">
        <f t="shared" si="10"/>
        <v>0</v>
      </c>
    </row>
    <row r="157" spans="1:25">
      <c r="A157" s="12">
        <v>153</v>
      </c>
      <c r="B157" s="12" t="s">
        <v>231</v>
      </c>
      <c r="C157" s="23">
        <v>1077437902</v>
      </c>
      <c r="D157" s="12">
        <v>3127867720</v>
      </c>
      <c r="E157" s="12" t="s">
        <v>347</v>
      </c>
      <c r="F157" s="12"/>
      <c r="G157" s="13">
        <v>1600000</v>
      </c>
      <c r="H157" s="14"/>
      <c r="I157" s="15" t="s">
        <v>116</v>
      </c>
      <c r="J157" s="37">
        <v>0</v>
      </c>
      <c r="K157" s="37">
        <v>0</v>
      </c>
      <c r="L157" s="37">
        <v>0</v>
      </c>
      <c r="M157" s="37">
        <v>800000</v>
      </c>
      <c r="N157" s="39">
        <v>0</v>
      </c>
      <c r="O157" s="37">
        <v>400000</v>
      </c>
      <c r="P157" s="39">
        <v>0</v>
      </c>
      <c r="Q157" s="37">
        <v>0</v>
      </c>
      <c r="R157" s="37">
        <v>800000</v>
      </c>
      <c r="S157" s="37"/>
      <c r="T157" s="37"/>
      <c r="U157" s="37"/>
      <c r="V157" s="59">
        <f t="shared" si="11"/>
        <v>2000000</v>
      </c>
      <c r="W157" s="60">
        <f t="shared" si="8"/>
        <v>5</v>
      </c>
      <c r="X157" s="60">
        <f t="shared" si="9"/>
        <v>3</v>
      </c>
      <c r="Y157" s="60">
        <f t="shared" si="10"/>
        <v>5</v>
      </c>
    </row>
    <row r="158" spans="1:25">
      <c r="A158" s="12">
        <v>154</v>
      </c>
      <c r="B158" s="16" t="s">
        <v>219</v>
      </c>
      <c r="C158" s="16">
        <v>1003932453</v>
      </c>
      <c r="D158" s="16">
        <v>3226546627</v>
      </c>
      <c r="E158" s="12" t="s">
        <v>347</v>
      </c>
      <c r="F158" s="12"/>
      <c r="G158" s="13">
        <v>1600000</v>
      </c>
      <c r="H158" s="14"/>
      <c r="I158" s="15" t="s">
        <v>116</v>
      </c>
      <c r="J158" s="37">
        <v>0</v>
      </c>
      <c r="K158" s="37">
        <v>0</v>
      </c>
      <c r="L158" s="37">
        <v>0</v>
      </c>
      <c r="M158" s="37">
        <v>0</v>
      </c>
      <c r="N158" s="39">
        <v>0</v>
      </c>
      <c r="O158" s="37">
        <v>0</v>
      </c>
      <c r="P158" s="39">
        <v>0</v>
      </c>
      <c r="Q158" s="37">
        <v>0</v>
      </c>
      <c r="R158" s="37">
        <v>400000</v>
      </c>
      <c r="S158" s="37"/>
      <c r="T158" s="37"/>
      <c r="U158" s="37"/>
      <c r="V158" s="59">
        <f t="shared" si="11"/>
        <v>400000</v>
      </c>
      <c r="W158" s="60">
        <f t="shared" si="8"/>
        <v>1</v>
      </c>
      <c r="X158" s="60">
        <f t="shared" si="9"/>
        <v>1</v>
      </c>
      <c r="Y158" s="60">
        <f t="shared" si="10"/>
        <v>1</v>
      </c>
    </row>
    <row r="159" spans="1:25">
      <c r="A159" s="12">
        <v>155</v>
      </c>
      <c r="B159" s="16" t="s">
        <v>716</v>
      </c>
      <c r="C159" s="16">
        <v>39656630</v>
      </c>
      <c r="D159" s="16">
        <v>3214118979</v>
      </c>
      <c r="E159" s="12" t="s">
        <v>257</v>
      </c>
      <c r="F159" s="12"/>
      <c r="G159" s="13">
        <v>840000</v>
      </c>
      <c r="H159" s="14"/>
      <c r="I159" s="15" t="s">
        <v>116</v>
      </c>
      <c r="J159" s="37">
        <v>140000</v>
      </c>
      <c r="K159" s="37">
        <v>140000</v>
      </c>
      <c r="L159" s="37">
        <v>140000</v>
      </c>
      <c r="M159" s="37">
        <v>120000</v>
      </c>
      <c r="N159" s="39">
        <v>160000</v>
      </c>
      <c r="O159" s="37">
        <v>140000</v>
      </c>
      <c r="P159" s="39">
        <v>140000</v>
      </c>
      <c r="Q159" s="37">
        <v>140000</v>
      </c>
      <c r="R159" s="37">
        <v>140000</v>
      </c>
      <c r="S159" s="37"/>
      <c r="T159" s="37"/>
      <c r="U159" s="37"/>
      <c r="V159" s="59">
        <f t="shared" si="11"/>
        <v>1260000</v>
      </c>
      <c r="W159" s="60">
        <f t="shared" si="8"/>
        <v>3.15</v>
      </c>
      <c r="X159" s="60">
        <f t="shared" si="9"/>
        <v>9</v>
      </c>
      <c r="Y159" s="60">
        <f t="shared" si="10"/>
        <v>4</v>
      </c>
    </row>
    <row r="160" spans="1:25">
      <c r="A160" s="12">
        <v>156</v>
      </c>
      <c r="B160" s="16" t="s">
        <v>221</v>
      </c>
      <c r="C160" s="16"/>
      <c r="D160" s="16"/>
      <c r="E160" s="12"/>
      <c r="F160" s="12"/>
      <c r="G160" s="13">
        <v>460000</v>
      </c>
      <c r="H160" s="14"/>
      <c r="I160" s="15" t="s">
        <v>116</v>
      </c>
      <c r="J160" s="37">
        <v>0</v>
      </c>
      <c r="K160" s="37">
        <v>0</v>
      </c>
      <c r="L160" s="37">
        <v>0</v>
      </c>
      <c r="M160" s="37">
        <v>0</v>
      </c>
      <c r="N160" s="39">
        <v>0</v>
      </c>
      <c r="O160" s="37">
        <v>0</v>
      </c>
      <c r="P160" s="39">
        <v>0</v>
      </c>
      <c r="Q160" s="37">
        <v>0</v>
      </c>
      <c r="R160" s="37">
        <v>0</v>
      </c>
      <c r="S160" s="37"/>
      <c r="T160" s="37"/>
      <c r="U160" s="37"/>
      <c r="V160" s="59">
        <f t="shared" si="11"/>
        <v>0</v>
      </c>
      <c r="W160" s="60">
        <f t="shared" si="8"/>
        <v>0</v>
      </c>
      <c r="X160" s="60">
        <f t="shared" si="9"/>
        <v>0</v>
      </c>
      <c r="Y160" s="60">
        <f t="shared" si="10"/>
        <v>0</v>
      </c>
    </row>
    <row r="161" spans="1:25">
      <c r="A161" s="12">
        <v>157</v>
      </c>
      <c r="B161" s="16" t="s">
        <v>250</v>
      </c>
      <c r="C161" s="16">
        <v>60267661</v>
      </c>
      <c r="D161" s="16"/>
      <c r="E161" s="12" t="s">
        <v>217</v>
      </c>
      <c r="F161" s="12"/>
      <c r="G161" s="13">
        <v>250000</v>
      </c>
      <c r="H161" s="14"/>
      <c r="I161" s="15" t="s">
        <v>116</v>
      </c>
      <c r="J161" s="37">
        <v>0</v>
      </c>
      <c r="K161" s="37">
        <v>0</v>
      </c>
      <c r="L161" s="37">
        <v>0</v>
      </c>
      <c r="M161" s="37">
        <v>0</v>
      </c>
      <c r="N161" s="39">
        <v>0</v>
      </c>
      <c r="O161" s="37">
        <v>0</v>
      </c>
      <c r="P161" s="39">
        <v>0</v>
      </c>
      <c r="Q161" s="37">
        <v>0</v>
      </c>
      <c r="R161" s="37">
        <v>0</v>
      </c>
      <c r="S161" s="37"/>
      <c r="T161" s="37"/>
      <c r="U161" s="37"/>
      <c r="V161" s="59">
        <f t="shared" si="11"/>
        <v>0</v>
      </c>
      <c r="W161" s="60">
        <f t="shared" si="8"/>
        <v>0</v>
      </c>
      <c r="X161" s="60">
        <f t="shared" si="9"/>
        <v>0</v>
      </c>
      <c r="Y161" s="60">
        <f t="shared" si="10"/>
        <v>0</v>
      </c>
    </row>
    <row r="162" spans="1:25">
      <c r="A162" s="12">
        <v>158</v>
      </c>
      <c r="B162" s="16" t="s">
        <v>227</v>
      </c>
      <c r="C162" s="16">
        <v>39105075</v>
      </c>
      <c r="D162" s="16"/>
      <c r="E162" s="12"/>
      <c r="F162" s="12"/>
      <c r="G162" s="13">
        <v>400000</v>
      </c>
      <c r="H162" s="14"/>
      <c r="I162" s="15" t="s">
        <v>116</v>
      </c>
      <c r="J162" s="37">
        <v>0</v>
      </c>
      <c r="K162" s="37">
        <v>0</v>
      </c>
      <c r="L162" s="37">
        <v>0</v>
      </c>
      <c r="M162" s="37">
        <v>0</v>
      </c>
      <c r="N162" s="39">
        <v>0</v>
      </c>
      <c r="O162" s="37">
        <v>0</v>
      </c>
      <c r="P162" s="39">
        <v>0</v>
      </c>
      <c r="Q162" s="37">
        <v>0</v>
      </c>
      <c r="R162" s="37">
        <v>0</v>
      </c>
      <c r="S162" s="37"/>
      <c r="T162" s="37"/>
      <c r="U162" s="37"/>
      <c r="V162" s="59">
        <f t="shared" si="11"/>
        <v>0</v>
      </c>
      <c r="W162" s="60">
        <f t="shared" si="8"/>
        <v>0</v>
      </c>
      <c r="X162" s="60">
        <f t="shared" si="9"/>
        <v>0</v>
      </c>
      <c r="Y162" s="60">
        <f t="shared" si="10"/>
        <v>0</v>
      </c>
    </row>
    <row r="163" spans="1:25">
      <c r="A163" s="12">
        <v>159</v>
      </c>
      <c r="B163" s="16" t="s">
        <v>228</v>
      </c>
      <c r="C163" s="16">
        <v>11785866</v>
      </c>
      <c r="D163" s="16">
        <v>3106178104</v>
      </c>
      <c r="E163" s="12" t="s">
        <v>347</v>
      </c>
      <c r="F163" s="12"/>
      <c r="G163" s="13">
        <v>2400000</v>
      </c>
      <c r="H163" s="14"/>
      <c r="I163" s="15" t="s">
        <v>116</v>
      </c>
      <c r="J163" s="37">
        <v>400000</v>
      </c>
      <c r="K163" s="37">
        <v>400000</v>
      </c>
      <c r="L163" s="37">
        <v>400000</v>
      </c>
      <c r="M163" s="37">
        <v>2400000</v>
      </c>
      <c r="N163" s="39">
        <v>0</v>
      </c>
      <c r="O163" s="37">
        <v>800000</v>
      </c>
      <c r="P163" s="39">
        <v>800000</v>
      </c>
      <c r="Q163" s="37">
        <v>800000</v>
      </c>
      <c r="R163" s="37">
        <v>1600000</v>
      </c>
      <c r="S163" s="37"/>
      <c r="T163" s="37"/>
      <c r="U163" s="37"/>
      <c r="V163" s="59">
        <f t="shared" si="11"/>
        <v>7600000</v>
      </c>
      <c r="W163" s="60">
        <f t="shared" si="8"/>
        <v>19</v>
      </c>
      <c r="X163" s="60">
        <f t="shared" si="9"/>
        <v>8</v>
      </c>
      <c r="Y163" s="60">
        <f t="shared" si="10"/>
        <v>19</v>
      </c>
    </row>
    <row r="164" spans="1:25">
      <c r="A164" s="12">
        <v>160</v>
      </c>
      <c r="B164" s="16" t="s">
        <v>636</v>
      </c>
      <c r="C164" s="16">
        <v>45591667</v>
      </c>
      <c r="D164" s="16">
        <v>3002275338</v>
      </c>
      <c r="E164" s="12" t="s">
        <v>230</v>
      </c>
      <c r="F164" s="12"/>
      <c r="G164" s="13">
        <v>400000</v>
      </c>
      <c r="H164" s="14"/>
      <c r="I164" s="15" t="s">
        <v>116</v>
      </c>
      <c r="J164" s="37">
        <v>0</v>
      </c>
      <c r="K164" s="37">
        <v>0</v>
      </c>
      <c r="L164" s="37">
        <v>400000</v>
      </c>
      <c r="M164" s="37">
        <v>0</v>
      </c>
      <c r="N164" s="39">
        <v>400000</v>
      </c>
      <c r="O164" s="37">
        <v>400000</v>
      </c>
      <c r="P164" s="39">
        <v>400000</v>
      </c>
      <c r="Q164" s="37">
        <v>0</v>
      </c>
      <c r="R164" s="37">
        <v>400000</v>
      </c>
      <c r="S164" s="37"/>
      <c r="T164" s="37"/>
      <c r="U164" s="37"/>
      <c r="V164" s="59">
        <f t="shared" si="11"/>
        <v>2000000</v>
      </c>
      <c r="W164" s="60">
        <f t="shared" si="8"/>
        <v>5</v>
      </c>
      <c r="X164" s="60">
        <f t="shared" si="9"/>
        <v>5</v>
      </c>
      <c r="Y164" s="60">
        <f t="shared" si="10"/>
        <v>5</v>
      </c>
    </row>
    <row r="165" spans="1:25">
      <c r="A165" s="12">
        <v>161</v>
      </c>
      <c r="B165" s="16" t="s">
        <v>232</v>
      </c>
      <c r="C165" s="16"/>
      <c r="D165" s="16"/>
      <c r="E165" s="12"/>
      <c r="F165" s="12"/>
      <c r="G165" s="13">
        <v>400000</v>
      </c>
      <c r="H165" s="14"/>
      <c r="I165" s="15" t="s">
        <v>116</v>
      </c>
      <c r="J165" s="37">
        <v>0</v>
      </c>
      <c r="K165" s="37">
        <v>0</v>
      </c>
      <c r="L165" s="37">
        <v>0</v>
      </c>
      <c r="M165" s="37">
        <v>0</v>
      </c>
      <c r="N165" s="39">
        <v>0</v>
      </c>
      <c r="O165" s="37">
        <v>0</v>
      </c>
      <c r="P165" s="39">
        <v>0</v>
      </c>
      <c r="Q165" s="37">
        <v>0</v>
      </c>
      <c r="R165" s="37">
        <v>0</v>
      </c>
      <c r="S165" s="37"/>
      <c r="T165" s="37"/>
      <c r="U165" s="37"/>
      <c r="V165" s="59">
        <f t="shared" si="11"/>
        <v>0</v>
      </c>
      <c r="W165" s="60">
        <f t="shared" si="8"/>
        <v>0</v>
      </c>
      <c r="X165" s="60">
        <f t="shared" si="9"/>
        <v>0</v>
      </c>
      <c r="Y165" s="60">
        <f t="shared" si="10"/>
        <v>0</v>
      </c>
    </row>
    <row r="166" spans="1:25">
      <c r="A166" s="12">
        <v>162</v>
      </c>
      <c r="B166" s="12" t="s">
        <v>233</v>
      </c>
      <c r="C166" s="12">
        <v>88311237</v>
      </c>
      <c r="D166" s="12">
        <v>3157844390</v>
      </c>
      <c r="E166" s="12" t="s">
        <v>239</v>
      </c>
      <c r="F166" s="12"/>
      <c r="G166" s="12">
        <v>900000</v>
      </c>
      <c r="H166" s="12"/>
      <c r="I166" s="15" t="s">
        <v>116</v>
      </c>
      <c r="J166" s="37">
        <v>400000</v>
      </c>
      <c r="K166" s="37">
        <v>400000</v>
      </c>
      <c r="L166" s="37">
        <v>0</v>
      </c>
      <c r="M166" s="37">
        <v>400000</v>
      </c>
      <c r="N166" s="39">
        <v>400000</v>
      </c>
      <c r="O166" s="37">
        <v>400000</v>
      </c>
      <c r="P166" s="39">
        <v>400000</v>
      </c>
      <c r="Q166" s="37">
        <v>687500</v>
      </c>
      <c r="R166" s="37">
        <v>400000</v>
      </c>
      <c r="S166" s="37"/>
      <c r="T166" s="37"/>
      <c r="U166" s="37"/>
      <c r="V166" s="59">
        <f t="shared" si="11"/>
        <v>3487500</v>
      </c>
      <c r="W166" s="60">
        <f t="shared" si="8"/>
        <v>8.71875</v>
      </c>
      <c r="X166" s="60">
        <f t="shared" si="9"/>
        <v>8</v>
      </c>
      <c r="Y166" s="60">
        <f t="shared" si="10"/>
        <v>9</v>
      </c>
    </row>
    <row r="167" spans="1:25">
      <c r="A167" s="12">
        <v>163</v>
      </c>
      <c r="B167" s="12" t="s">
        <v>234</v>
      </c>
      <c r="C167" s="12">
        <v>109042290</v>
      </c>
      <c r="D167" s="12"/>
      <c r="E167" s="12"/>
      <c r="F167" s="12"/>
      <c r="G167" s="12">
        <v>100000</v>
      </c>
      <c r="H167" s="12"/>
      <c r="I167" s="15" t="s">
        <v>116</v>
      </c>
      <c r="J167" s="37">
        <v>0</v>
      </c>
      <c r="K167" s="37">
        <v>0</v>
      </c>
      <c r="L167" s="37">
        <v>0</v>
      </c>
      <c r="M167" s="37">
        <v>0</v>
      </c>
      <c r="N167" s="39">
        <v>0</v>
      </c>
      <c r="O167" s="37">
        <v>0</v>
      </c>
      <c r="P167" s="39">
        <v>0</v>
      </c>
      <c r="Q167" s="37">
        <v>0</v>
      </c>
      <c r="R167" s="37">
        <v>0</v>
      </c>
      <c r="S167" s="37"/>
      <c r="T167" s="37"/>
      <c r="U167" s="37"/>
      <c r="V167" s="59">
        <f t="shared" si="11"/>
        <v>0</v>
      </c>
      <c r="W167" s="60">
        <f t="shared" si="8"/>
        <v>0</v>
      </c>
      <c r="X167" s="60">
        <f t="shared" si="9"/>
        <v>0</v>
      </c>
      <c r="Y167" s="60">
        <f t="shared" si="10"/>
        <v>0</v>
      </c>
    </row>
    <row r="168" spans="1:25">
      <c r="A168" s="12">
        <v>164</v>
      </c>
      <c r="B168" s="12" t="s">
        <v>235</v>
      </c>
      <c r="C168" s="12">
        <v>10937503</v>
      </c>
      <c r="D168" s="12"/>
      <c r="E168" s="12"/>
      <c r="F168" s="12"/>
      <c r="G168" s="12">
        <v>100000</v>
      </c>
      <c r="H168" s="12"/>
      <c r="I168" s="15" t="s">
        <v>116</v>
      </c>
      <c r="J168" s="37">
        <v>0</v>
      </c>
      <c r="K168" s="37">
        <v>0</v>
      </c>
      <c r="L168" s="37">
        <v>0</v>
      </c>
      <c r="M168" s="37">
        <v>0</v>
      </c>
      <c r="N168" s="39">
        <v>0</v>
      </c>
      <c r="O168" s="37">
        <v>0</v>
      </c>
      <c r="P168" s="39">
        <v>0</v>
      </c>
      <c r="Q168" s="37">
        <v>0</v>
      </c>
      <c r="R168" s="37">
        <v>0</v>
      </c>
      <c r="S168" s="37"/>
      <c r="T168" s="37"/>
      <c r="U168" s="37"/>
      <c r="V168" s="59">
        <f t="shared" si="11"/>
        <v>0</v>
      </c>
      <c r="W168" s="60">
        <f t="shared" si="8"/>
        <v>0</v>
      </c>
      <c r="X168" s="60">
        <f t="shared" si="9"/>
        <v>0</v>
      </c>
      <c r="Y168" s="60">
        <f t="shared" si="10"/>
        <v>0</v>
      </c>
    </row>
    <row r="169" spans="1:25">
      <c r="A169" s="12">
        <v>165</v>
      </c>
      <c r="B169" s="12" t="s">
        <v>236</v>
      </c>
      <c r="C169" s="12">
        <v>60442867</v>
      </c>
      <c r="D169" s="12"/>
      <c r="E169" s="12"/>
      <c r="F169" s="12"/>
      <c r="G169" s="12">
        <v>900000</v>
      </c>
      <c r="H169" s="12"/>
      <c r="I169" s="15" t="s">
        <v>116</v>
      </c>
      <c r="J169" s="37">
        <v>0</v>
      </c>
      <c r="K169" s="37">
        <v>0</v>
      </c>
      <c r="L169" s="37">
        <v>0</v>
      </c>
      <c r="M169" s="37">
        <v>0</v>
      </c>
      <c r="N169" s="39">
        <v>0</v>
      </c>
      <c r="O169" s="37">
        <v>0</v>
      </c>
      <c r="P169" s="39">
        <v>0</v>
      </c>
      <c r="Q169" s="37">
        <v>0</v>
      </c>
      <c r="R169" s="37">
        <v>0</v>
      </c>
      <c r="S169" s="37"/>
      <c r="T169" s="37"/>
      <c r="U169" s="37"/>
      <c r="V169" s="59">
        <f t="shared" si="11"/>
        <v>0</v>
      </c>
      <c r="W169" s="60">
        <f t="shared" si="8"/>
        <v>0</v>
      </c>
      <c r="X169" s="60">
        <f t="shared" si="9"/>
        <v>0</v>
      </c>
      <c r="Y169" s="60">
        <f t="shared" si="10"/>
        <v>0</v>
      </c>
    </row>
    <row r="170" spans="1:25">
      <c r="A170" s="12">
        <v>166</v>
      </c>
      <c r="B170" s="16" t="s">
        <v>238</v>
      </c>
      <c r="C170" s="12">
        <v>1090397309</v>
      </c>
      <c r="D170" s="16"/>
      <c r="E170" s="12" t="s">
        <v>239</v>
      </c>
      <c r="F170" s="12"/>
      <c r="G170" s="13">
        <v>800000</v>
      </c>
      <c r="H170" s="14"/>
      <c r="I170" s="15" t="s">
        <v>116</v>
      </c>
      <c r="J170" s="37">
        <v>0</v>
      </c>
      <c r="K170" s="37">
        <v>0</v>
      </c>
      <c r="L170" s="37">
        <v>0</v>
      </c>
      <c r="M170" s="37">
        <v>0</v>
      </c>
      <c r="N170" s="39">
        <v>0</v>
      </c>
      <c r="O170" s="37">
        <v>0</v>
      </c>
      <c r="P170" s="39">
        <v>0</v>
      </c>
      <c r="Q170" s="37">
        <v>0</v>
      </c>
      <c r="R170" s="37">
        <v>0</v>
      </c>
      <c r="S170" s="37"/>
      <c r="T170" s="37"/>
      <c r="U170" s="37"/>
      <c r="V170" s="59">
        <f t="shared" si="11"/>
        <v>0</v>
      </c>
      <c r="W170" s="60">
        <f t="shared" si="8"/>
        <v>0</v>
      </c>
      <c r="X170" s="60">
        <f t="shared" si="9"/>
        <v>0</v>
      </c>
      <c r="Y170" s="60">
        <f t="shared" si="10"/>
        <v>0</v>
      </c>
    </row>
    <row r="171" spans="1:25">
      <c r="A171" s="12">
        <v>167</v>
      </c>
      <c r="B171" s="16" t="s">
        <v>240</v>
      </c>
      <c r="C171" s="16"/>
      <c r="D171" s="16"/>
      <c r="E171" s="12"/>
      <c r="F171" s="12"/>
      <c r="G171" s="13">
        <v>950000</v>
      </c>
      <c r="H171" s="14"/>
      <c r="I171" s="15" t="s">
        <v>116</v>
      </c>
      <c r="J171" s="37">
        <v>0</v>
      </c>
      <c r="K171" s="37">
        <v>0</v>
      </c>
      <c r="L171" s="37">
        <v>0</v>
      </c>
      <c r="M171" s="37">
        <v>0</v>
      </c>
      <c r="N171" s="39">
        <v>0</v>
      </c>
      <c r="O171" s="37">
        <v>0</v>
      </c>
      <c r="P171" s="39">
        <v>0</v>
      </c>
      <c r="Q171" s="37">
        <v>0</v>
      </c>
      <c r="R171" s="37">
        <v>0</v>
      </c>
      <c r="S171" s="37"/>
      <c r="T171" s="37"/>
      <c r="U171" s="37"/>
      <c r="V171" s="59">
        <f t="shared" si="11"/>
        <v>0</v>
      </c>
      <c r="W171" s="60">
        <f t="shared" si="8"/>
        <v>0</v>
      </c>
      <c r="X171" s="60">
        <f t="shared" si="9"/>
        <v>0</v>
      </c>
      <c r="Y171" s="60">
        <f t="shared" si="10"/>
        <v>0</v>
      </c>
    </row>
    <row r="172" spans="1:25">
      <c r="A172" s="12">
        <v>168</v>
      </c>
      <c r="B172" s="16" t="s">
        <v>241</v>
      </c>
      <c r="C172" s="16">
        <v>1093786204</v>
      </c>
      <c r="D172" s="16">
        <v>3212596253</v>
      </c>
      <c r="E172" s="12" t="s">
        <v>239</v>
      </c>
      <c r="F172" s="12"/>
      <c r="G172" s="13">
        <v>2400000</v>
      </c>
      <c r="H172" s="14"/>
      <c r="I172" s="15" t="s">
        <v>116</v>
      </c>
      <c r="J172" s="37">
        <v>0</v>
      </c>
      <c r="K172" s="37">
        <v>0</v>
      </c>
      <c r="L172" s="37">
        <v>0</v>
      </c>
      <c r="M172" s="37">
        <v>1200000</v>
      </c>
      <c r="N172" s="39">
        <v>0</v>
      </c>
      <c r="O172" s="37">
        <v>2000000</v>
      </c>
      <c r="P172" s="39">
        <v>1200000</v>
      </c>
      <c r="Q172" s="37">
        <v>1200000</v>
      </c>
      <c r="R172" s="37">
        <v>0</v>
      </c>
      <c r="S172" s="37"/>
      <c r="T172" s="37"/>
      <c r="U172" s="37"/>
      <c r="V172" s="59">
        <f t="shared" si="11"/>
        <v>5600000</v>
      </c>
      <c r="W172" s="60">
        <f t="shared" si="8"/>
        <v>14</v>
      </c>
      <c r="X172" s="60">
        <f t="shared" si="9"/>
        <v>4</v>
      </c>
      <c r="Y172" s="60">
        <f t="shared" si="10"/>
        <v>14</v>
      </c>
    </row>
    <row r="173" spans="1:25">
      <c r="A173" s="12">
        <v>169</v>
      </c>
      <c r="B173" s="16" t="s">
        <v>242</v>
      </c>
      <c r="C173" s="16"/>
      <c r="D173" s="16"/>
      <c r="E173" s="12" t="s">
        <v>547</v>
      </c>
      <c r="F173" s="12"/>
      <c r="G173" s="13">
        <v>400000</v>
      </c>
      <c r="H173" s="14"/>
      <c r="I173" s="15" t="s">
        <v>116</v>
      </c>
      <c r="J173" s="37">
        <v>0</v>
      </c>
      <c r="K173" s="37">
        <v>0</v>
      </c>
      <c r="L173" s="37">
        <v>0</v>
      </c>
      <c r="M173" s="37">
        <v>0</v>
      </c>
      <c r="N173" s="39">
        <v>0</v>
      </c>
      <c r="O173" s="37">
        <v>0</v>
      </c>
      <c r="P173" s="39">
        <v>0</v>
      </c>
      <c r="Q173" s="37">
        <v>0</v>
      </c>
      <c r="R173" s="37">
        <v>0</v>
      </c>
      <c r="S173" s="37"/>
      <c r="T173" s="37"/>
      <c r="U173" s="37"/>
      <c r="V173" s="59">
        <f t="shared" si="11"/>
        <v>0</v>
      </c>
      <c r="W173" s="60">
        <f t="shared" si="8"/>
        <v>0</v>
      </c>
      <c r="X173" s="60">
        <f t="shared" si="9"/>
        <v>0</v>
      </c>
      <c r="Y173" s="60">
        <f t="shared" si="10"/>
        <v>0</v>
      </c>
    </row>
    <row r="174" spans="1:25">
      <c r="A174" s="12">
        <v>170</v>
      </c>
      <c r="B174" s="16" t="s">
        <v>246</v>
      </c>
      <c r="C174" s="16"/>
      <c r="D174" s="16"/>
      <c r="E174" s="12" t="s">
        <v>619</v>
      </c>
      <c r="F174" s="12"/>
      <c r="G174" s="13">
        <v>3600000</v>
      </c>
      <c r="H174" s="14"/>
      <c r="I174" s="15" t="s">
        <v>116</v>
      </c>
      <c r="J174" s="37">
        <v>800000</v>
      </c>
      <c r="K174" s="37">
        <v>400000</v>
      </c>
      <c r="L174" s="37">
        <v>800000</v>
      </c>
      <c r="M174" s="37">
        <v>800000</v>
      </c>
      <c r="N174" s="39">
        <v>800000</v>
      </c>
      <c r="O174" s="37">
        <v>800000</v>
      </c>
      <c r="P174" s="39">
        <v>800000</v>
      </c>
      <c r="Q174" s="37">
        <v>950000</v>
      </c>
      <c r="R174" s="37">
        <v>0</v>
      </c>
      <c r="S174" s="37"/>
      <c r="T174" s="37"/>
      <c r="U174" s="37"/>
      <c r="V174" s="59">
        <f t="shared" si="11"/>
        <v>6150000</v>
      </c>
      <c r="W174" s="60">
        <f t="shared" si="8"/>
        <v>15.375</v>
      </c>
      <c r="X174" s="60">
        <f t="shared" si="9"/>
        <v>8</v>
      </c>
      <c r="Y174" s="60">
        <f t="shared" si="10"/>
        <v>16</v>
      </c>
    </row>
    <row r="175" spans="1:25">
      <c r="A175" s="12">
        <v>171</v>
      </c>
      <c r="B175" s="16" t="s">
        <v>247</v>
      </c>
      <c r="C175" s="16">
        <v>79772077</v>
      </c>
      <c r="D175" s="16"/>
      <c r="E175" s="12"/>
      <c r="F175" s="12"/>
      <c r="G175" s="13">
        <v>1200000</v>
      </c>
      <c r="H175" s="14"/>
      <c r="I175" s="15" t="s">
        <v>116</v>
      </c>
      <c r="J175" s="37">
        <v>0</v>
      </c>
      <c r="K175" s="37">
        <v>0</v>
      </c>
      <c r="L175" s="37">
        <v>0</v>
      </c>
      <c r="M175" s="37">
        <v>0</v>
      </c>
      <c r="N175" s="39">
        <v>0</v>
      </c>
      <c r="O175" s="37">
        <v>0</v>
      </c>
      <c r="P175" s="39">
        <v>0</v>
      </c>
      <c r="Q175" s="37">
        <v>0</v>
      </c>
      <c r="R175" s="37">
        <v>0</v>
      </c>
      <c r="S175" s="37"/>
      <c r="T175" s="37"/>
      <c r="U175" s="37"/>
      <c r="V175" s="59">
        <f t="shared" si="11"/>
        <v>0</v>
      </c>
      <c r="W175" s="60">
        <f t="shared" si="8"/>
        <v>0</v>
      </c>
      <c r="X175" s="60">
        <f t="shared" si="9"/>
        <v>0</v>
      </c>
      <c r="Y175" s="60">
        <f t="shared" si="10"/>
        <v>0</v>
      </c>
    </row>
    <row r="176" spans="1:25">
      <c r="A176" s="12">
        <v>172</v>
      </c>
      <c r="B176" s="16" t="s">
        <v>248</v>
      </c>
      <c r="C176" s="16">
        <v>1093775115</v>
      </c>
      <c r="D176" s="16"/>
      <c r="E176" s="12" t="s">
        <v>729</v>
      </c>
      <c r="F176" s="12"/>
      <c r="G176" s="13">
        <v>1200000</v>
      </c>
      <c r="H176" s="14"/>
      <c r="I176" s="15" t="s">
        <v>116</v>
      </c>
      <c r="J176" s="37">
        <v>0</v>
      </c>
      <c r="K176" s="37">
        <v>0</v>
      </c>
      <c r="L176" s="37">
        <v>400000</v>
      </c>
      <c r="M176" s="37">
        <v>400000</v>
      </c>
      <c r="N176" s="39">
        <v>400000</v>
      </c>
      <c r="O176" s="37">
        <v>0</v>
      </c>
      <c r="P176" s="39">
        <v>0</v>
      </c>
      <c r="Q176" s="37">
        <v>0</v>
      </c>
      <c r="R176" s="37">
        <v>0</v>
      </c>
      <c r="S176" s="37"/>
      <c r="T176" s="37"/>
      <c r="U176" s="37"/>
      <c r="V176" s="59">
        <f t="shared" si="11"/>
        <v>1200000</v>
      </c>
      <c r="W176" s="60">
        <f t="shared" si="8"/>
        <v>3</v>
      </c>
      <c r="X176" s="60">
        <f t="shared" si="9"/>
        <v>3</v>
      </c>
      <c r="Y176" s="60">
        <f t="shared" si="10"/>
        <v>3</v>
      </c>
    </row>
    <row r="177" spans="1:25">
      <c r="A177" s="12">
        <v>173</v>
      </c>
      <c r="B177" s="16" t="s">
        <v>249</v>
      </c>
      <c r="C177" s="16">
        <v>1048020150</v>
      </c>
      <c r="D177" s="16">
        <v>3012225929</v>
      </c>
      <c r="E177" s="12" t="s">
        <v>345</v>
      </c>
      <c r="F177" s="12"/>
      <c r="G177" s="13">
        <v>1200000</v>
      </c>
      <c r="H177" s="14"/>
      <c r="I177" s="15" t="s">
        <v>116</v>
      </c>
      <c r="J177" s="37">
        <v>800000</v>
      </c>
      <c r="K177" s="37">
        <v>0</v>
      </c>
      <c r="L177" s="37">
        <v>0</v>
      </c>
      <c r="M177" s="37">
        <v>0</v>
      </c>
      <c r="N177" s="39">
        <v>400000</v>
      </c>
      <c r="O177" s="37">
        <v>400000</v>
      </c>
      <c r="P177" s="39">
        <v>400000</v>
      </c>
      <c r="Q177" s="37">
        <v>800000</v>
      </c>
      <c r="R177" s="37">
        <v>0</v>
      </c>
      <c r="S177" s="37"/>
      <c r="T177" s="37"/>
      <c r="U177" s="37"/>
      <c r="V177" s="59">
        <f t="shared" si="11"/>
        <v>2800000</v>
      </c>
      <c r="W177" s="60">
        <f t="shared" si="8"/>
        <v>7</v>
      </c>
      <c r="X177" s="60">
        <f t="shared" si="9"/>
        <v>5</v>
      </c>
      <c r="Y177" s="60">
        <f t="shared" si="10"/>
        <v>7</v>
      </c>
    </row>
    <row r="178" spans="1:25">
      <c r="A178" s="12">
        <v>174</v>
      </c>
      <c r="B178" s="16" t="s">
        <v>553</v>
      </c>
      <c r="C178" s="16">
        <v>1042767190</v>
      </c>
      <c r="D178" s="16">
        <v>3146496028</v>
      </c>
      <c r="E178" s="12" t="s">
        <v>351</v>
      </c>
      <c r="F178" s="12"/>
      <c r="G178" s="13">
        <v>2000000</v>
      </c>
      <c r="H178" s="14"/>
      <c r="I178" s="15" t="s">
        <v>116</v>
      </c>
      <c r="J178" s="37">
        <v>1200000</v>
      </c>
      <c r="K178" s="37">
        <v>0</v>
      </c>
      <c r="L178" s="37">
        <v>600000</v>
      </c>
      <c r="M178" s="37">
        <v>600000</v>
      </c>
      <c r="N178" s="39">
        <v>0</v>
      </c>
      <c r="O178" s="37">
        <v>1400000</v>
      </c>
      <c r="P178" s="39">
        <v>800000</v>
      </c>
      <c r="Q178" s="37">
        <v>800000</v>
      </c>
      <c r="R178" s="37">
        <v>800000</v>
      </c>
      <c r="S178" s="37"/>
      <c r="T178" s="37"/>
      <c r="U178" s="37"/>
      <c r="V178" s="59">
        <f t="shared" si="11"/>
        <v>6200000</v>
      </c>
      <c r="W178" s="60">
        <f t="shared" si="8"/>
        <v>15.5</v>
      </c>
      <c r="X178" s="60">
        <f t="shared" si="9"/>
        <v>7</v>
      </c>
      <c r="Y178" s="60">
        <f t="shared" si="10"/>
        <v>16</v>
      </c>
    </row>
    <row r="179" spans="1:25">
      <c r="A179" s="12">
        <v>175</v>
      </c>
      <c r="B179" s="16" t="s">
        <v>569</v>
      </c>
      <c r="C179" s="16">
        <v>54252099</v>
      </c>
      <c r="D179" s="16" t="s">
        <v>451</v>
      </c>
      <c r="E179" s="12" t="s">
        <v>347</v>
      </c>
      <c r="F179" s="12"/>
      <c r="G179" s="13">
        <v>1600000</v>
      </c>
      <c r="H179" s="14"/>
      <c r="I179" s="15" t="s">
        <v>116</v>
      </c>
      <c r="J179" s="37">
        <v>0</v>
      </c>
      <c r="K179" s="37">
        <v>400000</v>
      </c>
      <c r="L179" s="37">
        <v>400000</v>
      </c>
      <c r="M179" s="37">
        <v>400000</v>
      </c>
      <c r="N179" s="39">
        <v>400000</v>
      </c>
      <c r="O179" s="37">
        <v>400000</v>
      </c>
      <c r="P179" s="39">
        <v>400000</v>
      </c>
      <c r="Q179" s="37">
        <v>400000</v>
      </c>
      <c r="R179" s="37">
        <v>400000</v>
      </c>
      <c r="S179" s="37"/>
      <c r="T179" s="37"/>
      <c r="U179" s="37"/>
      <c r="V179" s="59">
        <f t="shared" si="11"/>
        <v>3200000</v>
      </c>
      <c r="W179" s="60">
        <f t="shared" si="8"/>
        <v>8</v>
      </c>
      <c r="X179" s="60">
        <f t="shared" si="9"/>
        <v>8</v>
      </c>
      <c r="Y179" s="60">
        <f t="shared" si="10"/>
        <v>8</v>
      </c>
    </row>
    <row r="180" spans="1:25">
      <c r="A180" s="12">
        <v>176</v>
      </c>
      <c r="B180" s="16" t="s">
        <v>452</v>
      </c>
      <c r="C180" s="16">
        <v>64543061</v>
      </c>
      <c r="D180" s="16">
        <v>3007191532</v>
      </c>
      <c r="E180" s="12" t="s">
        <v>230</v>
      </c>
      <c r="F180" s="12"/>
      <c r="G180" s="13">
        <v>2000000</v>
      </c>
      <c r="H180" s="14"/>
      <c r="I180" s="15" t="s">
        <v>116</v>
      </c>
      <c r="J180" s="37">
        <v>400000</v>
      </c>
      <c r="K180" s="37">
        <v>400000</v>
      </c>
      <c r="L180" s="37">
        <v>400000</v>
      </c>
      <c r="M180" s="37">
        <v>400000</v>
      </c>
      <c r="N180" s="39">
        <v>400000</v>
      </c>
      <c r="O180" s="37">
        <v>800000</v>
      </c>
      <c r="P180" s="39">
        <v>400000</v>
      </c>
      <c r="Q180" s="37">
        <v>400000</v>
      </c>
      <c r="R180" s="37">
        <v>800000</v>
      </c>
      <c r="S180" s="37"/>
      <c r="T180" s="37"/>
      <c r="U180" s="37"/>
      <c r="V180" s="59">
        <f t="shared" si="11"/>
        <v>4400000</v>
      </c>
      <c r="W180" s="60">
        <f t="shared" si="8"/>
        <v>11</v>
      </c>
      <c r="X180" s="60">
        <f t="shared" si="9"/>
        <v>9</v>
      </c>
      <c r="Y180" s="60">
        <f t="shared" si="10"/>
        <v>11</v>
      </c>
    </row>
    <row r="181" spans="1:25">
      <c r="A181" s="12">
        <v>177</v>
      </c>
      <c r="B181" s="16" t="s">
        <v>252</v>
      </c>
      <c r="C181" s="16">
        <v>1128051565</v>
      </c>
      <c r="D181" s="16"/>
      <c r="E181" s="12"/>
      <c r="F181" s="12"/>
      <c r="G181" s="13">
        <v>400000</v>
      </c>
      <c r="H181" s="14"/>
      <c r="I181" s="15" t="s">
        <v>116</v>
      </c>
      <c r="J181" s="37">
        <v>0</v>
      </c>
      <c r="K181" s="37">
        <v>0</v>
      </c>
      <c r="L181" s="37">
        <v>0</v>
      </c>
      <c r="M181" s="37">
        <v>0</v>
      </c>
      <c r="N181" s="39">
        <v>0</v>
      </c>
      <c r="O181" s="37">
        <v>0</v>
      </c>
      <c r="P181" s="39">
        <v>0</v>
      </c>
      <c r="Q181" s="37">
        <v>0</v>
      </c>
      <c r="R181" s="37">
        <v>0</v>
      </c>
      <c r="S181" s="37"/>
      <c r="T181" s="37"/>
      <c r="U181" s="37"/>
      <c r="V181" s="59">
        <f t="shared" si="11"/>
        <v>0</v>
      </c>
      <c r="W181" s="60">
        <f t="shared" si="8"/>
        <v>0</v>
      </c>
      <c r="X181" s="60">
        <f t="shared" si="9"/>
        <v>0</v>
      </c>
      <c r="Y181" s="60">
        <f t="shared" si="10"/>
        <v>0</v>
      </c>
    </row>
    <row r="182" spans="1:25">
      <c r="A182" s="12">
        <v>178</v>
      </c>
      <c r="B182" s="16" t="s">
        <v>282</v>
      </c>
      <c r="C182" s="16">
        <v>98533404</v>
      </c>
      <c r="D182" s="16">
        <v>3016089190</v>
      </c>
      <c r="E182" s="12" t="s">
        <v>253</v>
      </c>
      <c r="F182" s="12"/>
      <c r="G182" s="13">
        <v>2000000</v>
      </c>
      <c r="H182" s="14"/>
      <c r="I182" s="15" t="s">
        <v>116</v>
      </c>
      <c r="J182" s="37">
        <v>400000</v>
      </c>
      <c r="K182" s="37">
        <v>400000</v>
      </c>
      <c r="L182" s="37">
        <v>400000</v>
      </c>
      <c r="M182" s="37">
        <v>400000</v>
      </c>
      <c r="N182" s="39">
        <v>400000</v>
      </c>
      <c r="O182" s="37">
        <v>0</v>
      </c>
      <c r="P182" s="39">
        <v>400000</v>
      </c>
      <c r="Q182" s="37">
        <v>0</v>
      </c>
      <c r="R182" s="37">
        <v>0</v>
      </c>
      <c r="S182" s="37"/>
      <c r="T182" s="37"/>
      <c r="U182" s="37"/>
      <c r="V182" s="59">
        <f t="shared" si="11"/>
        <v>2400000</v>
      </c>
      <c r="W182" s="60">
        <f t="shared" si="8"/>
        <v>6</v>
      </c>
      <c r="X182" s="60">
        <f t="shared" si="9"/>
        <v>6</v>
      </c>
      <c r="Y182" s="60">
        <f t="shared" si="10"/>
        <v>6</v>
      </c>
    </row>
    <row r="183" spans="1:25">
      <c r="A183" s="12">
        <v>179</v>
      </c>
      <c r="B183" s="16" t="s">
        <v>254</v>
      </c>
      <c r="C183" s="16"/>
      <c r="D183" s="16"/>
      <c r="E183" s="12" t="s">
        <v>465</v>
      </c>
      <c r="F183" s="12"/>
      <c r="G183" s="13">
        <v>2000000</v>
      </c>
      <c r="H183" s="14"/>
      <c r="I183" s="15" t="s">
        <v>116</v>
      </c>
      <c r="J183" s="37">
        <v>0</v>
      </c>
      <c r="K183" s="37">
        <v>800000</v>
      </c>
      <c r="L183" s="37">
        <v>0</v>
      </c>
      <c r="M183" s="37">
        <v>0</v>
      </c>
      <c r="N183" s="39">
        <v>0</v>
      </c>
      <c r="O183" s="37">
        <v>0</v>
      </c>
      <c r="P183" s="39">
        <v>0</v>
      </c>
      <c r="Q183" s="37">
        <v>0</v>
      </c>
      <c r="R183" s="37">
        <v>0</v>
      </c>
      <c r="S183" s="37"/>
      <c r="T183" s="37"/>
      <c r="U183" s="37"/>
      <c r="V183" s="59">
        <f t="shared" si="11"/>
        <v>800000</v>
      </c>
      <c r="W183" s="60">
        <f t="shared" si="8"/>
        <v>2</v>
      </c>
      <c r="X183" s="60">
        <f t="shared" si="9"/>
        <v>1</v>
      </c>
      <c r="Y183" s="60">
        <f t="shared" si="10"/>
        <v>2</v>
      </c>
    </row>
    <row r="184" spans="1:25">
      <c r="A184" s="12">
        <v>180</v>
      </c>
      <c r="B184" s="16" t="s">
        <v>255</v>
      </c>
      <c r="C184" s="16"/>
      <c r="D184" s="16"/>
      <c r="E184" s="12"/>
      <c r="F184" s="12"/>
      <c r="G184" s="13">
        <v>400000</v>
      </c>
      <c r="H184" s="14"/>
      <c r="I184" s="15" t="s">
        <v>116</v>
      </c>
      <c r="J184" s="37">
        <v>0</v>
      </c>
      <c r="K184" s="37">
        <v>0</v>
      </c>
      <c r="L184" s="37">
        <v>0</v>
      </c>
      <c r="M184" s="37">
        <v>0</v>
      </c>
      <c r="N184" s="39">
        <v>0</v>
      </c>
      <c r="O184" s="37">
        <v>0</v>
      </c>
      <c r="P184" s="39">
        <v>0</v>
      </c>
      <c r="Q184" s="37">
        <v>0</v>
      </c>
      <c r="R184" s="37">
        <v>0</v>
      </c>
      <c r="S184" s="37"/>
      <c r="T184" s="37"/>
      <c r="U184" s="37"/>
      <c r="V184" s="59">
        <f t="shared" si="11"/>
        <v>0</v>
      </c>
      <c r="W184" s="60">
        <f t="shared" si="8"/>
        <v>0</v>
      </c>
      <c r="X184" s="60">
        <f t="shared" si="9"/>
        <v>0</v>
      </c>
      <c r="Y184" s="60">
        <f t="shared" si="10"/>
        <v>0</v>
      </c>
    </row>
    <row r="185" spans="1:25">
      <c r="A185" s="12">
        <v>181</v>
      </c>
      <c r="B185" s="16" t="s">
        <v>256</v>
      </c>
      <c r="C185" s="16"/>
      <c r="D185" s="16"/>
      <c r="E185" s="12" t="s">
        <v>257</v>
      </c>
      <c r="F185" s="12"/>
      <c r="G185" s="13">
        <v>1400000</v>
      </c>
      <c r="H185" s="14"/>
      <c r="I185" s="15" t="s">
        <v>116</v>
      </c>
      <c r="J185" s="37">
        <v>0</v>
      </c>
      <c r="K185" s="37">
        <v>0</v>
      </c>
      <c r="L185" s="37">
        <v>0</v>
      </c>
      <c r="M185" s="37">
        <v>0</v>
      </c>
      <c r="N185" s="39">
        <v>0</v>
      </c>
      <c r="O185" s="37">
        <v>0</v>
      </c>
      <c r="P185" s="39">
        <v>0</v>
      </c>
      <c r="Q185" s="37">
        <v>0</v>
      </c>
      <c r="R185" s="37">
        <v>0</v>
      </c>
      <c r="S185" s="37"/>
      <c r="T185" s="37"/>
      <c r="U185" s="37"/>
      <c r="V185" s="59">
        <f t="shared" si="11"/>
        <v>0</v>
      </c>
      <c r="W185" s="60">
        <f t="shared" si="8"/>
        <v>0</v>
      </c>
      <c r="X185" s="60">
        <f t="shared" si="9"/>
        <v>0</v>
      </c>
      <c r="Y185" s="60">
        <f t="shared" si="10"/>
        <v>0</v>
      </c>
    </row>
    <row r="186" spans="1:25">
      <c r="A186" s="12">
        <v>182</v>
      </c>
      <c r="B186" s="16" t="s">
        <v>258</v>
      </c>
      <c r="C186" s="16"/>
      <c r="D186" s="16"/>
      <c r="E186" s="12" t="s">
        <v>797</v>
      </c>
      <c r="F186" s="12"/>
      <c r="G186" s="13">
        <v>600000</v>
      </c>
      <c r="H186" s="14"/>
      <c r="I186" s="15" t="s">
        <v>116</v>
      </c>
      <c r="J186" s="37">
        <v>0</v>
      </c>
      <c r="K186" s="37">
        <v>0</v>
      </c>
      <c r="L186" s="37">
        <v>0</v>
      </c>
      <c r="M186" s="37">
        <v>0</v>
      </c>
      <c r="N186" s="39">
        <v>0</v>
      </c>
      <c r="O186" s="37">
        <v>0</v>
      </c>
      <c r="P186" s="39">
        <v>1300000</v>
      </c>
      <c r="Q186" s="37">
        <v>0</v>
      </c>
      <c r="R186" s="37">
        <v>0</v>
      </c>
      <c r="S186" s="37"/>
      <c r="T186" s="37"/>
      <c r="U186" s="37"/>
      <c r="V186" s="59">
        <f t="shared" si="11"/>
        <v>1300000</v>
      </c>
      <c r="W186" s="60">
        <f t="shared" si="8"/>
        <v>3.25</v>
      </c>
      <c r="X186" s="60">
        <f t="shared" si="9"/>
        <v>1</v>
      </c>
      <c r="Y186" s="60">
        <f t="shared" si="10"/>
        <v>4</v>
      </c>
    </row>
    <row r="187" spans="1:25">
      <c r="A187" s="12">
        <v>183</v>
      </c>
      <c r="B187" s="16" t="s">
        <v>473</v>
      </c>
      <c r="C187" s="16">
        <v>39302237</v>
      </c>
      <c r="D187" s="16">
        <v>3187333883</v>
      </c>
      <c r="E187" s="12" t="s">
        <v>474</v>
      </c>
      <c r="F187" s="12"/>
      <c r="G187" s="13">
        <v>2000000</v>
      </c>
      <c r="H187" s="14"/>
      <c r="I187" s="15" t="s">
        <v>116</v>
      </c>
      <c r="J187" s="37">
        <v>400000</v>
      </c>
      <c r="K187" s="37">
        <v>400000</v>
      </c>
      <c r="L187" s="37">
        <v>400000</v>
      </c>
      <c r="M187" s="37">
        <v>400000</v>
      </c>
      <c r="N187" s="39">
        <v>400000</v>
      </c>
      <c r="O187" s="37">
        <v>400000</v>
      </c>
      <c r="P187" s="39">
        <v>400000</v>
      </c>
      <c r="Q187" s="37">
        <v>400000</v>
      </c>
      <c r="R187" s="37">
        <v>400000</v>
      </c>
      <c r="S187" s="37"/>
      <c r="T187" s="37"/>
      <c r="U187" s="37"/>
      <c r="V187" s="59">
        <f t="shared" si="11"/>
        <v>3600000</v>
      </c>
      <c r="W187" s="60">
        <f t="shared" si="8"/>
        <v>9</v>
      </c>
      <c r="X187" s="60">
        <f t="shared" si="9"/>
        <v>9</v>
      </c>
      <c r="Y187" s="60">
        <f t="shared" si="10"/>
        <v>9</v>
      </c>
    </row>
    <row r="188" spans="1:25">
      <c r="A188" s="12">
        <v>184</v>
      </c>
      <c r="B188" s="16" t="s">
        <v>259</v>
      </c>
      <c r="C188" s="12"/>
      <c r="D188" s="16"/>
      <c r="E188" s="12" t="s">
        <v>765</v>
      </c>
      <c r="F188" s="12"/>
      <c r="G188" s="13">
        <v>70000</v>
      </c>
      <c r="H188" s="14"/>
      <c r="I188" s="15" t="s">
        <v>116</v>
      </c>
      <c r="J188" s="37">
        <v>0</v>
      </c>
      <c r="K188" s="37">
        <v>0</v>
      </c>
      <c r="L188" s="37">
        <v>0</v>
      </c>
      <c r="M188" s="37">
        <v>0</v>
      </c>
      <c r="N188" s="39">
        <v>0</v>
      </c>
      <c r="O188" s="37">
        <v>1000000</v>
      </c>
      <c r="P188" s="39">
        <v>0</v>
      </c>
      <c r="Q188" s="37">
        <v>800000</v>
      </c>
      <c r="R188" s="37">
        <v>0</v>
      </c>
      <c r="S188" s="37"/>
      <c r="T188" s="37"/>
      <c r="U188" s="37"/>
      <c r="V188" s="59">
        <f t="shared" si="11"/>
        <v>1800000</v>
      </c>
      <c r="W188" s="60">
        <f t="shared" si="8"/>
        <v>4.5</v>
      </c>
      <c r="X188" s="60">
        <f t="shared" si="9"/>
        <v>2</v>
      </c>
      <c r="Y188" s="60">
        <f t="shared" si="10"/>
        <v>5</v>
      </c>
    </row>
    <row r="189" spans="1:25">
      <c r="A189" s="12">
        <v>185</v>
      </c>
      <c r="B189" s="16" t="s">
        <v>261</v>
      </c>
      <c r="C189" s="16">
        <v>49741498</v>
      </c>
      <c r="D189" s="16"/>
      <c r="E189" s="12"/>
      <c r="F189" s="12"/>
      <c r="G189" s="13">
        <v>400000</v>
      </c>
      <c r="H189" s="14"/>
      <c r="I189" s="15" t="s">
        <v>116</v>
      </c>
      <c r="J189" s="37">
        <v>0</v>
      </c>
      <c r="K189" s="37">
        <v>0</v>
      </c>
      <c r="L189" s="37">
        <v>0</v>
      </c>
      <c r="M189" s="37">
        <v>0</v>
      </c>
      <c r="N189" s="39">
        <v>0</v>
      </c>
      <c r="O189" s="37">
        <v>0</v>
      </c>
      <c r="P189" s="39">
        <v>0</v>
      </c>
      <c r="Q189" s="37">
        <v>0</v>
      </c>
      <c r="R189" s="37">
        <v>0</v>
      </c>
      <c r="S189" s="37"/>
      <c r="T189" s="37"/>
      <c r="U189" s="37"/>
      <c r="V189" s="59">
        <f t="shared" si="11"/>
        <v>0</v>
      </c>
      <c r="W189" s="60">
        <f t="shared" si="8"/>
        <v>0</v>
      </c>
      <c r="X189" s="60">
        <f t="shared" si="9"/>
        <v>0</v>
      </c>
      <c r="Y189" s="60">
        <f t="shared" si="10"/>
        <v>0</v>
      </c>
    </row>
    <row r="190" spans="1:25">
      <c r="A190" s="12">
        <v>186</v>
      </c>
      <c r="B190" s="16" t="s">
        <v>263</v>
      </c>
      <c r="C190" s="16">
        <v>92257868</v>
      </c>
      <c r="D190" s="16">
        <v>3014216556</v>
      </c>
      <c r="E190" s="12" t="s">
        <v>529</v>
      </c>
      <c r="F190" s="12"/>
      <c r="G190" s="13">
        <v>1600000</v>
      </c>
      <c r="H190" s="14"/>
      <c r="I190" s="15" t="s">
        <v>116</v>
      </c>
      <c r="J190" s="37">
        <v>0</v>
      </c>
      <c r="K190" s="37">
        <v>0</v>
      </c>
      <c r="L190" s="37">
        <v>0</v>
      </c>
      <c r="M190" s="37">
        <v>400000</v>
      </c>
      <c r="N190" s="39">
        <v>0</v>
      </c>
      <c r="O190" s="37">
        <v>0</v>
      </c>
      <c r="P190" s="39">
        <v>0</v>
      </c>
      <c r="Q190" s="37">
        <v>0</v>
      </c>
      <c r="R190" s="37">
        <v>0</v>
      </c>
      <c r="S190" s="37"/>
      <c r="T190" s="37"/>
      <c r="U190" s="37"/>
      <c r="V190" s="59">
        <f t="shared" si="11"/>
        <v>400000</v>
      </c>
      <c r="W190" s="60">
        <f t="shared" si="8"/>
        <v>1</v>
      </c>
      <c r="X190" s="60">
        <f t="shared" si="9"/>
        <v>1</v>
      </c>
      <c r="Y190" s="60">
        <f t="shared" si="10"/>
        <v>1</v>
      </c>
    </row>
    <row r="191" spans="1:25">
      <c r="A191" s="12">
        <v>187</v>
      </c>
      <c r="B191" s="16" t="s">
        <v>268</v>
      </c>
      <c r="C191" s="16">
        <v>12610911</v>
      </c>
      <c r="D191" s="16">
        <v>3102029563</v>
      </c>
      <c r="E191" s="12" t="s">
        <v>253</v>
      </c>
      <c r="F191" s="12"/>
      <c r="G191" s="13">
        <v>800000</v>
      </c>
      <c r="H191" s="14"/>
      <c r="I191" s="15" t="s">
        <v>116</v>
      </c>
      <c r="J191" s="37">
        <v>0</v>
      </c>
      <c r="K191" s="37">
        <v>500000</v>
      </c>
      <c r="L191" s="37">
        <v>0</v>
      </c>
      <c r="M191" s="37">
        <v>0</v>
      </c>
      <c r="N191" s="39">
        <v>0</v>
      </c>
      <c r="O191" s="37">
        <v>0</v>
      </c>
      <c r="P191" s="39">
        <v>0</v>
      </c>
      <c r="Q191" s="37">
        <v>400000</v>
      </c>
      <c r="R191" s="37">
        <v>400000</v>
      </c>
      <c r="S191" s="37"/>
      <c r="T191" s="37"/>
      <c r="U191" s="37"/>
      <c r="V191" s="59">
        <f t="shared" si="11"/>
        <v>1300000</v>
      </c>
      <c r="W191" s="60">
        <f t="shared" si="8"/>
        <v>3.25</v>
      </c>
      <c r="X191" s="60">
        <f t="shared" si="9"/>
        <v>3</v>
      </c>
      <c r="Y191" s="60">
        <f t="shared" si="10"/>
        <v>4</v>
      </c>
    </row>
    <row r="192" spans="1:25">
      <c r="A192" s="12">
        <v>188</v>
      </c>
      <c r="B192" s="16" t="s">
        <v>269</v>
      </c>
      <c r="C192" s="16"/>
      <c r="D192" s="16"/>
      <c r="E192" s="12"/>
      <c r="F192" s="12"/>
      <c r="G192" s="13">
        <v>400000</v>
      </c>
      <c r="H192" s="14"/>
      <c r="I192" s="15" t="s">
        <v>116</v>
      </c>
      <c r="J192" s="37">
        <v>0</v>
      </c>
      <c r="K192" s="37">
        <v>0</v>
      </c>
      <c r="L192" s="37">
        <v>0</v>
      </c>
      <c r="M192" s="37">
        <v>0</v>
      </c>
      <c r="N192" s="39">
        <v>0</v>
      </c>
      <c r="O192" s="37">
        <v>0</v>
      </c>
      <c r="P192" s="39">
        <v>0</v>
      </c>
      <c r="Q192" s="37">
        <v>0</v>
      </c>
      <c r="R192" s="37">
        <v>0</v>
      </c>
      <c r="S192" s="37"/>
      <c r="T192" s="37"/>
      <c r="U192" s="37"/>
      <c r="V192" s="59">
        <f t="shared" si="11"/>
        <v>0</v>
      </c>
      <c r="W192" s="60">
        <f t="shared" si="8"/>
        <v>0</v>
      </c>
      <c r="X192" s="60">
        <f t="shared" si="9"/>
        <v>0</v>
      </c>
      <c r="Y192" s="60">
        <f t="shared" si="10"/>
        <v>0</v>
      </c>
    </row>
    <row r="193" spans="1:25">
      <c r="A193" s="12">
        <v>189</v>
      </c>
      <c r="B193" s="16" t="s">
        <v>637</v>
      </c>
      <c r="C193" s="16">
        <v>1093795671</v>
      </c>
      <c r="D193" s="16">
        <v>3202805549</v>
      </c>
      <c r="E193" s="12" t="s">
        <v>239</v>
      </c>
      <c r="F193" s="12"/>
      <c r="G193" s="13">
        <v>1200000</v>
      </c>
      <c r="H193" s="14"/>
      <c r="I193" s="15" t="s">
        <v>116</v>
      </c>
      <c r="J193" s="37">
        <v>0</v>
      </c>
      <c r="K193" s="37">
        <v>400000</v>
      </c>
      <c r="L193" s="37">
        <v>400000</v>
      </c>
      <c r="M193" s="37">
        <v>800000</v>
      </c>
      <c r="N193" s="39">
        <v>400000</v>
      </c>
      <c r="O193" s="37">
        <v>0</v>
      </c>
      <c r="P193" s="39">
        <v>0</v>
      </c>
      <c r="Q193" s="37">
        <v>0</v>
      </c>
      <c r="R193" s="37">
        <v>0</v>
      </c>
      <c r="S193" s="37"/>
      <c r="T193" s="37"/>
      <c r="U193" s="37"/>
      <c r="V193" s="59">
        <f t="shared" si="11"/>
        <v>2000000</v>
      </c>
      <c r="W193" s="60">
        <f t="shared" si="8"/>
        <v>5</v>
      </c>
      <c r="X193" s="60">
        <f t="shared" si="9"/>
        <v>4</v>
      </c>
      <c r="Y193" s="60">
        <f t="shared" si="10"/>
        <v>5</v>
      </c>
    </row>
    <row r="194" spans="1:25">
      <c r="A194" s="12">
        <v>190</v>
      </c>
      <c r="B194" s="16" t="s">
        <v>453</v>
      </c>
      <c r="C194" s="16">
        <v>11794402</v>
      </c>
      <c r="D194" s="16">
        <v>3107027375</v>
      </c>
      <c r="E194" s="12" t="s">
        <v>347</v>
      </c>
      <c r="F194" s="12"/>
      <c r="G194" s="13">
        <v>3200000</v>
      </c>
      <c r="H194" s="14"/>
      <c r="I194" s="15" t="s">
        <v>116</v>
      </c>
      <c r="J194" s="37">
        <v>800000</v>
      </c>
      <c r="K194" s="37">
        <v>800000</v>
      </c>
      <c r="L194" s="37">
        <v>800000</v>
      </c>
      <c r="M194" s="37">
        <v>800000</v>
      </c>
      <c r="N194" s="39">
        <v>800000</v>
      </c>
      <c r="O194" s="37">
        <v>800000</v>
      </c>
      <c r="P194" s="39">
        <v>800000</v>
      </c>
      <c r="Q194" s="37">
        <v>800000</v>
      </c>
      <c r="R194" s="37">
        <v>1200000</v>
      </c>
      <c r="S194" s="37"/>
      <c r="T194" s="37"/>
      <c r="U194" s="37"/>
      <c r="V194" s="59">
        <f t="shared" si="11"/>
        <v>7600000</v>
      </c>
      <c r="W194" s="60">
        <f t="shared" si="8"/>
        <v>19</v>
      </c>
      <c r="X194" s="60">
        <f t="shared" si="9"/>
        <v>9</v>
      </c>
      <c r="Y194" s="60">
        <f t="shared" si="10"/>
        <v>19</v>
      </c>
    </row>
    <row r="195" spans="1:25">
      <c r="A195" s="12">
        <v>191</v>
      </c>
      <c r="B195" s="16" t="s">
        <v>272</v>
      </c>
      <c r="C195" s="16"/>
      <c r="D195" s="16"/>
      <c r="E195" s="12" t="s">
        <v>547</v>
      </c>
      <c r="F195" s="12"/>
      <c r="G195" s="13">
        <v>400000</v>
      </c>
      <c r="H195" s="14"/>
      <c r="I195" s="15" t="s">
        <v>116</v>
      </c>
      <c r="J195" s="37">
        <v>400000</v>
      </c>
      <c r="K195" s="37">
        <v>400000</v>
      </c>
      <c r="L195" s="37">
        <v>400000</v>
      </c>
      <c r="M195" s="37">
        <v>0</v>
      </c>
      <c r="N195" s="39">
        <v>400000</v>
      </c>
      <c r="O195" s="37">
        <v>0</v>
      </c>
      <c r="P195" s="39">
        <v>0</v>
      </c>
      <c r="Q195" s="37">
        <v>0</v>
      </c>
      <c r="R195" s="37">
        <v>0</v>
      </c>
      <c r="S195" s="37"/>
      <c r="T195" s="37"/>
      <c r="U195" s="37"/>
      <c r="V195" s="59">
        <f t="shared" si="11"/>
        <v>1600000</v>
      </c>
      <c r="W195" s="60">
        <f t="shared" si="8"/>
        <v>4</v>
      </c>
      <c r="X195" s="60">
        <f t="shared" si="9"/>
        <v>4</v>
      </c>
      <c r="Y195" s="60">
        <f t="shared" si="10"/>
        <v>4</v>
      </c>
    </row>
    <row r="196" spans="1:25">
      <c r="A196" s="12">
        <v>192</v>
      </c>
      <c r="B196" s="16" t="s">
        <v>273</v>
      </c>
      <c r="C196" s="16">
        <v>22528383</v>
      </c>
      <c r="D196" s="16"/>
      <c r="E196" s="12" t="s">
        <v>353</v>
      </c>
      <c r="F196" s="12"/>
      <c r="G196" s="13">
        <v>1600000</v>
      </c>
      <c r="H196" s="14"/>
      <c r="I196" s="15" t="s">
        <v>116</v>
      </c>
      <c r="J196" s="37">
        <v>400000</v>
      </c>
      <c r="K196" s="37">
        <v>400000</v>
      </c>
      <c r="L196" s="37">
        <v>900000</v>
      </c>
      <c r="M196" s="37">
        <v>0</v>
      </c>
      <c r="N196" s="39">
        <v>450000</v>
      </c>
      <c r="O196" s="37">
        <v>450000</v>
      </c>
      <c r="P196" s="39">
        <v>0</v>
      </c>
      <c r="Q196" s="37">
        <v>450000</v>
      </c>
      <c r="R196" s="39">
        <v>500000</v>
      </c>
      <c r="S196" s="37"/>
      <c r="T196" s="37"/>
      <c r="U196" s="37"/>
      <c r="V196" s="59">
        <f t="shared" si="11"/>
        <v>3550000</v>
      </c>
      <c r="W196" s="60">
        <f t="shared" si="8"/>
        <v>8.875</v>
      </c>
      <c r="X196" s="60">
        <f t="shared" si="9"/>
        <v>7</v>
      </c>
      <c r="Y196" s="60">
        <f t="shared" si="10"/>
        <v>9</v>
      </c>
    </row>
    <row r="197" spans="1:25">
      <c r="A197" s="12">
        <v>193</v>
      </c>
      <c r="B197" s="16" t="s">
        <v>276</v>
      </c>
      <c r="C197" s="16"/>
      <c r="D197" s="16"/>
      <c r="E197" s="12" t="s">
        <v>257</v>
      </c>
      <c r="F197" s="12"/>
      <c r="G197" s="13">
        <v>1600000</v>
      </c>
      <c r="H197" s="14"/>
      <c r="I197" s="15" t="s">
        <v>116</v>
      </c>
      <c r="J197" s="37">
        <v>400000</v>
      </c>
      <c r="K197" s="37">
        <v>400000</v>
      </c>
      <c r="L197" s="37">
        <v>400000</v>
      </c>
      <c r="M197" s="37">
        <v>800000</v>
      </c>
      <c r="N197" s="39">
        <v>400000</v>
      </c>
      <c r="O197" s="37">
        <v>0</v>
      </c>
      <c r="P197" s="39">
        <v>400000</v>
      </c>
      <c r="Q197" s="37">
        <v>400000</v>
      </c>
      <c r="R197" s="39">
        <v>800000</v>
      </c>
      <c r="S197" s="37"/>
      <c r="T197" s="37"/>
      <c r="U197" s="37"/>
      <c r="V197" s="59">
        <f t="shared" si="11"/>
        <v>4000000</v>
      </c>
      <c r="W197" s="60">
        <f t="shared" ref="W197:W260" si="12">V197/400000</f>
        <v>10</v>
      </c>
      <c r="X197" s="60">
        <f t="shared" ref="X197:X260" si="13">COUNTIF(J197:U197,"&gt;0")</f>
        <v>8</v>
      </c>
      <c r="Y197" s="60">
        <f t="shared" ref="Y197:Y260" si="14">ROUNDUP(W197,0)</f>
        <v>10</v>
      </c>
    </row>
    <row r="198" spans="1:25">
      <c r="A198" s="12">
        <v>194</v>
      </c>
      <c r="B198" s="16" t="s">
        <v>554</v>
      </c>
      <c r="C198" s="16">
        <v>37315263</v>
      </c>
      <c r="D198" s="16">
        <v>3187750056</v>
      </c>
      <c r="E198" s="12" t="s">
        <v>344</v>
      </c>
      <c r="F198" s="12"/>
      <c r="G198" s="13">
        <v>1600000</v>
      </c>
      <c r="H198" s="14"/>
      <c r="I198" s="15" t="s">
        <v>116</v>
      </c>
      <c r="J198" s="37">
        <v>400000</v>
      </c>
      <c r="K198" s="37">
        <v>0</v>
      </c>
      <c r="L198" s="37">
        <v>800000</v>
      </c>
      <c r="M198" s="37">
        <v>400000</v>
      </c>
      <c r="N198" s="39">
        <v>400000</v>
      </c>
      <c r="O198" s="37">
        <v>0</v>
      </c>
      <c r="P198" s="39">
        <v>0</v>
      </c>
      <c r="Q198" s="37">
        <v>100000</v>
      </c>
      <c r="R198" s="37">
        <v>400000</v>
      </c>
      <c r="S198" s="37"/>
      <c r="T198" s="37"/>
      <c r="U198" s="37"/>
      <c r="V198" s="59">
        <f t="shared" ref="V198:V261" si="15">SUM(J198:U198)</f>
        <v>2500000</v>
      </c>
      <c r="W198" s="60">
        <f t="shared" si="12"/>
        <v>6.25</v>
      </c>
      <c r="X198" s="60">
        <f t="shared" si="13"/>
        <v>6</v>
      </c>
      <c r="Y198" s="60">
        <f t="shared" si="14"/>
        <v>7</v>
      </c>
    </row>
    <row r="199" spans="1:25">
      <c r="A199" s="12">
        <v>195</v>
      </c>
      <c r="B199" s="16" t="s">
        <v>279</v>
      </c>
      <c r="C199" s="16">
        <v>1067960477</v>
      </c>
      <c r="D199" s="16">
        <v>3196090283</v>
      </c>
      <c r="E199" s="12" t="s">
        <v>230</v>
      </c>
      <c r="F199" s="12"/>
      <c r="G199" s="13">
        <v>800000</v>
      </c>
      <c r="H199" s="14"/>
      <c r="I199" s="15" t="s">
        <v>116</v>
      </c>
      <c r="J199" s="37">
        <v>0</v>
      </c>
      <c r="K199" s="37">
        <v>0</v>
      </c>
      <c r="L199" s="37">
        <v>0</v>
      </c>
      <c r="M199" s="37">
        <v>0</v>
      </c>
      <c r="N199" s="39">
        <v>0</v>
      </c>
      <c r="O199" s="37">
        <v>0</v>
      </c>
      <c r="P199" s="39">
        <v>0</v>
      </c>
      <c r="Q199" s="37">
        <v>0</v>
      </c>
      <c r="R199" s="37">
        <v>0</v>
      </c>
      <c r="S199" s="37"/>
      <c r="T199" s="37"/>
      <c r="U199" s="37"/>
      <c r="V199" s="59">
        <f t="shared" si="15"/>
        <v>0</v>
      </c>
      <c r="W199" s="60">
        <f t="shared" si="12"/>
        <v>0</v>
      </c>
      <c r="X199" s="60">
        <f t="shared" si="13"/>
        <v>0</v>
      </c>
      <c r="Y199" s="60">
        <f t="shared" si="14"/>
        <v>0</v>
      </c>
    </row>
    <row r="200" spans="1:25">
      <c r="A200" s="12">
        <v>196</v>
      </c>
      <c r="B200" s="16" t="s">
        <v>454</v>
      </c>
      <c r="C200" s="16">
        <v>1091669219</v>
      </c>
      <c r="D200" s="16">
        <v>3182787563</v>
      </c>
      <c r="E200" s="12" t="s">
        <v>344</v>
      </c>
      <c r="F200" s="12"/>
      <c r="G200" s="13">
        <v>1200000</v>
      </c>
      <c r="H200" s="14"/>
      <c r="I200" s="15" t="s">
        <v>116</v>
      </c>
      <c r="J200" s="37">
        <v>0</v>
      </c>
      <c r="K200" s="37">
        <v>0</v>
      </c>
      <c r="L200" s="37">
        <v>0</v>
      </c>
      <c r="M200" s="37">
        <v>0</v>
      </c>
      <c r="N200" s="39">
        <v>0</v>
      </c>
      <c r="O200" s="37">
        <v>0</v>
      </c>
      <c r="P200" s="39">
        <v>0</v>
      </c>
      <c r="Q200" s="37">
        <v>0</v>
      </c>
      <c r="R200" s="37">
        <v>0</v>
      </c>
      <c r="S200" s="37"/>
      <c r="T200" s="37"/>
      <c r="U200" s="37"/>
      <c r="V200" s="59">
        <f t="shared" si="15"/>
        <v>0</v>
      </c>
      <c r="W200" s="60">
        <f t="shared" si="12"/>
        <v>0</v>
      </c>
      <c r="X200" s="60">
        <f t="shared" si="13"/>
        <v>0</v>
      </c>
      <c r="Y200" s="60">
        <f t="shared" si="14"/>
        <v>0</v>
      </c>
    </row>
    <row r="201" spans="1:25">
      <c r="A201" s="12">
        <v>197</v>
      </c>
      <c r="B201" s="16" t="s">
        <v>753</v>
      </c>
      <c r="C201" s="16">
        <v>94557010</v>
      </c>
      <c r="D201" s="16">
        <v>3188525416</v>
      </c>
      <c r="E201" s="12" t="s">
        <v>344</v>
      </c>
      <c r="F201" s="12"/>
      <c r="G201" s="13">
        <v>100000</v>
      </c>
      <c r="H201" s="14"/>
      <c r="I201" s="15" t="s">
        <v>116</v>
      </c>
      <c r="J201" s="37">
        <v>0</v>
      </c>
      <c r="K201" s="37">
        <v>400000</v>
      </c>
      <c r="L201" s="37">
        <v>400000</v>
      </c>
      <c r="M201" s="37">
        <v>400000</v>
      </c>
      <c r="N201" s="39">
        <v>0</v>
      </c>
      <c r="O201" s="37">
        <v>500000</v>
      </c>
      <c r="P201" s="39">
        <v>500000</v>
      </c>
      <c r="Q201" s="37">
        <v>400000</v>
      </c>
      <c r="R201" s="37">
        <v>500000</v>
      </c>
      <c r="S201" s="39"/>
      <c r="T201" s="37"/>
      <c r="U201" s="37"/>
      <c r="V201" s="59">
        <f t="shared" si="15"/>
        <v>3100000</v>
      </c>
      <c r="W201" s="60">
        <f t="shared" si="12"/>
        <v>7.75</v>
      </c>
      <c r="X201" s="60">
        <f t="shared" si="13"/>
        <v>7</v>
      </c>
      <c r="Y201" s="60">
        <f t="shared" si="14"/>
        <v>8</v>
      </c>
    </row>
    <row r="202" spans="1:25">
      <c r="A202" s="12">
        <v>198</v>
      </c>
      <c r="B202" s="16" t="s">
        <v>281</v>
      </c>
      <c r="C202" s="16">
        <v>54252099</v>
      </c>
      <c r="D202" s="16">
        <v>3147113830</v>
      </c>
      <c r="E202" s="12" t="s">
        <v>347</v>
      </c>
      <c r="F202" s="12"/>
      <c r="G202" s="13">
        <v>400000</v>
      </c>
      <c r="H202" s="14"/>
      <c r="I202" s="15" t="s">
        <v>116</v>
      </c>
      <c r="J202" s="37">
        <v>0</v>
      </c>
      <c r="K202" s="37">
        <v>0</v>
      </c>
      <c r="L202" s="37">
        <v>0</v>
      </c>
      <c r="M202" s="37">
        <v>0</v>
      </c>
      <c r="N202" s="39">
        <v>0</v>
      </c>
      <c r="O202" s="37">
        <v>0</v>
      </c>
      <c r="P202" s="39">
        <v>0</v>
      </c>
      <c r="Q202" s="37">
        <v>0</v>
      </c>
      <c r="R202" s="37">
        <v>0</v>
      </c>
      <c r="S202" s="39"/>
      <c r="T202" s="37"/>
      <c r="U202" s="37"/>
      <c r="V202" s="59">
        <f t="shared" si="15"/>
        <v>0</v>
      </c>
      <c r="W202" s="60">
        <f t="shared" si="12"/>
        <v>0</v>
      </c>
      <c r="X202" s="60">
        <f t="shared" si="13"/>
        <v>0</v>
      </c>
      <c r="Y202" s="60">
        <f t="shared" si="14"/>
        <v>0</v>
      </c>
    </row>
    <row r="203" spans="1:25">
      <c r="A203" s="12">
        <v>199</v>
      </c>
      <c r="B203" s="16" t="s">
        <v>283</v>
      </c>
      <c r="C203" s="16">
        <v>52809513</v>
      </c>
      <c r="D203" s="16">
        <v>3053034243</v>
      </c>
      <c r="E203" s="12" t="s">
        <v>455</v>
      </c>
      <c r="F203" s="12"/>
      <c r="G203" s="13">
        <v>1200000</v>
      </c>
      <c r="H203" s="14"/>
      <c r="I203" s="15" t="s">
        <v>116</v>
      </c>
      <c r="J203" s="37">
        <v>400000</v>
      </c>
      <c r="K203" s="37">
        <v>0</v>
      </c>
      <c r="L203" s="37">
        <v>400000</v>
      </c>
      <c r="M203" s="37">
        <v>400000</v>
      </c>
      <c r="N203" s="39">
        <v>0</v>
      </c>
      <c r="O203" s="37">
        <v>400000</v>
      </c>
      <c r="P203" s="39">
        <v>0</v>
      </c>
      <c r="Q203" s="37">
        <v>0</v>
      </c>
      <c r="R203" s="37">
        <v>0</v>
      </c>
      <c r="S203" s="39"/>
      <c r="T203" s="37"/>
      <c r="U203" s="37"/>
      <c r="V203" s="59">
        <f t="shared" si="15"/>
        <v>1600000</v>
      </c>
      <c r="W203" s="60">
        <f t="shared" si="12"/>
        <v>4</v>
      </c>
      <c r="X203" s="60">
        <f t="shared" si="13"/>
        <v>4</v>
      </c>
      <c r="Y203" s="60">
        <f t="shared" si="14"/>
        <v>4</v>
      </c>
    </row>
    <row r="204" spans="1:25">
      <c r="A204" s="12">
        <v>200</v>
      </c>
      <c r="B204" s="16" t="s">
        <v>285</v>
      </c>
      <c r="C204" s="16">
        <v>1091681333</v>
      </c>
      <c r="D204" s="16">
        <v>3158769403</v>
      </c>
      <c r="E204" s="12" t="s">
        <v>729</v>
      </c>
      <c r="F204" s="12"/>
      <c r="G204" s="13">
        <v>800000</v>
      </c>
      <c r="H204" s="14"/>
      <c r="I204" s="15" t="s">
        <v>116</v>
      </c>
      <c r="J204" s="37">
        <v>1200000</v>
      </c>
      <c r="K204" s="37">
        <v>0</v>
      </c>
      <c r="L204" s="37">
        <v>0</v>
      </c>
      <c r="M204" s="37">
        <v>0</v>
      </c>
      <c r="N204" s="39">
        <v>0</v>
      </c>
      <c r="O204" s="37">
        <v>0</v>
      </c>
      <c r="P204" s="39">
        <v>0</v>
      </c>
      <c r="Q204" s="37">
        <v>0</v>
      </c>
      <c r="R204" s="37">
        <v>0</v>
      </c>
      <c r="S204" s="37"/>
      <c r="T204" s="37"/>
      <c r="U204" s="37"/>
      <c r="V204" s="59">
        <f t="shared" si="15"/>
        <v>1200000</v>
      </c>
      <c r="W204" s="60">
        <f t="shared" si="12"/>
        <v>3</v>
      </c>
      <c r="X204" s="60">
        <f t="shared" si="13"/>
        <v>1</v>
      </c>
      <c r="Y204" s="60">
        <f t="shared" si="14"/>
        <v>3</v>
      </c>
    </row>
    <row r="205" spans="1:25">
      <c r="A205" s="12">
        <v>201</v>
      </c>
      <c r="B205" s="16" t="s">
        <v>286</v>
      </c>
      <c r="C205" s="16"/>
      <c r="D205" s="16"/>
      <c r="E205" s="12"/>
      <c r="F205" s="12"/>
      <c r="G205" s="13">
        <v>1130000</v>
      </c>
      <c r="H205" s="14"/>
      <c r="I205" s="15" t="s">
        <v>116</v>
      </c>
      <c r="J205" s="37">
        <v>0</v>
      </c>
      <c r="K205" s="37">
        <v>0</v>
      </c>
      <c r="L205" s="37">
        <v>0</v>
      </c>
      <c r="M205" s="37">
        <v>0</v>
      </c>
      <c r="N205" s="39">
        <v>0</v>
      </c>
      <c r="O205" s="37">
        <v>0</v>
      </c>
      <c r="P205" s="39">
        <v>0</v>
      </c>
      <c r="Q205" s="37">
        <v>0</v>
      </c>
      <c r="R205" s="37">
        <v>0</v>
      </c>
      <c r="S205" s="37"/>
      <c r="T205" s="37"/>
      <c r="U205" s="37"/>
      <c r="V205" s="59">
        <f t="shared" si="15"/>
        <v>0</v>
      </c>
      <c r="W205" s="60">
        <f t="shared" si="12"/>
        <v>0</v>
      </c>
      <c r="X205" s="60">
        <f t="shared" si="13"/>
        <v>0</v>
      </c>
      <c r="Y205" s="60">
        <f t="shared" si="14"/>
        <v>0</v>
      </c>
    </row>
    <row r="206" spans="1:25">
      <c r="A206" s="12">
        <v>202</v>
      </c>
      <c r="B206" s="16" t="s">
        <v>288</v>
      </c>
      <c r="C206" s="16"/>
      <c r="D206" s="16"/>
      <c r="E206" s="12" t="s">
        <v>353</v>
      </c>
      <c r="F206" s="12"/>
      <c r="G206" s="13">
        <v>460000</v>
      </c>
      <c r="H206" s="14"/>
      <c r="I206" s="15" t="s">
        <v>116</v>
      </c>
      <c r="J206" s="37">
        <v>0</v>
      </c>
      <c r="K206" s="37">
        <v>0</v>
      </c>
      <c r="L206" s="37">
        <v>0</v>
      </c>
      <c r="M206" s="37">
        <v>0</v>
      </c>
      <c r="N206" s="39">
        <v>0</v>
      </c>
      <c r="O206" s="37">
        <v>0</v>
      </c>
      <c r="P206" s="39">
        <v>0</v>
      </c>
      <c r="Q206" s="37">
        <v>0</v>
      </c>
      <c r="R206" s="37">
        <v>0</v>
      </c>
      <c r="S206" s="37"/>
      <c r="T206" s="37"/>
      <c r="U206" s="37"/>
      <c r="V206" s="59">
        <f t="shared" si="15"/>
        <v>0</v>
      </c>
      <c r="W206" s="60">
        <f t="shared" si="12"/>
        <v>0</v>
      </c>
      <c r="X206" s="60">
        <f t="shared" si="13"/>
        <v>0</v>
      </c>
      <c r="Y206" s="60">
        <f t="shared" si="14"/>
        <v>0</v>
      </c>
    </row>
    <row r="207" spans="1:25">
      <c r="A207" s="12">
        <v>203</v>
      </c>
      <c r="B207" s="16" t="s">
        <v>289</v>
      </c>
      <c r="C207" s="16" t="s">
        <v>570</v>
      </c>
      <c r="D207" s="16">
        <v>3170295457</v>
      </c>
      <c r="E207" s="12" t="s">
        <v>346</v>
      </c>
      <c r="F207" s="12"/>
      <c r="G207" s="13">
        <v>800000</v>
      </c>
      <c r="H207" s="14"/>
      <c r="I207" s="15" t="s">
        <v>116</v>
      </c>
      <c r="J207" s="37">
        <v>1200000</v>
      </c>
      <c r="K207" s="37">
        <v>1200000</v>
      </c>
      <c r="L207" s="37">
        <v>0</v>
      </c>
      <c r="M207" s="37">
        <v>800000</v>
      </c>
      <c r="N207" s="39">
        <v>0</v>
      </c>
      <c r="O207" s="37">
        <v>1200000</v>
      </c>
      <c r="P207" s="39">
        <v>0</v>
      </c>
      <c r="Q207" s="37">
        <v>2400000</v>
      </c>
      <c r="R207" s="37">
        <v>0</v>
      </c>
      <c r="S207" s="37"/>
      <c r="T207" s="37"/>
      <c r="U207" s="37"/>
      <c r="V207" s="59">
        <f t="shared" si="15"/>
        <v>6800000</v>
      </c>
      <c r="W207" s="60">
        <f t="shared" si="12"/>
        <v>17</v>
      </c>
      <c r="X207" s="60">
        <f t="shared" si="13"/>
        <v>5</v>
      </c>
      <c r="Y207" s="60">
        <f t="shared" si="14"/>
        <v>17</v>
      </c>
    </row>
    <row r="208" spans="1:25">
      <c r="A208" s="12">
        <v>204</v>
      </c>
      <c r="B208" s="16" t="s">
        <v>290</v>
      </c>
      <c r="C208" s="16"/>
      <c r="D208" s="16"/>
      <c r="E208" s="12"/>
      <c r="F208" s="12"/>
      <c r="G208" s="13">
        <v>400000</v>
      </c>
      <c r="H208" s="14"/>
      <c r="I208" s="15" t="s">
        <v>116</v>
      </c>
      <c r="J208" s="37">
        <v>0</v>
      </c>
      <c r="K208" s="37">
        <v>0</v>
      </c>
      <c r="L208" s="37">
        <v>0</v>
      </c>
      <c r="M208" s="37">
        <v>0</v>
      </c>
      <c r="N208" s="39">
        <v>0</v>
      </c>
      <c r="O208" s="37">
        <v>0</v>
      </c>
      <c r="P208" s="39">
        <v>0</v>
      </c>
      <c r="Q208" s="37">
        <v>0</v>
      </c>
      <c r="R208" s="37">
        <v>0</v>
      </c>
      <c r="S208" s="37"/>
      <c r="T208" s="37"/>
      <c r="U208" s="37"/>
      <c r="V208" s="59">
        <f t="shared" si="15"/>
        <v>0</v>
      </c>
      <c r="W208" s="60">
        <f t="shared" si="12"/>
        <v>0</v>
      </c>
      <c r="X208" s="60">
        <f t="shared" si="13"/>
        <v>0</v>
      </c>
      <c r="Y208" s="60">
        <f t="shared" si="14"/>
        <v>0</v>
      </c>
    </row>
    <row r="209" spans="1:25">
      <c r="A209" s="12">
        <v>205</v>
      </c>
      <c r="B209" s="16" t="s">
        <v>354</v>
      </c>
      <c r="C209" s="16">
        <v>91175909</v>
      </c>
      <c r="D209" s="16">
        <v>3188566515</v>
      </c>
      <c r="E209" s="12" t="s">
        <v>253</v>
      </c>
      <c r="F209" s="12"/>
      <c r="G209" s="13">
        <v>1600000</v>
      </c>
      <c r="H209" s="14"/>
      <c r="I209" s="15" t="s">
        <v>116</v>
      </c>
      <c r="J209" s="37">
        <v>0</v>
      </c>
      <c r="K209" s="37">
        <v>0</v>
      </c>
      <c r="L209" s="37">
        <v>0</v>
      </c>
      <c r="M209" s="37">
        <v>800000</v>
      </c>
      <c r="N209" s="39">
        <v>0</v>
      </c>
      <c r="O209" s="37">
        <v>0</v>
      </c>
      <c r="P209" s="39">
        <v>0</v>
      </c>
      <c r="Q209" s="37">
        <v>0</v>
      </c>
      <c r="R209" s="37">
        <v>400000</v>
      </c>
      <c r="S209" s="37"/>
      <c r="T209" s="37"/>
      <c r="U209" s="37"/>
      <c r="V209" s="59">
        <f t="shared" si="15"/>
        <v>1200000</v>
      </c>
      <c r="W209" s="60">
        <f t="shared" si="12"/>
        <v>3</v>
      </c>
      <c r="X209" s="60">
        <f t="shared" si="13"/>
        <v>2</v>
      </c>
      <c r="Y209" s="60">
        <f t="shared" si="14"/>
        <v>3</v>
      </c>
    </row>
    <row r="210" spans="1:25">
      <c r="A210" s="12">
        <v>206</v>
      </c>
      <c r="B210" s="16" t="s">
        <v>355</v>
      </c>
      <c r="C210" s="16">
        <v>15517784</v>
      </c>
      <c r="D210" s="16">
        <v>3206175921</v>
      </c>
      <c r="E210" s="12" t="s">
        <v>356</v>
      </c>
      <c r="F210" s="12"/>
      <c r="G210" s="13">
        <v>800000</v>
      </c>
      <c r="H210" s="14" t="s">
        <v>4</v>
      </c>
      <c r="I210" s="15" t="s">
        <v>116</v>
      </c>
      <c r="J210" s="37">
        <v>0</v>
      </c>
      <c r="K210" s="37">
        <v>0</v>
      </c>
      <c r="L210" s="37">
        <v>0</v>
      </c>
      <c r="M210" s="37">
        <v>400000</v>
      </c>
      <c r="N210" s="39">
        <v>400000</v>
      </c>
      <c r="O210" s="37">
        <v>400000</v>
      </c>
      <c r="P210" s="39">
        <v>400000</v>
      </c>
      <c r="Q210" s="37">
        <v>800000</v>
      </c>
      <c r="R210" s="37">
        <v>0</v>
      </c>
      <c r="S210" s="37"/>
      <c r="T210" s="37"/>
      <c r="U210" s="37"/>
      <c r="V210" s="59">
        <f t="shared" si="15"/>
        <v>2400000</v>
      </c>
      <c r="W210" s="60">
        <f t="shared" si="12"/>
        <v>6</v>
      </c>
      <c r="X210" s="60">
        <f t="shared" si="13"/>
        <v>5</v>
      </c>
      <c r="Y210" s="60">
        <f t="shared" si="14"/>
        <v>6</v>
      </c>
    </row>
    <row r="211" spans="1:25">
      <c r="A211" s="12">
        <v>207</v>
      </c>
      <c r="B211" s="16" t="s">
        <v>357</v>
      </c>
      <c r="C211" s="16">
        <v>1114884317</v>
      </c>
      <c r="D211" s="16">
        <v>3128481002</v>
      </c>
      <c r="E211" s="12" t="s">
        <v>358</v>
      </c>
      <c r="F211" s="12"/>
      <c r="G211" s="13">
        <v>800000</v>
      </c>
      <c r="H211" s="14"/>
      <c r="I211" s="15" t="s">
        <v>116</v>
      </c>
      <c r="J211" s="37">
        <v>400000</v>
      </c>
      <c r="K211" s="37">
        <v>400000</v>
      </c>
      <c r="L211" s="37">
        <v>0</v>
      </c>
      <c r="M211" s="37">
        <v>0</v>
      </c>
      <c r="N211" s="39">
        <v>0</v>
      </c>
      <c r="O211" s="37">
        <v>0</v>
      </c>
      <c r="P211" s="39">
        <v>0</v>
      </c>
      <c r="Q211" s="37">
        <v>0</v>
      </c>
      <c r="R211" s="37">
        <v>0</v>
      </c>
      <c r="S211" s="37"/>
      <c r="T211" s="37"/>
      <c r="U211" s="37"/>
      <c r="V211" s="59">
        <f t="shared" si="15"/>
        <v>800000</v>
      </c>
      <c r="W211" s="60">
        <f t="shared" si="12"/>
        <v>2</v>
      </c>
      <c r="X211" s="60">
        <f t="shared" si="13"/>
        <v>2</v>
      </c>
      <c r="Y211" s="60">
        <f t="shared" si="14"/>
        <v>2</v>
      </c>
    </row>
    <row r="212" spans="1:25">
      <c r="A212" s="12">
        <v>208</v>
      </c>
      <c r="B212" s="16" t="s">
        <v>359</v>
      </c>
      <c r="C212" s="16">
        <v>49742240</v>
      </c>
      <c r="D212" s="16">
        <v>3207260191</v>
      </c>
      <c r="E212" s="12" t="s">
        <v>358</v>
      </c>
      <c r="F212" s="12"/>
      <c r="G212" s="13">
        <v>1000000</v>
      </c>
      <c r="H212" s="14"/>
      <c r="I212" s="15" t="s">
        <v>116</v>
      </c>
      <c r="J212" s="37">
        <v>0</v>
      </c>
      <c r="K212" s="37">
        <v>600000</v>
      </c>
      <c r="L212" s="37">
        <v>0</v>
      </c>
      <c r="M212" s="37">
        <v>0</v>
      </c>
      <c r="N212" s="39">
        <v>0</v>
      </c>
      <c r="O212" s="37">
        <v>0</v>
      </c>
      <c r="P212" s="39">
        <v>200000</v>
      </c>
      <c r="Q212" s="37">
        <v>0</v>
      </c>
      <c r="R212" s="37">
        <v>200000</v>
      </c>
      <c r="S212" s="37"/>
      <c r="T212" s="37"/>
      <c r="U212" s="37"/>
      <c r="V212" s="59">
        <f t="shared" si="15"/>
        <v>1000000</v>
      </c>
      <c r="W212" s="60">
        <f t="shared" si="12"/>
        <v>2.5</v>
      </c>
      <c r="X212" s="60">
        <f t="shared" si="13"/>
        <v>3</v>
      </c>
      <c r="Y212" s="60">
        <f t="shared" si="14"/>
        <v>3</v>
      </c>
    </row>
    <row r="213" spans="1:25">
      <c r="A213" s="12">
        <v>209</v>
      </c>
      <c r="B213" s="16" t="s">
        <v>360</v>
      </c>
      <c r="C213" s="16">
        <v>1143355775</v>
      </c>
      <c r="D213" s="16">
        <v>3042425180</v>
      </c>
      <c r="E213" s="12" t="s">
        <v>681</v>
      </c>
      <c r="F213" s="12"/>
      <c r="G213" s="13">
        <v>800000</v>
      </c>
      <c r="H213" s="14"/>
      <c r="I213" s="15" t="s">
        <v>116</v>
      </c>
      <c r="J213" s="37">
        <v>400000</v>
      </c>
      <c r="K213" s="37">
        <v>0</v>
      </c>
      <c r="L213" s="37">
        <v>0</v>
      </c>
      <c r="M213" s="37">
        <v>0</v>
      </c>
      <c r="N213" s="39">
        <v>400000</v>
      </c>
      <c r="O213" s="37">
        <v>0</v>
      </c>
      <c r="P213" s="39">
        <v>0</v>
      </c>
      <c r="Q213" s="37">
        <v>0</v>
      </c>
      <c r="R213" s="37">
        <v>0</v>
      </c>
      <c r="S213" s="37"/>
      <c r="T213" s="37"/>
      <c r="U213" s="37"/>
      <c r="V213" s="59">
        <f t="shared" si="15"/>
        <v>800000</v>
      </c>
      <c r="W213" s="60">
        <f t="shared" si="12"/>
        <v>2</v>
      </c>
      <c r="X213" s="60">
        <f t="shared" si="13"/>
        <v>2</v>
      </c>
      <c r="Y213" s="60">
        <f t="shared" si="14"/>
        <v>2</v>
      </c>
    </row>
    <row r="214" spans="1:25">
      <c r="A214" s="12">
        <v>210</v>
      </c>
      <c r="B214" s="16" t="s">
        <v>456</v>
      </c>
      <c r="C214" s="16">
        <v>1015997321</v>
      </c>
      <c r="D214" s="16">
        <v>3177392885</v>
      </c>
      <c r="E214" s="12" t="s">
        <v>257</v>
      </c>
      <c r="F214" s="12"/>
      <c r="G214" s="13">
        <v>1200000</v>
      </c>
      <c r="H214" s="14"/>
      <c r="I214" s="15" t="s">
        <v>116</v>
      </c>
      <c r="J214" s="37">
        <v>0</v>
      </c>
      <c r="K214" s="37">
        <v>0</v>
      </c>
      <c r="L214" s="37">
        <v>0</v>
      </c>
      <c r="M214" s="37">
        <v>0</v>
      </c>
      <c r="N214" s="39">
        <v>0</v>
      </c>
      <c r="O214" s="37">
        <v>0</v>
      </c>
      <c r="P214" s="39">
        <v>0</v>
      </c>
      <c r="Q214" s="37">
        <v>400000</v>
      </c>
      <c r="R214" s="37">
        <v>400000</v>
      </c>
      <c r="S214" s="37"/>
      <c r="T214" s="37"/>
      <c r="U214" s="37"/>
      <c r="V214" s="59">
        <f t="shared" si="15"/>
        <v>800000</v>
      </c>
      <c r="W214" s="60">
        <f t="shared" si="12"/>
        <v>2</v>
      </c>
      <c r="X214" s="60">
        <f t="shared" si="13"/>
        <v>2</v>
      </c>
      <c r="Y214" s="60">
        <f t="shared" si="14"/>
        <v>2</v>
      </c>
    </row>
    <row r="215" spans="1:25">
      <c r="A215" s="12">
        <v>211</v>
      </c>
      <c r="B215" s="16" t="s">
        <v>457</v>
      </c>
      <c r="C215" s="16" t="s">
        <v>458</v>
      </c>
      <c r="D215" s="16">
        <v>3115871915</v>
      </c>
      <c r="E215" s="12" t="s">
        <v>239</v>
      </c>
      <c r="F215" s="12"/>
      <c r="G215" s="13">
        <v>800000</v>
      </c>
      <c r="H215" s="14"/>
      <c r="I215" s="15" t="s">
        <v>116</v>
      </c>
      <c r="J215" s="37">
        <v>0</v>
      </c>
      <c r="K215" s="37">
        <v>800000</v>
      </c>
      <c r="L215" s="37">
        <v>400000</v>
      </c>
      <c r="M215" s="37">
        <v>400000</v>
      </c>
      <c r="N215" s="39">
        <v>400000</v>
      </c>
      <c r="O215" s="37">
        <v>0</v>
      </c>
      <c r="P215" s="39">
        <v>0</v>
      </c>
      <c r="Q215" s="37">
        <v>1200000</v>
      </c>
      <c r="R215" s="37">
        <v>400000</v>
      </c>
      <c r="S215" s="37"/>
      <c r="T215" s="37"/>
      <c r="U215" s="37"/>
      <c r="V215" s="59">
        <f t="shared" si="15"/>
        <v>3600000</v>
      </c>
      <c r="W215" s="60">
        <f t="shared" si="12"/>
        <v>9</v>
      </c>
      <c r="X215" s="60">
        <f t="shared" si="13"/>
        <v>6</v>
      </c>
      <c r="Y215" s="60">
        <f t="shared" si="14"/>
        <v>9</v>
      </c>
    </row>
    <row r="216" spans="1:25">
      <c r="A216" s="12">
        <v>212</v>
      </c>
      <c r="B216" s="16" t="s">
        <v>459</v>
      </c>
      <c r="C216" s="16">
        <v>1045737100</v>
      </c>
      <c r="D216" s="16">
        <v>3015184734</v>
      </c>
      <c r="E216" s="12" t="s">
        <v>681</v>
      </c>
      <c r="F216" s="12"/>
      <c r="G216" s="13">
        <v>800000</v>
      </c>
      <c r="H216" s="14"/>
      <c r="I216" s="15" t="s">
        <v>116</v>
      </c>
      <c r="J216" s="37">
        <v>400000</v>
      </c>
      <c r="K216" s="37">
        <v>0</v>
      </c>
      <c r="L216" s="37">
        <v>400000</v>
      </c>
      <c r="M216" s="37">
        <v>400000</v>
      </c>
      <c r="N216" s="39">
        <v>0</v>
      </c>
      <c r="O216" s="37">
        <v>0</v>
      </c>
      <c r="P216" s="39">
        <v>400000</v>
      </c>
      <c r="Q216" s="37">
        <v>0</v>
      </c>
      <c r="R216" s="37">
        <v>0</v>
      </c>
      <c r="S216" s="37"/>
      <c r="T216" s="37"/>
      <c r="U216" s="37"/>
      <c r="V216" s="59">
        <f t="shared" si="15"/>
        <v>1600000</v>
      </c>
      <c r="W216" s="60">
        <f t="shared" si="12"/>
        <v>4</v>
      </c>
      <c r="X216" s="60">
        <f t="shared" si="13"/>
        <v>4</v>
      </c>
      <c r="Y216" s="60">
        <f t="shared" si="14"/>
        <v>4</v>
      </c>
    </row>
    <row r="217" spans="1:25">
      <c r="A217" s="12">
        <v>213</v>
      </c>
      <c r="B217" s="16" t="s">
        <v>460</v>
      </c>
      <c r="C217" s="16">
        <v>26258801</v>
      </c>
      <c r="D217" s="16">
        <v>3206877280</v>
      </c>
      <c r="E217" s="12" t="s">
        <v>347</v>
      </c>
      <c r="F217" s="12"/>
      <c r="G217" s="13">
        <v>1200000</v>
      </c>
      <c r="H217" s="14"/>
      <c r="I217" s="15" t="s">
        <v>116</v>
      </c>
      <c r="J217" s="37">
        <v>0</v>
      </c>
      <c r="K217" s="37">
        <v>0</v>
      </c>
      <c r="L217" s="37">
        <v>0</v>
      </c>
      <c r="M217" s="37">
        <v>0</v>
      </c>
      <c r="N217" s="39">
        <v>400000</v>
      </c>
      <c r="O217" s="37">
        <v>400000</v>
      </c>
      <c r="P217" s="39">
        <v>400000</v>
      </c>
      <c r="Q217" s="37">
        <v>0</v>
      </c>
      <c r="R217" s="37">
        <v>800000</v>
      </c>
      <c r="S217" s="37"/>
      <c r="T217" s="37"/>
      <c r="U217" s="37"/>
      <c r="V217" s="59">
        <f t="shared" si="15"/>
        <v>2000000</v>
      </c>
      <c r="W217" s="60">
        <f t="shared" si="12"/>
        <v>5</v>
      </c>
      <c r="X217" s="60">
        <f t="shared" si="13"/>
        <v>4</v>
      </c>
      <c r="Y217" s="60">
        <f t="shared" si="14"/>
        <v>5</v>
      </c>
    </row>
    <row r="218" spans="1:25">
      <c r="A218" s="12">
        <v>214</v>
      </c>
      <c r="B218" s="16" t="s">
        <v>461</v>
      </c>
      <c r="C218" s="16">
        <v>88309418</v>
      </c>
      <c r="D218" s="16">
        <v>3203034511</v>
      </c>
      <c r="E218" s="12" t="s">
        <v>239</v>
      </c>
      <c r="F218" s="12"/>
      <c r="G218" s="13">
        <v>800000</v>
      </c>
      <c r="H218" s="14"/>
      <c r="I218" s="15" t="s">
        <v>116</v>
      </c>
      <c r="J218" s="37">
        <v>400000</v>
      </c>
      <c r="K218" s="37">
        <v>400000</v>
      </c>
      <c r="L218" s="37">
        <v>400000</v>
      </c>
      <c r="M218" s="37">
        <v>400000</v>
      </c>
      <c r="N218" s="39">
        <v>400000</v>
      </c>
      <c r="O218" s="37">
        <v>400000</v>
      </c>
      <c r="P218" s="39">
        <v>400000</v>
      </c>
      <c r="Q218" s="37">
        <v>400000</v>
      </c>
      <c r="R218" s="37">
        <v>400000</v>
      </c>
      <c r="S218" s="37"/>
      <c r="T218" s="37"/>
      <c r="U218" s="37"/>
      <c r="V218" s="59">
        <f t="shared" si="15"/>
        <v>3600000</v>
      </c>
      <c r="W218" s="60">
        <f t="shared" si="12"/>
        <v>9</v>
      </c>
      <c r="X218" s="60">
        <f t="shared" si="13"/>
        <v>9</v>
      </c>
      <c r="Y218" s="60">
        <f t="shared" si="14"/>
        <v>9</v>
      </c>
    </row>
    <row r="219" spans="1:25">
      <c r="A219" s="12">
        <v>215</v>
      </c>
      <c r="B219" s="16" t="s">
        <v>462</v>
      </c>
      <c r="C219" s="16">
        <v>9093848</v>
      </c>
      <c r="D219" s="16">
        <v>3184909196</v>
      </c>
      <c r="E219" s="12" t="s">
        <v>463</v>
      </c>
      <c r="F219" s="12"/>
      <c r="G219" s="13">
        <v>500000</v>
      </c>
      <c r="H219" s="14"/>
      <c r="I219" s="15" t="s">
        <v>116</v>
      </c>
      <c r="J219" s="37">
        <v>400000</v>
      </c>
      <c r="K219" s="37">
        <v>400000</v>
      </c>
      <c r="L219" s="37">
        <v>400000</v>
      </c>
      <c r="M219" s="37">
        <v>0</v>
      </c>
      <c r="N219" s="39">
        <v>400000</v>
      </c>
      <c r="O219" s="37">
        <v>400000</v>
      </c>
      <c r="P219" s="39">
        <v>400000</v>
      </c>
      <c r="Q219" s="37">
        <v>0</v>
      </c>
      <c r="R219" s="37">
        <v>0</v>
      </c>
      <c r="S219" s="37"/>
      <c r="T219" s="37"/>
      <c r="U219" s="37"/>
      <c r="V219" s="59">
        <f t="shared" si="15"/>
        <v>2400000</v>
      </c>
      <c r="W219" s="60">
        <f t="shared" si="12"/>
        <v>6</v>
      </c>
      <c r="X219" s="60">
        <f t="shared" si="13"/>
        <v>6</v>
      </c>
      <c r="Y219" s="60">
        <f t="shared" si="14"/>
        <v>6</v>
      </c>
    </row>
    <row r="220" spans="1:25">
      <c r="A220" s="12">
        <v>216</v>
      </c>
      <c r="B220" s="16" t="s">
        <v>464</v>
      </c>
      <c r="C220" s="16">
        <v>1053798897</v>
      </c>
      <c r="D220" s="16">
        <v>3142872429</v>
      </c>
      <c r="E220" s="12" t="s">
        <v>465</v>
      </c>
      <c r="F220" s="12"/>
      <c r="G220" s="13">
        <v>800000</v>
      </c>
      <c r="H220" s="14"/>
      <c r="I220" s="15" t="s">
        <v>116</v>
      </c>
      <c r="J220" s="37">
        <v>300000</v>
      </c>
      <c r="K220" s="37">
        <v>300000</v>
      </c>
      <c r="L220" s="37">
        <v>200000</v>
      </c>
      <c r="M220" s="37">
        <v>0</v>
      </c>
      <c r="N220" s="39">
        <v>0</v>
      </c>
      <c r="O220" s="37">
        <v>0</v>
      </c>
      <c r="P220" s="39">
        <v>0</v>
      </c>
      <c r="Q220" s="37">
        <v>0</v>
      </c>
      <c r="R220" s="37">
        <v>0</v>
      </c>
      <c r="S220" s="37"/>
      <c r="T220" s="37"/>
      <c r="U220" s="37"/>
      <c r="V220" s="59">
        <f t="shared" si="15"/>
        <v>800000</v>
      </c>
      <c r="W220" s="60">
        <f t="shared" si="12"/>
        <v>2</v>
      </c>
      <c r="X220" s="60">
        <f t="shared" si="13"/>
        <v>3</v>
      </c>
      <c r="Y220" s="60">
        <f t="shared" si="14"/>
        <v>2</v>
      </c>
    </row>
    <row r="221" spans="1:25">
      <c r="A221" s="12">
        <v>217</v>
      </c>
      <c r="B221" s="16" t="s">
        <v>735</v>
      </c>
      <c r="C221" s="16">
        <v>32556538</v>
      </c>
      <c r="D221" s="16">
        <v>3108936691</v>
      </c>
      <c r="E221" s="12" t="s">
        <v>571</v>
      </c>
      <c r="F221" s="12"/>
      <c r="G221" s="13">
        <v>40000</v>
      </c>
      <c r="H221" s="14"/>
      <c r="I221" s="15" t="s">
        <v>116</v>
      </c>
      <c r="J221" s="37">
        <v>20000</v>
      </c>
      <c r="K221" s="37">
        <v>30000</v>
      </c>
      <c r="L221" s="37">
        <v>30000</v>
      </c>
      <c r="M221" s="37">
        <v>50000</v>
      </c>
      <c r="N221" s="39">
        <v>50000</v>
      </c>
      <c r="O221" s="37">
        <v>50000</v>
      </c>
      <c r="P221" s="39">
        <v>30000</v>
      </c>
      <c r="Q221" s="37">
        <v>40000</v>
      </c>
      <c r="R221" s="37">
        <v>50000</v>
      </c>
      <c r="S221" s="37"/>
      <c r="T221" s="37"/>
      <c r="U221" s="37"/>
      <c r="V221" s="59">
        <f t="shared" si="15"/>
        <v>350000</v>
      </c>
      <c r="W221" s="60">
        <f t="shared" si="12"/>
        <v>0.875</v>
      </c>
      <c r="X221" s="60">
        <f t="shared" si="13"/>
        <v>9</v>
      </c>
      <c r="Y221" s="60">
        <f t="shared" si="14"/>
        <v>1</v>
      </c>
    </row>
    <row r="222" spans="1:25">
      <c r="A222" s="12">
        <v>218</v>
      </c>
      <c r="B222" s="16" t="s">
        <v>467</v>
      </c>
      <c r="C222" s="16">
        <v>28967914</v>
      </c>
      <c r="D222" s="16">
        <v>336684935</v>
      </c>
      <c r="E222" s="12" t="s">
        <v>468</v>
      </c>
      <c r="F222" s="12"/>
      <c r="G222" s="13">
        <v>400000</v>
      </c>
      <c r="H222" s="14"/>
      <c r="I222" s="15" t="s">
        <v>116</v>
      </c>
      <c r="J222" s="37">
        <v>0</v>
      </c>
      <c r="K222" s="37">
        <v>0</v>
      </c>
      <c r="L222" s="37">
        <v>0</v>
      </c>
      <c r="M222" s="37">
        <v>0</v>
      </c>
      <c r="N222" s="39">
        <v>0</v>
      </c>
      <c r="O222" s="37">
        <v>0</v>
      </c>
      <c r="P222" s="39">
        <v>0</v>
      </c>
      <c r="Q222" s="37">
        <v>0</v>
      </c>
      <c r="R222" s="37">
        <v>0</v>
      </c>
      <c r="S222" s="37"/>
      <c r="T222" s="37"/>
      <c r="U222" s="37"/>
      <c r="V222" s="59">
        <f t="shared" si="15"/>
        <v>0</v>
      </c>
      <c r="W222" s="60">
        <f t="shared" si="12"/>
        <v>0</v>
      </c>
      <c r="X222" s="60">
        <f t="shared" si="13"/>
        <v>0</v>
      </c>
      <c r="Y222" s="60">
        <f t="shared" si="14"/>
        <v>0</v>
      </c>
    </row>
    <row r="223" spans="1:25">
      <c r="A223" s="12">
        <v>219</v>
      </c>
      <c r="B223" s="16" t="s">
        <v>475</v>
      </c>
      <c r="C223" s="16">
        <v>1094228628</v>
      </c>
      <c r="D223" s="16">
        <v>3124214946</v>
      </c>
      <c r="E223" s="12" t="s">
        <v>239</v>
      </c>
      <c r="F223" s="12"/>
      <c r="G223" s="13">
        <v>400000</v>
      </c>
      <c r="H223" s="14"/>
      <c r="I223" s="15" t="s">
        <v>116</v>
      </c>
      <c r="J223" s="37">
        <v>200000</v>
      </c>
      <c r="K223" s="37">
        <v>0</v>
      </c>
      <c r="L223" s="37">
        <v>0</v>
      </c>
      <c r="M223" s="37">
        <v>400000</v>
      </c>
      <c r="N223" s="39">
        <v>400000</v>
      </c>
      <c r="O223" s="37">
        <v>0</v>
      </c>
      <c r="P223" s="39">
        <v>0</v>
      </c>
      <c r="Q223" s="37">
        <v>0</v>
      </c>
      <c r="R223" s="37">
        <v>0</v>
      </c>
      <c r="S223" s="37"/>
      <c r="T223" s="37"/>
      <c r="U223" s="37"/>
      <c r="V223" s="59">
        <f t="shared" si="15"/>
        <v>1000000</v>
      </c>
      <c r="W223" s="60">
        <f t="shared" si="12"/>
        <v>2.5</v>
      </c>
      <c r="X223" s="60">
        <f t="shared" si="13"/>
        <v>3</v>
      </c>
      <c r="Y223" s="60">
        <f t="shared" si="14"/>
        <v>3</v>
      </c>
    </row>
    <row r="224" spans="1:25">
      <c r="A224" s="12">
        <v>220</v>
      </c>
      <c r="B224" s="16" t="s">
        <v>476</v>
      </c>
      <c r="C224" s="16">
        <v>88237561</v>
      </c>
      <c r="D224" s="16">
        <v>3204473656</v>
      </c>
      <c r="E224" s="12" t="s">
        <v>239</v>
      </c>
      <c r="F224" s="12"/>
      <c r="G224" s="13">
        <v>800000</v>
      </c>
      <c r="H224" s="14"/>
      <c r="I224" s="15" t="s">
        <v>116</v>
      </c>
      <c r="J224" s="37">
        <v>400000</v>
      </c>
      <c r="K224" s="37">
        <v>400000</v>
      </c>
      <c r="L224" s="37">
        <v>400000</v>
      </c>
      <c r="M224" s="37">
        <v>400000</v>
      </c>
      <c r="N224" s="39">
        <v>400000</v>
      </c>
      <c r="O224" s="37">
        <v>0</v>
      </c>
      <c r="P224" s="39">
        <v>400000</v>
      </c>
      <c r="Q224" s="37">
        <v>0</v>
      </c>
      <c r="R224" s="37">
        <v>0</v>
      </c>
      <c r="S224" s="37"/>
      <c r="T224" s="37"/>
      <c r="U224" s="37"/>
      <c r="V224" s="59">
        <f t="shared" si="15"/>
        <v>2400000</v>
      </c>
      <c r="W224" s="60">
        <f t="shared" si="12"/>
        <v>6</v>
      </c>
      <c r="X224" s="60">
        <f t="shared" si="13"/>
        <v>6</v>
      </c>
      <c r="Y224" s="60">
        <f t="shared" si="14"/>
        <v>6</v>
      </c>
    </row>
    <row r="225" spans="1:25">
      <c r="A225" s="12">
        <v>221</v>
      </c>
      <c r="B225" s="16" t="s">
        <v>477</v>
      </c>
      <c r="C225" s="16" t="s">
        <v>478</v>
      </c>
      <c r="D225" s="16">
        <v>3102212862</v>
      </c>
      <c r="E225" s="12" t="s">
        <v>479</v>
      </c>
      <c r="F225" s="12"/>
      <c r="G225" s="13">
        <v>800000</v>
      </c>
      <c r="H225" s="14"/>
      <c r="I225" s="15" t="s">
        <v>116</v>
      </c>
      <c r="J225" s="37">
        <v>0</v>
      </c>
      <c r="K225" s="37">
        <v>0</v>
      </c>
      <c r="L225" s="37">
        <v>0</v>
      </c>
      <c r="M225" s="37">
        <v>0</v>
      </c>
      <c r="N225" s="39">
        <v>0</v>
      </c>
      <c r="O225" s="37">
        <v>0</v>
      </c>
      <c r="P225" s="39">
        <v>0</v>
      </c>
      <c r="Q225" s="37">
        <v>800000</v>
      </c>
      <c r="R225" s="37">
        <v>400000</v>
      </c>
      <c r="S225" s="37"/>
      <c r="T225" s="37"/>
      <c r="U225" s="37"/>
      <c r="V225" s="59">
        <f t="shared" si="15"/>
        <v>1200000</v>
      </c>
      <c r="W225" s="60">
        <f t="shared" si="12"/>
        <v>3</v>
      </c>
      <c r="X225" s="60">
        <f t="shared" si="13"/>
        <v>2</v>
      </c>
      <c r="Y225" s="60">
        <f t="shared" si="14"/>
        <v>3</v>
      </c>
    </row>
    <row r="226" spans="1:25">
      <c r="A226" s="12">
        <v>222</v>
      </c>
      <c r="B226" s="16" t="s">
        <v>480</v>
      </c>
      <c r="C226" s="16" t="s">
        <v>481</v>
      </c>
      <c r="D226" s="16">
        <v>3173802748</v>
      </c>
      <c r="E226" s="12" t="s">
        <v>479</v>
      </c>
      <c r="F226" s="12"/>
      <c r="G226" s="13">
        <v>800000</v>
      </c>
      <c r="H226" s="14"/>
      <c r="I226" s="15" t="s">
        <v>116</v>
      </c>
      <c r="J226" s="37">
        <v>0</v>
      </c>
      <c r="K226" s="37">
        <v>0</v>
      </c>
      <c r="L226" s="37">
        <v>0</v>
      </c>
      <c r="M226" s="37">
        <v>0</v>
      </c>
      <c r="N226" s="39">
        <v>0</v>
      </c>
      <c r="O226" s="37">
        <v>0</v>
      </c>
      <c r="P226" s="39">
        <v>0</v>
      </c>
      <c r="Q226" s="37">
        <v>0</v>
      </c>
      <c r="R226" s="37">
        <v>0</v>
      </c>
      <c r="S226" s="37"/>
      <c r="T226" s="37"/>
      <c r="U226" s="37"/>
      <c r="V226" s="59">
        <f t="shared" si="15"/>
        <v>0</v>
      </c>
      <c r="W226" s="60">
        <f t="shared" si="12"/>
        <v>0</v>
      </c>
      <c r="X226" s="60">
        <f t="shared" si="13"/>
        <v>0</v>
      </c>
      <c r="Y226" s="60">
        <f t="shared" si="14"/>
        <v>0</v>
      </c>
    </row>
    <row r="227" spans="1:25">
      <c r="A227" s="12">
        <v>223</v>
      </c>
      <c r="B227" s="16" t="s">
        <v>482</v>
      </c>
      <c r="C227" s="16" t="s">
        <v>483</v>
      </c>
      <c r="D227" s="16">
        <v>3174007835</v>
      </c>
      <c r="E227" s="12" t="s">
        <v>479</v>
      </c>
      <c r="F227" s="12"/>
      <c r="G227" s="13">
        <v>1200000</v>
      </c>
      <c r="H227" s="14"/>
      <c r="I227" s="15" t="s">
        <v>116</v>
      </c>
      <c r="J227" s="37">
        <v>0</v>
      </c>
      <c r="K227" s="37">
        <v>0</v>
      </c>
      <c r="L227" s="37">
        <v>0</v>
      </c>
      <c r="M227" s="37">
        <v>0</v>
      </c>
      <c r="N227" s="39">
        <v>0</v>
      </c>
      <c r="O227" s="37">
        <v>0</v>
      </c>
      <c r="P227" s="39">
        <v>0</v>
      </c>
      <c r="Q227" s="37">
        <v>400000</v>
      </c>
      <c r="R227" s="37">
        <v>400000</v>
      </c>
      <c r="S227" s="37"/>
      <c r="T227" s="37"/>
      <c r="U227" s="37"/>
      <c r="V227" s="59">
        <f t="shared" si="15"/>
        <v>800000</v>
      </c>
      <c r="W227" s="60">
        <f t="shared" si="12"/>
        <v>2</v>
      </c>
      <c r="X227" s="60">
        <f t="shared" si="13"/>
        <v>2</v>
      </c>
      <c r="Y227" s="60">
        <f t="shared" si="14"/>
        <v>2</v>
      </c>
    </row>
    <row r="228" spans="1:25">
      <c r="A228" s="12">
        <v>224</v>
      </c>
      <c r="B228" s="16" t="s">
        <v>484</v>
      </c>
      <c r="C228" s="16" t="s">
        <v>485</v>
      </c>
      <c r="D228" s="16">
        <v>3008286649</v>
      </c>
      <c r="E228" s="12" t="s">
        <v>479</v>
      </c>
      <c r="F228" s="12"/>
      <c r="G228" s="13">
        <v>800000</v>
      </c>
      <c r="H228" s="14"/>
      <c r="I228" s="15" t="s">
        <v>116</v>
      </c>
      <c r="J228" s="37">
        <v>0</v>
      </c>
      <c r="K228" s="37">
        <v>0</v>
      </c>
      <c r="L228" s="37">
        <v>0</v>
      </c>
      <c r="M228" s="37">
        <v>0</v>
      </c>
      <c r="N228" s="39">
        <v>0</v>
      </c>
      <c r="O228" s="37">
        <v>0</v>
      </c>
      <c r="P228" s="39">
        <v>0</v>
      </c>
      <c r="Q228" s="37">
        <v>400000</v>
      </c>
      <c r="R228" s="37">
        <v>400000</v>
      </c>
      <c r="S228" s="37"/>
      <c r="T228" s="37"/>
      <c r="U228" s="37"/>
      <c r="V228" s="59">
        <f t="shared" si="15"/>
        <v>800000</v>
      </c>
      <c r="W228" s="60">
        <f t="shared" si="12"/>
        <v>2</v>
      </c>
      <c r="X228" s="60">
        <f t="shared" si="13"/>
        <v>2</v>
      </c>
      <c r="Y228" s="60">
        <f t="shared" si="14"/>
        <v>2</v>
      </c>
    </row>
    <row r="229" spans="1:25">
      <c r="A229" s="12">
        <v>225</v>
      </c>
      <c r="B229" s="16" t="s">
        <v>486</v>
      </c>
      <c r="C229" s="16" t="s">
        <v>487</v>
      </c>
      <c r="D229" s="16">
        <v>3212079648</v>
      </c>
      <c r="E229" s="12" t="s">
        <v>479</v>
      </c>
      <c r="F229" s="12"/>
      <c r="G229" s="13">
        <v>800000</v>
      </c>
      <c r="H229" s="14"/>
      <c r="I229" s="15" t="s">
        <v>116</v>
      </c>
      <c r="J229" s="37">
        <v>0</v>
      </c>
      <c r="K229" s="37">
        <v>0</v>
      </c>
      <c r="L229" s="37">
        <v>0</v>
      </c>
      <c r="M229" s="37">
        <v>0</v>
      </c>
      <c r="N229" s="39">
        <v>0</v>
      </c>
      <c r="O229" s="37">
        <v>0</v>
      </c>
      <c r="P229" s="39">
        <v>0</v>
      </c>
      <c r="Q229" s="37">
        <v>0</v>
      </c>
      <c r="R229" s="37">
        <v>0</v>
      </c>
      <c r="S229" s="37"/>
      <c r="T229" s="37"/>
      <c r="U229" s="37"/>
      <c r="V229" s="59">
        <f t="shared" si="15"/>
        <v>0</v>
      </c>
      <c r="W229" s="60">
        <f t="shared" si="12"/>
        <v>0</v>
      </c>
      <c r="X229" s="60">
        <f t="shared" si="13"/>
        <v>0</v>
      </c>
      <c r="Y229" s="60">
        <f t="shared" si="14"/>
        <v>0</v>
      </c>
    </row>
    <row r="230" spans="1:25">
      <c r="A230" s="12">
        <v>226</v>
      </c>
      <c r="B230" s="16" t="s">
        <v>488</v>
      </c>
      <c r="C230" s="16" t="s">
        <v>489</v>
      </c>
      <c r="D230" s="16">
        <v>3212648565</v>
      </c>
      <c r="E230" s="12" t="s">
        <v>490</v>
      </c>
      <c r="F230" s="12"/>
      <c r="G230" s="13">
        <v>800000</v>
      </c>
      <c r="H230" s="14"/>
      <c r="I230" s="15" t="s">
        <v>116</v>
      </c>
      <c r="J230" s="37">
        <v>0</v>
      </c>
      <c r="K230" s="37">
        <v>0</v>
      </c>
      <c r="L230" s="37">
        <v>0</v>
      </c>
      <c r="M230" s="37">
        <v>0</v>
      </c>
      <c r="N230" s="39">
        <v>0</v>
      </c>
      <c r="O230" s="37">
        <v>0</v>
      </c>
      <c r="P230" s="39">
        <v>0</v>
      </c>
      <c r="Q230" s="37">
        <v>0</v>
      </c>
      <c r="R230" s="37">
        <v>0</v>
      </c>
      <c r="S230" s="37"/>
      <c r="T230" s="37"/>
      <c r="U230" s="37"/>
      <c r="V230" s="59">
        <f t="shared" si="15"/>
        <v>0</v>
      </c>
      <c r="W230" s="60">
        <f t="shared" si="12"/>
        <v>0</v>
      </c>
      <c r="X230" s="60">
        <f t="shared" si="13"/>
        <v>0</v>
      </c>
      <c r="Y230" s="60">
        <f t="shared" si="14"/>
        <v>0</v>
      </c>
    </row>
    <row r="231" spans="1:25">
      <c r="A231" s="12">
        <v>227</v>
      </c>
      <c r="B231" s="16" t="s">
        <v>491</v>
      </c>
      <c r="C231" s="16" t="s">
        <v>492</v>
      </c>
      <c r="D231" s="16">
        <v>3156601344</v>
      </c>
      <c r="E231" s="12" t="s">
        <v>493</v>
      </c>
      <c r="F231" s="12"/>
      <c r="G231" s="13">
        <v>800000</v>
      </c>
      <c r="H231" s="14"/>
      <c r="I231" s="15" t="s">
        <v>116</v>
      </c>
      <c r="J231" s="37">
        <v>0</v>
      </c>
      <c r="K231" s="37">
        <v>0</v>
      </c>
      <c r="L231" s="37">
        <v>0</v>
      </c>
      <c r="M231" s="37">
        <v>0</v>
      </c>
      <c r="N231" s="39">
        <v>0</v>
      </c>
      <c r="O231" s="37">
        <v>0</v>
      </c>
      <c r="P231" s="39">
        <v>0</v>
      </c>
      <c r="Q231" s="37">
        <v>400000</v>
      </c>
      <c r="R231" s="37">
        <v>400000</v>
      </c>
      <c r="S231" s="37"/>
      <c r="T231" s="37"/>
      <c r="U231" s="37"/>
      <c r="V231" s="59">
        <f t="shared" si="15"/>
        <v>800000</v>
      </c>
      <c r="W231" s="60">
        <f t="shared" si="12"/>
        <v>2</v>
      </c>
      <c r="X231" s="60">
        <f t="shared" si="13"/>
        <v>2</v>
      </c>
      <c r="Y231" s="60">
        <f t="shared" si="14"/>
        <v>2</v>
      </c>
    </row>
    <row r="232" spans="1:25">
      <c r="A232" s="12">
        <v>228</v>
      </c>
      <c r="B232" s="16" t="s">
        <v>494</v>
      </c>
      <c r="C232" s="16" t="s">
        <v>495</v>
      </c>
      <c r="D232" s="16">
        <v>3114967016</v>
      </c>
      <c r="E232" s="12" t="s">
        <v>496</v>
      </c>
      <c r="F232" s="12"/>
      <c r="G232" s="13">
        <v>400000</v>
      </c>
      <c r="H232" s="14"/>
      <c r="I232" s="15" t="s">
        <v>116</v>
      </c>
      <c r="J232" s="37">
        <v>0</v>
      </c>
      <c r="K232" s="37">
        <v>0</v>
      </c>
      <c r="L232" s="37">
        <v>0</v>
      </c>
      <c r="M232" s="37">
        <v>0</v>
      </c>
      <c r="N232" s="39">
        <v>0</v>
      </c>
      <c r="O232" s="37">
        <v>0</v>
      </c>
      <c r="P232" s="39">
        <v>0</v>
      </c>
      <c r="Q232" s="37">
        <v>0</v>
      </c>
      <c r="R232" s="37">
        <v>0</v>
      </c>
      <c r="S232" s="37"/>
      <c r="T232" s="37"/>
      <c r="U232" s="37"/>
      <c r="V232" s="59">
        <f t="shared" si="15"/>
        <v>0</v>
      </c>
      <c r="W232" s="60">
        <f t="shared" si="12"/>
        <v>0</v>
      </c>
      <c r="X232" s="60">
        <f t="shared" si="13"/>
        <v>0</v>
      </c>
      <c r="Y232" s="60">
        <f t="shared" si="14"/>
        <v>0</v>
      </c>
    </row>
    <row r="233" spans="1:25">
      <c r="A233" s="12">
        <v>229</v>
      </c>
      <c r="B233" s="16" t="s">
        <v>497</v>
      </c>
      <c r="C233" s="16" t="s">
        <v>498</v>
      </c>
      <c r="D233" s="16">
        <v>3214289394</v>
      </c>
      <c r="E233" s="12" t="s">
        <v>496</v>
      </c>
      <c r="F233" s="12"/>
      <c r="G233" s="13">
        <v>800000</v>
      </c>
      <c r="H233" s="14"/>
      <c r="I233" s="15" t="s">
        <v>116</v>
      </c>
      <c r="J233" s="37">
        <v>0</v>
      </c>
      <c r="K233" s="37">
        <v>0</v>
      </c>
      <c r="L233" s="37">
        <v>0</v>
      </c>
      <c r="M233" s="37">
        <v>0</v>
      </c>
      <c r="N233" s="39">
        <v>0</v>
      </c>
      <c r="O233" s="37">
        <v>0</v>
      </c>
      <c r="P233" s="39">
        <v>0</v>
      </c>
      <c r="Q233" s="37">
        <v>0</v>
      </c>
      <c r="R233" s="37">
        <v>0</v>
      </c>
      <c r="S233" s="37"/>
      <c r="T233" s="37"/>
      <c r="U233" s="37"/>
      <c r="V233" s="59">
        <f t="shared" si="15"/>
        <v>0</v>
      </c>
      <c r="W233" s="60">
        <f t="shared" si="12"/>
        <v>0</v>
      </c>
      <c r="X233" s="60">
        <f t="shared" si="13"/>
        <v>0</v>
      </c>
      <c r="Y233" s="60">
        <f t="shared" si="14"/>
        <v>0</v>
      </c>
    </row>
    <row r="234" spans="1:25">
      <c r="A234" s="12">
        <v>230</v>
      </c>
      <c r="B234" s="16" t="s">
        <v>499</v>
      </c>
      <c r="C234" s="16" t="s">
        <v>500</v>
      </c>
      <c r="D234" s="16">
        <v>3214411717</v>
      </c>
      <c r="E234" s="12" t="s">
        <v>501</v>
      </c>
      <c r="F234" s="12"/>
      <c r="G234" s="13">
        <v>800000</v>
      </c>
      <c r="H234" s="14"/>
      <c r="I234" s="15" t="s">
        <v>116</v>
      </c>
      <c r="J234" s="37">
        <v>0</v>
      </c>
      <c r="K234" s="37">
        <v>0</v>
      </c>
      <c r="L234" s="37">
        <v>0</v>
      </c>
      <c r="M234" s="37">
        <v>0</v>
      </c>
      <c r="N234" s="39">
        <v>0</v>
      </c>
      <c r="O234" s="37">
        <v>0</v>
      </c>
      <c r="P234" s="39">
        <v>0</v>
      </c>
      <c r="Q234" s="37">
        <v>0</v>
      </c>
      <c r="R234" s="37">
        <v>0</v>
      </c>
      <c r="S234" s="37"/>
      <c r="T234" s="37"/>
      <c r="U234" s="37"/>
      <c r="V234" s="59">
        <f t="shared" si="15"/>
        <v>0</v>
      </c>
      <c r="W234" s="60">
        <f t="shared" si="12"/>
        <v>0</v>
      </c>
      <c r="X234" s="60">
        <f t="shared" si="13"/>
        <v>0</v>
      </c>
      <c r="Y234" s="60">
        <f t="shared" si="14"/>
        <v>0</v>
      </c>
    </row>
    <row r="235" spans="1:25">
      <c r="A235" s="12">
        <v>231</v>
      </c>
      <c r="B235" s="16" t="s">
        <v>502</v>
      </c>
      <c r="C235" s="16" t="s">
        <v>503</v>
      </c>
      <c r="D235" s="16">
        <v>3204014480</v>
      </c>
      <c r="E235" s="12" t="s">
        <v>504</v>
      </c>
      <c r="F235" s="12"/>
      <c r="G235" s="13">
        <v>400000</v>
      </c>
      <c r="H235" s="14"/>
      <c r="I235" s="15" t="s">
        <v>116</v>
      </c>
      <c r="J235" s="37">
        <v>0</v>
      </c>
      <c r="K235" s="37">
        <v>0</v>
      </c>
      <c r="L235" s="37">
        <v>0</v>
      </c>
      <c r="M235" s="37">
        <v>0</v>
      </c>
      <c r="N235" s="39">
        <v>0</v>
      </c>
      <c r="O235" s="37">
        <v>0</v>
      </c>
      <c r="P235" s="39">
        <v>0</v>
      </c>
      <c r="Q235" s="37">
        <v>0</v>
      </c>
      <c r="R235" s="37">
        <v>0</v>
      </c>
      <c r="S235" s="37"/>
      <c r="T235" s="37"/>
      <c r="U235" s="37"/>
      <c r="V235" s="59">
        <f t="shared" si="15"/>
        <v>0</v>
      </c>
      <c r="W235" s="60">
        <f t="shared" si="12"/>
        <v>0</v>
      </c>
      <c r="X235" s="60">
        <f t="shared" si="13"/>
        <v>0</v>
      </c>
      <c r="Y235" s="60">
        <f t="shared" si="14"/>
        <v>0</v>
      </c>
    </row>
    <row r="236" spans="1:25">
      <c r="A236" s="12">
        <v>232</v>
      </c>
      <c r="B236" s="16" t="s">
        <v>505</v>
      </c>
      <c r="C236" s="16" t="s">
        <v>506</v>
      </c>
      <c r="D236" s="16">
        <v>3114612778</v>
      </c>
      <c r="E236" s="12" t="s">
        <v>501</v>
      </c>
      <c r="F236" s="12"/>
      <c r="G236" s="13">
        <v>800000</v>
      </c>
      <c r="H236" s="14"/>
      <c r="I236" s="15" t="s">
        <v>116</v>
      </c>
      <c r="J236" s="37">
        <v>0</v>
      </c>
      <c r="K236" s="37">
        <v>0</v>
      </c>
      <c r="L236" s="37">
        <v>0</v>
      </c>
      <c r="M236" s="37">
        <v>0</v>
      </c>
      <c r="N236" s="39">
        <v>0</v>
      </c>
      <c r="O236" s="37">
        <v>0</v>
      </c>
      <c r="P236" s="39">
        <v>0</v>
      </c>
      <c r="Q236" s="37">
        <v>400000</v>
      </c>
      <c r="R236" s="37">
        <v>400000</v>
      </c>
      <c r="S236" s="37"/>
      <c r="T236" s="37"/>
      <c r="U236" s="37"/>
      <c r="V236" s="59">
        <f t="shared" si="15"/>
        <v>800000</v>
      </c>
      <c r="W236" s="60">
        <f t="shared" si="12"/>
        <v>2</v>
      </c>
      <c r="X236" s="60">
        <f t="shared" si="13"/>
        <v>2</v>
      </c>
      <c r="Y236" s="60">
        <f t="shared" si="14"/>
        <v>2</v>
      </c>
    </row>
    <row r="237" spans="1:25">
      <c r="A237" s="12">
        <v>233</v>
      </c>
      <c r="B237" s="16" t="s">
        <v>507</v>
      </c>
      <c r="C237" s="16">
        <v>85203032</v>
      </c>
      <c r="D237" s="16">
        <v>3107315557</v>
      </c>
      <c r="E237" s="12" t="s">
        <v>620</v>
      </c>
      <c r="F237" s="12"/>
      <c r="G237" s="13">
        <v>800000</v>
      </c>
      <c r="H237" s="14"/>
      <c r="I237" s="15" t="s">
        <v>116</v>
      </c>
      <c r="J237" s="37">
        <v>0</v>
      </c>
      <c r="K237" s="37">
        <v>0</v>
      </c>
      <c r="L237" s="37">
        <v>0</v>
      </c>
      <c r="M237" s="37">
        <v>0</v>
      </c>
      <c r="N237" s="39">
        <v>0</v>
      </c>
      <c r="O237" s="37">
        <v>0</v>
      </c>
      <c r="P237" s="39">
        <v>0</v>
      </c>
      <c r="Q237" s="37">
        <v>0</v>
      </c>
      <c r="R237" s="37">
        <v>0</v>
      </c>
      <c r="S237" s="37"/>
      <c r="T237" s="37"/>
      <c r="U237" s="37"/>
      <c r="V237" s="59">
        <f t="shared" si="15"/>
        <v>0</v>
      </c>
      <c r="W237" s="60">
        <f t="shared" si="12"/>
        <v>0</v>
      </c>
      <c r="X237" s="60">
        <f t="shared" si="13"/>
        <v>0</v>
      </c>
      <c r="Y237" s="60">
        <f t="shared" si="14"/>
        <v>0</v>
      </c>
    </row>
    <row r="238" spans="1:25">
      <c r="A238" s="12">
        <v>234</v>
      </c>
      <c r="B238" s="16" t="s">
        <v>509</v>
      </c>
      <c r="C238" s="16">
        <v>1067904102</v>
      </c>
      <c r="D238" s="16">
        <v>3137896402</v>
      </c>
      <c r="E238" s="12" t="s">
        <v>517</v>
      </c>
      <c r="F238" s="12"/>
      <c r="G238" s="13">
        <v>800000</v>
      </c>
      <c r="H238" s="14"/>
      <c r="I238" s="15" t="s">
        <v>116</v>
      </c>
      <c r="J238" s="37">
        <v>0</v>
      </c>
      <c r="K238" s="37">
        <v>0</v>
      </c>
      <c r="L238" s="37">
        <v>0</v>
      </c>
      <c r="M238" s="37">
        <v>0</v>
      </c>
      <c r="N238" s="39">
        <v>0</v>
      </c>
      <c r="O238" s="37">
        <v>0</v>
      </c>
      <c r="P238" s="39">
        <v>4000000</v>
      </c>
      <c r="Q238" s="37">
        <v>0</v>
      </c>
      <c r="R238" s="37">
        <v>0</v>
      </c>
      <c r="S238" s="37"/>
      <c r="T238" s="37"/>
      <c r="U238" s="37"/>
      <c r="V238" s="59">
        <f t="shared" si="15"/>
        <v>4000000</v>
      </c>
      <c r="W238" s="60">
        <f t="shared" si="12"/>
        <v>10</v>
      </c>
      <c r="X238" s="60">
        <f t="shared" si="13"/>
        <v>1</v>
      </c>
      <c r="Y238" s="60">
        <f t="shared" si="14"/>
        <v>10</v>
      </c>
    </row>
    <row r="239" spans="1:25">
      <c r="A239" s="12">
        <v>235</v>
      </c>
      <c r="B239" s="16" t="s">
        <v>510</v>
      </c>
      <c r="C239" s="16">
        <v>50901037</v>
      </c>
      <c r="D239" s="16">
        <v>3205707487</v>
      </c>
      <c r="E239" s="12"/>
      <c r="F239" s="12"/>
      <c r="G239" s="13">
        <v>800000</v>
      </c>
      <c r="H239" s="14"/>
      <c r="I239" s="15" t="s">
        <v>116</v>
      </c>
      <c r="J239" s="37">
        <v>0</v>
      </c>
      <c r="K239" s="37">
        <v>0</v>
      </c>
      <c r="L239" s="37">
        <v>0</v>
      </c>
      <c r="M239" s="37">
        <v>0</v>
      </c>
      <c r="N239" s="39">
        <v>0</v>
      </c>
      <c r="O239" s="37">
        <v>0</v>
      </c>
      <c r="P239" s="39">
        <v>0</v>
      </c>
      <c r="Q239" s="37">
        <v>0</v>
      </c>
      <c r="R239" s="37">
        <v>0</v>
      </c>
      <c r="S239" s="37"/>
      <c r="T239" s="37"/>
      <c r="U239" s="37"/>
      <c r="V239" s="59">
        <f t="shared" si="15"/>
        <v>0</v>
      </c>
      <c r="W239" s="60">
        <f t="shared" si="12"/>
        <v>0</v>
      </c>
      <c r="X239" s="60">
        <f t="shared" si="13"/>
        <v>0</v>
      </c>
      <c r="Y239" s="60">
        <f t="shared" si="14"/>
        <v>0</v>
      </c>
    </row>
    <row r="240" spans="1:25">
      <c r="A240" s="12">
        <v>236</v>
      </c>
      <c r="B240" s="16" t="s">
        <v>511</v>
      </c>
      <c r="C240" s="16">
        <v>1002371747</v>
      </c>
      <c r="D240" s="16">
        <v>3017076403</v>
      </c>
      <c r="E240" s="12" t="s">
        <v>512</v>
      </c>
      <c r="F240" s="12"/>
      <c r="G240" s="13">
        <v>800000</v>
      </c>
      <c r="H240" s="14"/>
      <c r="I240" s="15" t="s">
        <v>116</v>
      </c>
      <c r="J240" s="37">
        <v>0</v>
      </c>
      <c r="K240" s="37">
        <v>0</v>
      </c>
      <c r="L240" s="37">
        <v>0</v>
      </c>
      <c r="M240" s="37">
        <v>0</v>
      </c>
      <c r="N240" s="39">
        <v>0</v>
      </c>
      <c r="O240" s="37">
        <v>0</v>
      </c>
      <c r="P240" s="39">
        <v>0</v>
      </c>
      <c r="Q240" s="37">
        <v>0</v>
      </c>
      <c r="R240" s="37">
        <v>0</v>
      </c>
      <c r="S240" s="37"/>
      <c r="T240" s="37"/>
      <c r="U240" s="37"/>
      <c r="V240" s="59">
        <f t="shared" si="15"/>
        <v>0</v>
      </c>
      <c r="W240" s="60">
        <f t="shared" si="12"/>
        <v>0</v>
      </c>
      <c r="X240" s="60">
        <f t="shared" si="13"/>
        <v>0</v>
      </c>
      <c r="Y240" s="60">
        <f t="shared" si="14"/>
        <v>0</v>
      </c>
    </row>
    <row r="241" spans="1:25">
      <c r="A241" s="12">
        <v>237</v>
      </c>
      <c r="B241" s="16" t="s">
        <v>513</v>
      </c>
      <c r="C241" s="16">
        <v>1066737038</v>
      </c>
      <c r="D241" s="16">
        <v>3122228619</v>
      </c>
      <c r="E241" s="12" t="s">
        <v>514</v>
      </c>
      <c r="F241" s="12"/>
      <c r="G241" s="13">
        <v>800000</v>
      </c>
      <c r="H241" s="14"/>
      <c r="I241" s="15" t="s">
        <v>116</v>
      </c>
      <c r="J241" s="37">
        <v>0</v>
      </c>
      <c r="K241" s="37">
        <v>0</v>
      </c>
      <c r="L241" s="37">
        <v>0</v>
      </c>
      <c r="M241" s="37">
        <v>0</v>
      </c>
      <c r="N241" s="39">
        <v>0</v>
      </c>
      <c r="O241" s="37">
        <v>0</v>
      </c>
      <c r="P241" s="39">
        <v>0</v>
      </c>
      <c r="Q241" s="37">
        <v>0</v>
      </c>
      <c r="R241" s="37">
        <v>0</v>
      </c>
      <c r="S241" s="37"/>
      <c r="T241" s="37"/>
      <c r="U241" s="37"/>
      <c r="V241" s="59">
        <f t="shared" si="15"/>
        <v>0</v>
      </c>
      <c r="W241" s="60">
        <f t="shared" si="12"/>
        <v>0</v>
      </c>
      <c r="X241" s="60">
        <f t="shared" si="13"/>
        <v>0</v>
      </c>
      <c r="Y241" s="60">
        <f t="shared" si="14"/>
        <v>0</v>
      </c>
    </row>
    <row r="242" spans="1:25">
      <c r="A242" s="12">
        <v>238</v>
      </c>
      <c r="B242" s="16" t="s">
        <v>515</v>
      </c>
      <c r="C242" s="16">
        <v>1064996539</v>
      </c>
      <c r="D242" s="16">
        <v>3135513063</v>
      </c>
      <c r="E242" s="12" t="s">
        <v>620</v>
      </c>
      <c r="F242" s="12"/>
      <c r="G242" s="13">
        <v>800000</v>
      </c>
      <c r="H242" s="14"/>
      <c r="I242" s="15" t="s">
        <v>116</v>
      </c>
      <c r="J242" s="37">
        <v>0</v>
      </c>
      <c r="K242" s="37">
        <v>0</v>
      </c>
      <c r="L242" s="37">
        <v>0</v>
      </c>
      <c r="M242" s="37">
        <v>0</v>
      </c>
      <c r="N242" s="39">
        <v>0</v>
      </c>
      <c r="O242" s="37">
        <v>0</v>
      </c>
      <c r="P242" s="39">
        <v>0</v>
      </c>
      <c r="Q242" s="37">
        <v>0</v>
      </c>
      <c r="R242" s="37">
        <v>0</v>
      </c>
      <c r="S242" s="37"/>
      <c r="T242" s="37"/>
      <c r="U242" s="37"/>
      <c r="V242" s="59">
        <f t="shared" si="15"/>
        <v>0</v>
      </c>
      <c r="W242" s="60">
        <f t="shared" si="12"/>
        <v>0</v>
      </c>
      <c r="X242" s="60">
        <f t="shared" si="13"/>
        <v>0</v>
      </c>
      <c r="Y242" s="60">
        <f t="shared" si="14"/>
        <v>0</v>
      </c>
    </row>
    <row r="243" spans="1:25">
      <c r="A243" s="12">
        <v>239</v>
      </c>
      <c r="B243" s="16" t="s">
        <v>516</v>
      </c>
      <c r="C243" s="16">
        <v>1067884505</v>
      </c>
      <c r="D243" s="16">
        <v>3215857733</v>
      </c>
      <c r="E243" s="12" t="s">
        <v>517</v>
      </c>
      <c r="F243" s="12"/>
      <c r="G243" s="13">
        <v>800000</v>
      </c>
      <c r="H243" s="14"/>
      <c r="I243" s="15" t="s">
        <v>116</v>
      </c>
      <c r="J243" s="37">
        <v>0</v>
      </c>
      <c r="K243" s="37">
        <v>0</v>
      </c>
      <c r="L243" s="37">
        <v>0</v>
      </c>
      <c r="M243" s="37">
        <v>0</v>
      </c>
      <c r="N243" s="39">
        <v>0</v>
      </c>
      <c r="O243" s="37">
        <v>0</v>
      </c>
      <c r="P243" s="39">
        <v>0</v>
      </c>
      <c r="Q243" s="37">
        <v>0</v>
      </c>
      <c r="R243" s="37">
        <v>0</v>
      </c>
      <c r="S243" s="37"/>
      <c r="T243" s="37"/>
      <c r="U243" s="37"/>
      <c r="V243" s="59">
        <f t="shared" si="15"/>
        <v>0</v>
      </c>
      <c r="W243" s="60">
        <f t="shared" si="12"/>
        <v>0</v>
      </c>
      <c r="X243" s="60">
        <f t="shared" si="13"/>
        <v>0</v>
      </c>
      <c r="Y243" s="60">
        <f t="shared" si="14"/>
        <v>0</v>
      </c>
    </row>
    <row r="244" spans="1:25">
      <c r="A244" s="12">
        <v>240</v>
      </c>
      <c r="B244" s="16" t="s">
        <v>518</v>
      </c>
      <c r="C244" s="16">
        <v>30777006</v>
      </c>
      <c r="D244" s="16">
        <v>3186436044</v>
      </c>
      <c r="E244" s="12" t="s">
        <v>620</v>
      </c>
      <c r="F244" s="12"/>
      <c r="G244" s="13">
        <v>800000</v>
      </c>
      <c r="H244" s="14"/>
      <c r="I244" s="15" t="s">
        <v>116</v>
      </c>
      <c r="J244" s="37">
        <v>0</v>
      </c>
      <c r="K244" s="37">
        <v>0</v>
      </c>
      <c r="L244" s="37">
        <v>0</v>
      </c>
      <c r="M244" s="37">
        <v>0</v>
      </c>
      <c r="N244" s="39">
        <v>0</v>
      </c>
      <c r="O244" s="37">
        <v>0</v>
      </c>
      <c r="P244" s="39">
        <v>0</v>
      </c>
      <c r="Q244" s="37">
        <v>0</v>
      </c>
      <c r="R244" s="37">
        <v>0</v>
      </c>
      <c r="S244" s="37"/>
      <c r="T244" s="37"/>
      <c r="U244" s="37"/>
      <c r="V244" s="59">
        <f t="shared" si="15"/>
        <v>0</v>
      </c>
      <c r="W244" s="60">
        <f t="shared" si="12"/>
        <v>0</v>
      </c>
      <c r="X244" s="60">
        <f t="shared" si="13"/>
        <v>0</v>
      </c>
      <c r="Y244" s="60">
        <f t="shared" si="14"/>
        <v>0</v>
      </c>
    </row>
    <row r="245" spans="1:25">
      <c r="A245" s="12">
        <v>241</v>
      </c>
      <c r="B245" s="16" t="s">
        <v>519</v>
      </c>
      <c r="C245" s="16">
        <v>34962463</v>
      </c>
      <c r="D245" s="16">
        <v>3205294049</v>
      </c>
      <c r="E245" s="12" t="s">
        <v>620</v>
      </c>
      <c r="F245" s="12"/>
      <c r="G245" s="13">
        <v>800000</v>
      </c>
      <c r="H245" s="14"/>
      <c r="I245" s="15" t="s">
        <v>116</v>
      </c>
      <c r="J245" s="37">
        <v>0</v>
      </c>
      <c r="K245" s="37">
        <v>0</v>
      </c>
      <c r="L245" s="37">
        <v>0</v>
      </c>
      <c r="M245" s="37">
        <v>0</v>
      </c>
      <c r="N245" s="39">
        <v>0</v>
      </c>
      <c r="O245" s="37">
        <v>0</v>
      </c>
      <c r="P245" s="39">
        <v>0</v>
      </c>
      <c r="Q245" s="37">
        <v>0</v>
      </c>
      <c r="R245" s="37">
        <v>0</v>
      </c>
      <c r="S245" s="37"/>
      <c r="T245" s="37"/>
      <c r="U245" s="37"/>
      <c r="V245" s="59">
        <f t="shared" si="15"/>
        <v>0</v>
      </c>
      <c r="W245" s="60">
        <f t="shared" si="12"/>
        <v>0</v>
      </c>
      <c r="X245" s="60">
        <f t="shared" si="13"/>
        <v>0</v>
      </c>
      <c r="Y245" s="60">
        <f t="shared" si="14"/>
        <v>0</v>
      </c>
    </row>
    <row r="246" spans="1:25">
      <c r="A246" s="12">
        <v>242</v>
      </c>
      <c r="B246" s="16" t="s">
        <v>520</v>
      </c>
      <c r="C246" s="16">
        <v>1067922782</v>
      </c>
      <c r="D246" s="16">
        <v>3013999279</v>
      </c>
      <c r="E246" s="12" t="s">
        <v>517</v>
      </c>
      <c r="F246" s="12"/>
      <c r="G246" s="13">
        <v>800000</v>
      </c>
      <c r="H246" s="14"/>
      <c r="I246" s="15" t="s">
        <v>116</v>
      </c>
      <c r="J246" s="37">
        <v>0</v>
      </c>
      <c r="K246" s="37">
        <v>0</v>
      </c>
      <c r="L246" s="37">
        <v>0</v>
      </c>
      <c r="M246" s="37">
        <v>0</v>
      </c>
      <c r="N246" s="39">
        <v>0</v>
      </c>
      <c r="O246" s="37">
        <v>0</v>
      </c>
      <c r="P246" s="39">
        <v>0</v>
      </c>
      <c r="Q246" s="37">
        <v>0</v>
      </c>
      <c r="R246" s="37">
        <v>0</v>
      </c>
      <c r="S246" s="37"/>
      <c r="T246" s="37"/>
      <c r="U246" s="37"/>
      <c r="V246" s="59">
        <f t="shared" si="15"/>
        <v>0</v>
      </c>
      <c r="W246" s="60">
        <f t="shared" si="12"/>
        <v>0</v>
      </c>
      <c r="X246" s="60">
        <f t="shared" si="13"/>
        <v>0</v>
      </c>
      <c r="Y246" s="60">
        <f t="shared" si="14"/>
        <v>0</v>
      </c>
    </row>
    <row r="247" spans="1:25">
      <c r="A247" s="12">
        <v>243</v>
      </c>
      <c r="B247" s="16" t="s">
        <v>521</v>
      </c>
      <c r="C247" s="16">
        <v>1133795577</v>
      </c>
      <c r="D247" s="16">
        <v>3013994780</v>
      </c>
      <c r="E247" s="12" t="s">
        <v>517</v>
      </c>
      <c r="F247" s="12"/>
      <c r="G247" s="13">
        <v>800000</v>
      </c>
      <c r="H247" s="14"/>
      <c r="I247" s="15" t="s">
        <v>116</v>
      </c>
      <c r="J247" s="37">
        <v>0</v>
      </c>
      <c r="K247" s="37">
        <v>0</v>
      </c>
      <c r="L247" s="37">
        <v>0</v>
      </c>
      <c r="M247" s="37">
        <v>0</v>
      </c>
      <c r="N247" s="39">
        <v>0</v>
      </c>
      <c r="O247" s="37">
        <v>0</v>
      </c>
      <c r="P247" s="39">
        <v>0</v>
      </c>
      <c r="Q247" s="37">
        <v>0</v>
      </c>
      <c r="R247" s="37">
        <v>0</v>
      </c>
      <c r="S247" s="37"/>
      <c r="T247" s="37"/>
      <c r="U247" s="37"/>
      <c r="V247" s="59">
        <f t="shared" si="15"/>
        <v>0</v>
      </c>
      <c r="W247" s="60">
        <f t="shared" si="12"/>
        <v>0</v>
      </c>
      <c r="X247" s="60">
        <f t="shared" si="13"/>
        <v>0</v>
      </c>
      <c r="Y247" s="60">
        <f t="shared" si="14"/>
        <v>0</v>
      </c>
    </row>
    <row r="248" spans="1:25">
      <c r="A248" s="12">
        <v>244</v>
      </c>
      <c r="B248" s="16" t="s">
        <v>522</v>
      </c>
      <c r="C248" s="16">
        <v>78753440</v>
      </c>
      <c r="D248" s="16">
        <v>3217473284</v>
      </c>
      <c r="E248" s="12" t="s">
        <v>620</v>
      </c>
      <c r="F248" s="12"/>
      <c r="G248" s="13">
        <v>800000</v>
      </c>
      <c r="H248" s="14"/>
      <c r="I248" s="15" t="s">
        <v>116</v>
      </c>
      <c r="J248" s="37">
        <v>0</v>
      </c>
      <c r="K248" s="37">
        <v>0</v>
      </c>
      <c r="L248" s="37">
        <v>0</v>
      </c>
      <c r="M248" s="37">
        <v>0</v>
      </c>
      <c r="N248" s="39">
        <v>0</v>
      </c>
      <c r="O248" s="37">
        <v>0</v>
      </c>
      <c r="P248" s="39">
        <v>0</v>
      </c>
      <c r="Q248" s="37">
        <v>0</v>
      </c>
      <c r="R248" s="37">
        <v>0</v>
      </c>
      <c r="S248" s="37"/>
      <c r="T248" s="37"/>
      <c r="U248" s="37"/>
      <c r="V248" s="59">
        <f t="shared" si="15"/>
        <v>0</v>
      </c>
      <c r="W248" s="60">
        <f t="shared" si="12"/>
        <v>0</v>
      </c>
      <c r="X248" s="60">
        <f t="shared" si="13"/>
        <v>0</v>
      </c>
      <c r="Y248" s="60">
        <f t="shared" si="14"/>
        <v>0</v>
      </c>
    </row>
    <row r="249" spans="1:25">
      <c r="A249" s="12">
        <v>245</v>
      </c>
      <c r="B249" s="16" t="s">
        <v>523</v>
      </c>
      <c r="C249" s="16">
        <v>34979435</v>
      </c>
      <c r="D249" s="16">
        <v>3205025275</v>
      </c>
      <c r="E249" s="12" t="s">
        <v>620</v>
      </c>
      <c r="F249" s="12"/>
      <c r="G249" s="13">
        <v>800000</v>
      </c>
      <c r="H249" s="14"/>
      <c r="I249" s="15" t="s">
        <v>116</v>
      </c>
      <c r="J249" s="37">
        <v>0</v>
      </c>
      <c r="K249" s="37">
        <v>0</v>
      </c>
      <c r="L249" s="37">
        <v>0</v>
      </c>
      <c r="M249" s="37">
        <v>0</v>
      </c>
      <c r="N249" s="39">
        <v>0</v>
      </c>
      <c r="O249" s="37">
        <v>0</v>
      </c>
      <c r="P249" s="39">
        <v>0</v>
      </c>
      <c r="Q249" s="37">
        <v>0</v>
      </c>
      <c r="R249" s="37">
        <v>0</v>
      </c>
      <c r="S249" s="37"/>
      <c r="T249" s="37"/>
      <c r="U249" s="37"/>
      <c r="V249" s="59">
        <f t="shared" si="15"/>
        <v>0</v>
      </c>
      <c r="W249" s="60">
        <f t="shared" si="12"/>
        <v>0</v>
      </c>
      <c r="X249" s="60">
        <f t="shared" si="13"/>
        <v>0</v>
      </c>
      <c r="Y249" s="60">
        <f t="shared" si="14"/>
        <v>0</v>
      </c>
    </row>
    <row r="250" spans="1:25">
      <c r="A250" s="12">
        <v>246</v>
      </c>
      <c r="B250" s="16" t="s">
        <v>524</v>
      </c>
      <c r="C250" s="16">
        <v>78323723</v>
      </c>
      <c r="D250" s="16">
        <v>3136913916</v>
      </c>
      <c r="E250" s="12" t="s">
        <v>514</v>
      </c>
      <c r="F250" s="12"/>
      <c r="G250" s="13">
        <v>800000</v>
      </c>
      <c r="H250" s="14"/>
      <c r="I250" s="15" t="s">
        <v>116</v>
      </c>
      <c r="J250" s="37">
        <v>0</v>
      </c>
      <c r="K250" s="37">
        <v>0</v>
      </c>
      <c r="L250" s="37">
        <v>0</v>
      </c>
      <c r="M250" s="37">
        <v>0</v>
      </c>
      <c r="N250" s="39">
        <v>0</v>
      </c>
      <c r="O250" s="37">
        <v>0</v>
      </c>
      <c r="P250" s="39">
        <v>0</v>
      </c>
      <c r="Q250" s="37">
        <v>0</v>
      </c>
      <c r="R250" s="37">
        <v>0</v>
      </c>
      <c r="S250" s="37"/>
      <c r="T250" s="37"/>
      <c r="U250" s="37"/>
      <c r="V250" s="59">
        <f t="shared" si="15"/>
        <v>0</v>
      </c>
      <c r="W250" s="60">
        <f t="shared" si="12"/>
        <v>0</v>
      </c>
      <c r="X250" s="60">
        <f t="shared" si="13"/>
        <v>0</v>
      </c>
      <c r="Y250" s="60">
        <f t="shared" si="14"/>
        <v>0</v>
      </c>
    </row>
    <row r="251" spans="1:25">
      <c r="A251" s="12">
        <v>247</v>
      </c>
      <c r="B251" s="16" t="s">
        <v>525</v>
      </c>
      <c r="C251" s="16">
        <v>1003404028</v>
      </c>
      <c r="D251" s="16">
        <v>3205172305</v>
      </c>
      <c r="E251" s="12" t="s">
        <v>620</v>
      </c>
      <c r="F251" s="12"/>
      <c r="G251" s="13">
        <v>800000</v>
      </c>
      <c r="H251" s="14"/>
      <c r="I251" s="15" t="s">
        <v>116</v>
      </c>
      <c r="J251" s="37">
        <v>0</v>
      </c>
      <c r="K251" s="37">
        <v>0</v>
      </c>
      <c r="L251" s="37">
        <v>0</v>
      </c>
      <c r="M251" s="37">
        <v>0</v>
      </c>
      <c r="N251" s="39">
        <v>0</v>
      </c>
      <c r="O251" s="37">
        <v>0</v>
      </c>
      <c r="P251" s="39">
        <v>0</v>
      </c>
      <c r="Q251" s="37">
        <v>0</v>
      </c>
      <c r="R251" s="37">
        <v>0</v>
      </c>
      <c r="S251" s="37"/>
      <c r="T251" s="37"/>
      <c r="U251" s="37"/>
      <c r="V251" s="59">
        <f t="shared" si="15"/>
        <v>0</v>
      </c>
      <c r="W251" s="60">
        <f t="shared" si="12"/>
        <v>0</v>
      </c>
      <c r="X251" s="60">
        <f t="shared" si="13"/>
        <v>0</v>
      </c>
      <c r="Y251" s="60">
        <f t="shared" si="14"/>
        <v>0</v>
      </c>
    </row>
    <row r="252" spans="1:25">
      <c r="A252" s="12">
        <v>248</v>
      </c>
      <c r="B252" s="16" t="s">
        <v>526</v>
      </c>
      <c r="C252" s="16">
        <v>30843113</v>
      </c>
      <c r="D252" s="16">
        <v>3135249664</v>
      </c>
      <c r="E252" s="12" t="s">
        <v>512</v>
      </c>
      <c r="F252" s="12"/>
      <c r="G252" s="13">
        <v>800000</v>
      </c>
      <c r="H252" s="14"/>
      <c r="I252" s="15" t="s">
        <v>116</v>
      </c>
      <c r="J252" s="37">
        <v>0</v>
      </c>
      <c r="K252" s="37">
        <v>0</v>
      </c>
      <c r="L252" s="37">
        <v>0</v>
      </c>
      <c r="M252" s="37">
        <v>0</v>
      </c>
      <c r="N252" s="39">
        <v>0</v>
      </c>
      <c r="O252" s="37">
        <v>0</v>
      </c>
      <c r="P252" s="39">
        <v>0</v>
      </c>
      <c r="Q252" s="37">
        <v>0</v>
      </c>
      <c r="R252" s="37">
        <v>0</v>
      </c>
      <c r="S252" s="37"/>
      <c r="T252" s="37"/>
      <c r="U252" s="37"/>
      <c r="V252" s="59">
        <f t="shared" si="15"/>
        <v>0</v>
      </c>
      <c r="W252" s="60">
        <f t="shared" si="12"/>
        <v>0</v>
      </c>
      <c r="X252" s="60">
        <f t="shared" si="13"/>
        <v>0</v>
      </c>
      <c r="Y252" s="60">
        <f t="shared" si="14"/>
        <v>0</v>
      </c>
    </row>
    <row r="253" spans="1:25">
      <c r="A253" s="12">
        <v>249</v>
      </c>
      <c r="B253" s="16" t="s">
        <v>527</v>
      </c>
      <c r="C253" s="16">
        <v>15647945</v>
      </c>
      <c r="D253" s="16">
        <v>3105193541</v>
      </c>
      <c r="E253" s="12" t="s">
        <v>512</v>
      </c>
      <c r="F253" s="12"/>
      <c r="G253" s="13">
        <v>800000</v>
      </c>
      <c r="H253" s="14"/>
      <c r="I253" s="15" t="s">
        <v>116</v>
      </c>
      <c r="J253" s="37">
        <v>0</v>
      </c>
      <c r="K253" s="37">
        <v>0</v>
      </c>
      <c r="L253" s="37">
        <v>0</v>
      </c>
      <c r="M253" s="37">
        <v>0</v>
      </c>
      <c r="N253" s="39">
        <v>0</v>
      </c>
      <c r="O253" s="37">
        <v>0</v>
      </c>
      <c r="P253" s="39">
        <v>0</v>
      </c>
      <c r="Q253" s="37">
        <v>0</v>
      </c>
      <c r="R253" s="37">
        <v>0</v>
      </c>
      <c r="S253" s="37"/>
      <c r="T253" s="37"/>
      <c r="U253" s="37"/>
      <c r="V253" s="59">
        <f t="shared" si="15"/>
        <v>0</v>
      </c>
      <c r="W253" s="60">
        <f t="shared" si="12"/>
        <v>0</v>
      </c>
      <c r="X253" s="60">
        <f t="shared" si="13"/>
        <v>0</v>
      </c>
      <c r="Y253" s="60">
        <f t="shared" si="14"/>
        <v>0</v>
      </c>
    </row>
    <row r="254" spans="1:25">
      <c r="A254" s="12">
        <v>250</v>
      </c>
      <c r="B254" s="16" t="s">
        <v>530</v>
      </c>
      <c r="C254" s="16">
        <v>1088296001</v>
      </c>
      <c r="D254" s="16"/>
      <c r="E254" s="12" t="s">
        <v>455</v>
      </c>
      <c r="F254" s="12"/>
      <c r="G254" s="13">
        <v>200000</v>
      </c>
      <c r="H254" s="14"/>
      <c r="I254" s="15" t="s">
        <v>116</v>
      </c>
      <c r="J254" s="37">
        <v>0</v>
      </c>
      <c r="K254" s="37">
        <v>0</v>
      </c>
      <c r="L254" s="37">
        <v>400000</v>
      </c>
      <c r="M254" s="37">
        <v>400000</v>
      </c>
      <c r="N254" s="39">
        <v>0</v>
      </c>
      <c r="O254" s="37">
        <v>0</v>
      </c>
      <c r="P254" s="39">
        <v>400000</v>
      </c>
      <c r="Q254" s="37">
        <v>400000</v>
      </c>
      <c r="R254" s="37">
        <v>0</v>
      </c>
      <c r="S254" s="37"/>
      <c r="T254" s="37"/>
      <c r="U254" s="37"/>
      <c r="V254" s="59">
        <f t="shared" si="15"/>
        <v>1600000</v>
      </c>
      <c r="W254" s="60">
        <f t="shared" si="12"/>
        <v>4</v>
      </c>
      <c r="X254" s="60">
        <f t="shared" si="13"/>
        <v>4</v>
      </c>
      <c r="Y254" s="60">
        <f t="shared" si="14"/>
        <v>4</v>
      </c>
    </row>
    <row r="255" spans="1:25">
      <c r="A255" s="12">
        <v>251</v>
      </c>
      <c r="B255" s="16" t="s">
        <v>531</v>
      </c>
      <c r="C255" s="16">
        <v>60319496</v>
      </c>
      <c r="D255" s="16">
        <v>3114112215</v>
      </c>
      <c r="E255" s="12" t="s">
        <v>239</v>
      </c>
      <c r="F255" s="12"/>
      <c r="G255" s="13">
        <v>400000</v>
      </c>
      <c r="H255" s="14"/>
      <c r="I255" s="15" t="s">
        <v>116</v>
      </c>
      <c r="J255" s="37">
        <v>0</v>
      </c>
      <c r="K255" s="37">
        <v>200000</v>
      </c>
      <c r="L255" s="37">
        <v>0</v>
      </c>
      <c r="M255" s="37">
        <v>400000</v>
      </c>
      <c r="N255" s="39">
        <v>0</v>
      </c>
      <c r="O255" s="37">
        <v>0</v>
      </c>
      <c r="P255" s="39">
        <v>0</v>
      </c>
      <c r="Q255" s="37">
        <v>0</v>
      </c>
      <c r="R255" s="37">
        <v>0</v>
      </c>
      <c r="S255" s="37"/>
      <c r="T255" s="37"/>
      <c r="U255" s="37"/>
      <c r="V255" s="59">
        <f t="shared" si="15"/>
        <v>600000</v>
      </c>
      <c r="W255" s="60">
        <f t="shared" si="12"/>
        <v>1.5</v>
      </c>
      <c r="X255" s="60">
        <f t="shared" si="13"/>
        <v>2</v>
      </c>
      <c r="Y255" s="60">
        <f t="shared" si="14"/>
        <v>2</v>
      </c>
    </row>
    <row r="256" spans="1:25">
      <c r="A256" s="12">
        <v>252</v>
      </c>
      <c r="B256" s="16" t="s">
        <v>532</v>
      </c>
      <c r="C256" s="16">
        <v>1121969843</v>
      </c>
      <c r="D256" s="16">
        <v>3026352060</v>
      </c>
      <c r="E256" s="12" t="s">
        <v>533</v>
      </c>
      <c r="F256" s="12"/>
      <c r="G256" s="13">
        <v>850000</v>
      </c>
      <c r="H256" s="14"/>
      <c r="I256" s="15" t="s">
        <v>116</v>
      </c>
      <c r="J256" s="37">
        <v>0</v>
      </c>
      <c r="K256" s="37">
        <v>0</v>
      </c>
      <c r="L256" s="37">
        <v>0</v>
      </c>
      <c r="M256" s="37">
        <v>0</v>
      </c>
      <c r="N256" s="39">
        <v>540000</v>
      </c>
      <c r="O256" s="37">
        <v>450000</v>
      </c>
      <c r="P256" s="39">
        <v>0</v>
      </c>
      <c r="Q256" s="37">
        <v>0</v>
      </c>
      <c r="R256" s="37">
        <v>700000</v>
      </c>
      <c r="S256" s="37"/>
      <c r="T256" s="37"/>
      <c r="U256" s="37"/>
      <c r="V256" s="59">
        <f t="shared" si="15"/>
        <v>1690000</v>
      </c>
      <c r="W256" s="60">
        <f t="shared" si="12"/>
        <v>4.2249999999999996</v>
      </c>
      <c r="X256" s="60">
        <f t="shared" si="13"/>
        <v>3</v>
      </c>
      <c r="Y256" s="60">
        <f t="shared" si="14"/>
        <v>5</v>
      </c>
    </row>
    <row r="257" spans="1:25">
      <c r="A257" s="12">
        <v>253</v>
      </c>
      <c r="B257" s="16" t="s">
        <v>535</v>
      </c>
      <c r="C257" s="16">
        <v>70322335</v>
      </c>
      <c r="D257" s="16">
        <v>3106907142</v>
      </c>
      <c r="E257" s="12" t="s">
        <v>356</v>
      </c>
      <c r="F257" s="12"/>
      <c r="G257" s="13">
        <v>800000</v>
      </c>
      <c r="H257" s="14" t="s">
        <v>4</v>
      </c>
      <c r="I257" s="15" t="s">
        <v>116</v>
      </c>
      <c r="J257" s="37">
        <v>400000</v>
      </c>
      <c r="K257" s="37">
        <v>400000</v>
      </c>
      <c r="L257" s="37">
        <v>400000</v>
      </c>
      <c r="M257" s="37">
        <v>400000</v>
      </c>
      <c r="N257" s="39">
        <v>0</v>
      </c>
      <c r="O257" s="37">
        <v>400000</v>
      </c>
      <c r="P257" s="39">
        <v>0</v>
      </c>
      <c r="Q257" s="37">
        <v>400000</v>
      </c>
      <c r="R257" s="37">
        <v>0</v>
      </c>
      <c r="S257" s="37"/>
      <c r="T257" s="37"/>
      <c r="U257" s="37"/>
      <c r="V257" s="59">
        <f t="shared" si="15"/>
        <v>2400000</v>
      </c>
      <c r="W257" s="60">
        <f t="shared" si="12"/>
        <v>6</v>
      </c>
      <c r="X257" s="60">
        <f t="shared" si="13"/>
        <v>6</v>
      </c>
      <c r="Y257" s="60">
        <f t="shared" si="14"/>
        <v>6</v>
      </c>
    </row>
    <row r="258" spans="1:25">
      <c r="A258" s="12">
        <v>254</v>
      </c>
      <c r="B258" s="16" t="s">
        <v>536</v>
      </c>
      <c r="C258" s="16">
        <v>72049339</v>
      </c>
      <c r="D258" s="16">
        <v>3148093554</v>
      </c>
      <c r="E258" s="12" t="s">
        <v>356</v>
      </c>
      <c r="F258" s="12"/>
      <c r="G258" s="13">
        <v>400000</v>
      </c>
      <c r="H258" s="14" t="s">
        <v>4</v>
      </c>
      <c r="I258" s="15" t="s">
        <v>116</v>
      </c>
      <c r="J258" s="37">
        <v>0</v>
      </c>
      <c r="K258" s="37">
        <v>0</v>
      </c>
      <c r="L258" s="37">
        <v>0</v>
      </c>
      <c r="M258" s="37">
        <v>0</v>
      </c>
      <c r="N258" s="39">
        <v>0</v>
      </c>
      <c r="O258" s="37">
        <v>0</v>
      </c>
      <c r="P258" s="39">
        <v>0</v>
      </c>
      <c r="Q258" s="37">
        <v>0</v>
      </c>
      <c r="R258" s="37">
        <v>0</v>
      </c>
      <c r="S258" s="37"/>
      <c r="T258" s="37"/>
      <c r="U258" s="37"/>
      <c r="V258" s="59">
        <f t="shared" si="15"/>
        <v>0</v>
      </c>
      <c r="W258" s="60">
        <f t="shared" si="12"/>
        <v>0</v>
      </c>
      <c r="X258" s="60">
        <f t="shared" si="13"/>
        <v>0</v>
      </c>
      <c r="Y258" s="60">
        <f t="shared" si="14"/>
        <v>0</v>
      </c>
    </row>
    <row r="259" spans="1:25">
      <c r="A259" s="12">
        <v>255</v>
      </c>
      <c r="B259" s="16" t="s">
        <v>537</v>
      </c>
      <c r="C259" s="16">
        <v>71273662</v>
      </c>
      <c r="D259" s="16">
        <v>3103476233</v>
      </c>
      <c r="E259" s="12" t="s">
        <v>352</v>
      </c>
      <c r="F259" s="12"/>
      <c r="G259" s="13">
        <v>800000</v>
      </c>
      <c r="H259" s="14"/>
      <c r="I259" s="15" t="s">
        <v>116</v>
      </c>
      <c r="J259" s="37">
        <v>400000</v>
      </c>
      <c r="K259" s="37">
        <v>400000</v>
      </c>
      <c r="L259" s="37">
        <v>400000</v>
      </c>
      <c r="M259" s="37">
        <v>0</v>
      </c>
      <c r="N259" s="39">
        <v>400000</v>
      </c>
      <c r="O259" s="37">
        <v>400000</v>
      </c>
      <c r="P259" s="39">
        <v>400000</v>
      </c>
      <c r="Q259" s="37">
        <v>0</v>
      </c>
      <c r="R259" s="37">
        <v>400000</v>
      </c>
      <c r="S259" s="37"/>
      <c r="T259" s="37"/>
      <c r="U259" s="37"/>
      <c r="V259" s="59">
        <f t="shared" si="15"/>
        <v>2800000</v>
      </c>
      <c r="W259" s="60">
        <f t="shared" si="12"/>
        <v>7</v>
      </c>
      <c r="X259" s="60">
        <f t="shared" si="13"/>
        <v>7</v>
      </c>
      <c r="Y259" s="60">
        <f t="shared" si="14"/>
        <v>7</v>
      </c>
    </row>
    <row r="260" spans="1:25">
      <c r="A260" s="12">
        <v>256</v>
      </c>
      <c r="B260" s="16" t="s">
        <v>538</v>
      </c>
      <c r="C260" s="16">
        <v>64556783</v>
      </c>
      <c r="D260" s="16">
        <v>3017981102</v>
      </c>
      <c r="E260" s="12" t="s">
        <v>539</v>
      </c>
      <c r="F260" s="12"/>
      <c r="G260" s="13">
        <v>800000</v>
      </c>
      <c r="H260" s="14"/>
      <c r="I260" s="15" t="s">
        <v>116</v>
      </c>
      <c r="J260" s="37">
        <v>0</v>
      </c>
      <c r="K260" s="37">
        <v>0</v>
      </c>
      <c r="L260" s="37">
        <v>0</v>
      </c>
      <c r="M260" s="37">
        <v>0</v>
      </c>
      <c r="N260" s="39">
        <v>0</v>
      </c>
      <c r="O260" s="37">
        <v>0</v>
      </c>
      <c r="P260" s="39">
        <v>0</v>
      </c>
      <c r="Q260" s="37">
        <v>0</v>
      </c>
      <c r="R260" s="37">
        <v>0</v>
      </c>
      <c r="S260" s="37"/>
      <c r="T260" s="37"/>
      <c r="U260" s="37"/>
      <c r="V260" s="59">
        <f t="shared" si="15"/>
        <v>0</v>
      </c>
      <c r="W260" s="60">
        <f t="shared" si="12"/>
        <v>0</v>
      </c>
      <c r="X260" s="60">
        <f t="shared" si="13"/>
        <v>0</v>
      </c>
      <c r="Y260" s="60">
        <f t="shared" si="14"/>
        <v>0</v>
      </c>
    </row>
    <row r="261" spans="1:25">
      <c r="A261" s="12">
        <v>257</v>
      </c>
      <c r="B261" s="16" t="s">
        <v>540</v>
      </c>
      <c r="C261" s="16">
        <v>30771251</v>
      </c>
      <c r="D261" s="16" t="s">
        <v>541</v>
      </c>
      <c r="E261" s="12" t="s">
        <v>539</v>
      </c>
      <c r="F261" s="12"/>
      <c r="G261" s="13">
        <v>800000</v>
      </c>
      <c r="H261" s="14"/>
      <c r="I261" s="15" t="s">
        <v>116</v>
      </c>
      <c r="J261" s="37">
        <v>0</v>
      </c>
      <c r="K261" s="37">
        <v>0</v>
      </c>
      <c r="L261" s="37">
        <v>0</v>
      </c>
      <c r="M261" s="37">
        <v>0</v>
      </c>
      <c r="N261" s="39">
        <v>0</v>
      </c>
      <c r="O261" s="37">
        <v>0</v>
      </c>
      <c r="P261" s="39">
        <v>0</v>
      </c>
      <c r="Q261" s="37">
        <v>0</v>
      </c>
      <c r="R261" s="37">
        <v>0</v>
      </c>
      <c r="S261" s="37"/>
      <c r="T261" s="37"/>
      <c r="U261" s="37"/>
      <c r="V261" s="59">
        <f t="shared" si="15"/>
        <v>0</v>
      </c>
      <c r="W261" s="60">
        <f t="shared" ref="W261:W305" si="16">V261/400000</f>
        <v>0</v>
      </c>
      <c r="X261" s="60">
        <f t="shared" ref="X261:X286" si="17">COUNTIF(J261:U261,"&gt;0")</f>
        <v>0</v>
      </c>
      <c r="Y261" s="60">
        <f t="shared" ref="Y261:Y305" si="18">ROUNDUP(W261,0)</f>
        <v>0</v>
      </c>
    </row>
    <row r="262" spans="1:25">
      <c r="A262" s="12">
        <v>258</v>
      </c>
      <c r="B262" s="16" t="s">
        <v>542</v>
      </c>
      <c r="C262" s="16">
        <v>45758051</v>
      </c>
      <c r="D262" s="16" t="s">
        <v>543</v>
      </c>
      <c r="E262" s="12" t="s">
        <v>539</v>
      </c>
      <c r="F262" s="12"/>
      <c r="G262" s="13">
        <v>400000</v>
      </c>
      <c r="H262" s="14"/>
      <c r="I262" s="15" t="s">
        <v>116</v>
      </c>
      <c r="J262" s="37">
        <v>0</v>
      </c>
      <c r="K262" s="37">
        <v>0</v>
      </c>
      <c r="L262" s="37">
        <v>0</v>
      </c>
      <c r="M262" s="37">
        <v>0</v>
      </c>
      <c r="N262" s="39">
        <v>0</v>
      </c>
      <c r="O262" s="37">
        <v>0</v>
      </c>
      <c r="P262" s="39">
        <v>0</v>
      </c>
      <c r="Q262" s="37">
        <v>0</v>
      </c>
      <c r="R262" s="37">
        <v>0</v>
      </c>
      <c r="S262" s="37"/>
      <c r="T262" s="37"/>
      <c r="U262" s="37"/>
      <c r="V262" s="59">
        <f t="shared" ref="V262:V324" si="19">SUM(J262:U262)</f>
        <v>0</v>
      </c>
      <c r="W262" s="60">
        <f t="shared" si="16"/>
        <v>0</v>
      </c>
      <c r="X262" s="60">
        <f t="shared" si="17"/>
        <v>0</v>
      </c>
      <c r="Y262" s="60">
        <f t="shared" si="18"/>
        <v>0</v>
      </c>
    </row>
    <row r="263" spans="1:25">
      <c r="A263" s="12">
        <v>259</v>
      </c>
      <c r="B263" s="16" t="s">
        <v>544</v>
      </c>
      <c r="C263" s="16">
        <v>88137146</v>
      </c>
      <c r="D263" s="16">
        <v>3157943643</v>
      </c>
      <c r="E263" s="12" t="s">
        <v>344</v>
      </c>
      <c r="F263" s="12"/>
      <c r="G263" s="13">
        <v>800000</v>
      </c>
      <c r="H263" s="14"/>
      <c r="I263" s="15" t="s">
        <v>116</v>
      </c>
      <c r="J263" s="37">
        <v>0</v>
      </c>
      <c r="K263" s="37">
        <v>400000</v>
      </c>
      <c r="L263" s="37">
        <v>400000</v>
      </c>
      <c r="M263" s="37">
        <v>400000</v>
      </c>
      <c r="N263" s="39">
        <v>0</v>
      </c>
      <c r="O263" s="37">
        <v>0</v>
      </c>
      <c r="P263" s="39">
        <v>400000</v>
      </c>
      <c r="Q263" s="37">
        <v>400000</v>
      </c>
      <c r="R263" s="37">
        <v>400000</v>
      </c>
      <c r="S263" s="37"/>
      <c r="T263" s="37"/>
      <c r="U263" s="37"/>
      <c r="V263" s="59">
        <f t="shared" si="19"/>
        <v>2400000</v>
      </c>
      <c r="W263" s="60">
        <f t="shared" si="16"/>
        <v>6</v>
      </c>
      <c r="X263" s="60">
        <f t="shared" si="17"/>
        <v>6</v>
      </c>
      <c r="Y263" s="60">
        <f t="shared" si="18"/>
        <v>6</v>
      </c>
    </row>
    <row r="264" spans="1:25">
      <c r="A264" s="12">
        <v>260</v>
      </c>
      <c r="B264" s="16" t="s">
        <v>545</v>
      </c>
      <c r="C264" s="16">
        <v>88284263</v>
      </c>
      <c r="D264" s="16">
        <v>88284263</v>
      </c>
      <c r="E264" s="12" t="s">
        <v>344</v>
      </c>
      <c r="F264" s="12"/>
      <c r="G264" s="13">
        <v>800000</v>
      </c>
      <c r="H264" s="14"/>
      <c r="I264" s="15" t="s">
        <v>116</v>
      </c>
      <c r="J264" s="37">
        <v>400000</v>
      </c>
      <c r="K264" s="37">
        <v>0</v>
      </c>
      <c r="L264" s="37">
        <v>400000</v>
      </c>
      <c r="M264" s="37">
        <v>400000</v>
      </c>
      <c r="N264" s="39">
        <v>400000</v>
      </c>
      <c r="O264" s="37">
        <v>0</v>
      </c>
      <c r="P264" s="39">
        <v>400000</v>
      </c>
      <c r="Q264" s="37">
        <v>400000</v>
      </c>
      <c r="R264" s="37">
        <v>0</v>
      </c>
      <c r="S264" s="37"/>
      <c r="T264" s="37"/>
      <c r="U264" s="37"/>
      <c r="V264" s="59">
        <f t="shared" si="19"/>
        <v>2400000</v>
      </c>
      <c r="W264" s="60">
        <f t="shared" si="16"/>
        <v>6</v>
      </c>
      <c r="X264" s="60">
        <f t="shared" si="17"/>
        <v>6</v>
      </c>
      <c r="Y264" s="60">
        <f t="shared" si="18"/>
        <v>6</v>
      </c>
    </row>
    <row r="265" spans="1:25">
      <c r="A265" s="12">
        <v>261</v>
      </c>
      <c r="B265" s="16" t="s">
        <v>675</v>
      </c>
      <c r="C265" s="16">
        <v>77179718</v>
      </c>
      <c r="D265" s="16">
        <v>3214184733</v>
      </c>
      <c r="E265" s="12" t="s">
        <v>344</v>
      </c>
      <c r="F265" s="12"/>
      <c r="G265" s="13">
        <v>800000</v>
      </c>
      <c r="H265" s="14"/>
      <c r="I265" s="15" t="s">
        <v>116</v>
      </c>
      <c r="J265" s="37">
        <v>0</v>
      </c>
      <c r="K265" s="37">
        <v>400000</v>
      </c>
      <c r="L265" s="37">
        <v>400000</v>
      </c>
      <c r="M265" s="37">
        <v>400000</v>
      </c>
      <c r="N265" s="39">
        <v>400000</v>
      </c>
      <c r="O265" s="37">
        <v>400000</v>
      </c>
      <c r="P265" s="39">
        <v>400000</v>
      </c>
      <c r="Q265" s="37">
        <v>400000</v>
      </c>
      <c r="R265" s="37">
        <v>1800000</v>
      </c>
      <c r="S265" s="37"/>
      <c r="T265" s="37"/>
      <c r="U265" s="37"/>
      <c r="V265" s="59">
        <f t="shared" si="19"/>
        <v>4600000</v>
      </c>
      <c r="W265" s="60">
        <f t="shared" si="16"/>
        <v>11.5</v>
      </c>
      <c r="X265" s="60">
        <f t="shared" si="17"/>
        <v>8</v>
      </c>
      <c r="Y265" s="60">
        <f t="shared" si="18"/>
        <v>12</v>
      </c>
    </row>
    <row r="266" spans="1:25">
      <c r="A266" s="12">
        <v>262</v>
      </c>
      <c r="B266" s="16" t="s">
        <v>555</v>
      </c>
      <c r="C266" s="16">
        <v>16354014</v>
      </c>
      <c r="D266" s="16"/>
      <c r="E266" s="12" t="s">
        <v>346</v>
      </c>
      <c r="F266" s="12"/>
      <c r="G266" s="13">
        <v>800000</v>
      </c>
      <c r="H266" s="14"/>
      <c r="I266" s="15" t="s">
        <v>116</v>
      </c>
      <c r="J266" s="37">
        <v>0</v>
      </c>
      <c r="K266" s="37">
        <v>400000</v>
      </c>
      <c r="L266" s="37">
        <v>400000</v>
      </c>
      <c r="M266" s="37">
        <v>800000</v>
      </c>
      <c r="N266" s="39">
        <v>800000</v>
      </c>
      <c r="O266" s="37">
        <v>0</v>
      </c>
      <c r="P266" s="39">
        <v>800000</v>
      </c>
      <c r="Q266" s="37">
        <v>0</v>
      </c>
      <c r="R266" s="37">
        <v>0</v>
      </c>
      <c r="S266" s="37"/>
      <c r="T266" s="37"/>
      <c r="U266" s="37"/>
      <c r="V266" s="59">
        <f t="shared" si="19"/>
        <v>3200000</v>
      </c>
      <c r="W266" s="60">
        <f t="shared" si="16"/>
        <v>8</v>
      </c>
      <c r="X266" s="60">
        <f t="shared" si="17"/>
        <v>5</v>
      </c>
      <c r="Y266" s="60">
        <f t="shared" si="18"/>
        <v>8</v>
      </c>
    </row>
    <row r="267" spans="1:25">
      <c r="A267" s="12">
        <v>263</v>
      </c>
      <c r="B267" s="16" t="s">
        <v>556</v>
      </c>
      <c r="C267" s="16">
        <v>26257532</v>
      </c>
      <c r="D267" s="16" t="s">
        <v>557</v>
      </c>
      <c r="E267" s="12" t="s">
        <v>347</v>
      </c>
      <c r="F267" s="12"/>
      <c r="G267" s="13">
        <v>400000</v>
      </c>
      <c r="H267" s="14"/>
      <c r="I267" s="15" t="s">
        <v>116</v>
      </c>
      <c r="J267" s="37">
        <v>400000</v>
      </c>
      <c r="K267" s="37">
        <v>400000</v>
      </c>
      <c r="L267" s="37">
        <v>400000</v>
      </c>
      <c r="M267" s="37">
        <v>800000</v>
      </c>
      <c r="N267" s="39">
        <v>0</v>
      </c>
      <c r="O267" s="37">
        <v>800000</v>
      </c>
      <c r="P267" s="39">
        <v>800000</v>
      </c>
      <c r="Q267" s="37">
        <v>800000</v>
      </c>
      <c r="R267" s="37">
        <v>0</v>
      </c>
      <c r="S267" s="37"/>
      <c r="T267" s="37"/>
      <c r="U267" s="37"/>
      <c r="V267" s="59">
        <f t="shared" si="19"/>
        <v>4400000</v>
      </c>
      <c r="W267" s="60">
        <f t="shared" si="16"/>
        <v>11</v>
      </c>
      <c r="X267" s="60">
        <f t="shared" si="17"/>
        <v>7</v>
      </c>
      <c r="Y267" s="60">
        <f t="shared" si="18"/>
        <v>11</v>
      </c>
    </row>
    <row r="268" spans="1:25">
      <c r="A268" s="12">
        <v>264</v>
      </c>
      <c r="B268" s="16" t="s">
        <v>558</v>
      </c>
      <c r="C268" s="16"/>
      <c r="D268" s="16"/>
      <c r="E268" s="12" t="s">
        <v>559</v>
      </c>
      <c r="F268" s="12"/>
      <c r="G268" s="13">
        <v>200000</v>
      </c>
      <c r="H268" s="14"/>
      <c r="I268" s="15" t="s">
        <v>116</v>
      </c>
      <c r="J268" s="37">
        <v>0</v>
      </c>
      <c r="K268" s="37">
        <v>200000</v>
      </c>
      <c r="L268" s="37">
        <v>200000</v>
      </c>
      <c r="M268" s="37">
        <v>200000</v>
      </c>
      <c r="N268" s="39">
        <v>0</v>
      </c>
      <c r="O268" s="37">
        <v>0</v>
      </c>
      <c r="P268" s="39">
        <v>0</v>
      </c>
      <c r="Q268" s="37">
        <v>0</v>
      </c>
      <c r="R268" s="37">
        <v>230000</v>
      </c>
      <c r="S268" s="37"/>
      <c r="T268" s="37"/>
      <c r="U268" s="37"/>
      <c r="V268" s="59">
        <f t="shared" si="19"/>
        <v>830000</v>
      </c>
      <c r="W268" s="60">
        <f t="shared" si="16"/>
        <v>2.0750000000000002</v>
      </c>
      <c r="X268" s="60">
        <f t="shared" si="17"/>
        <v>4</v>
      </c>
      <c r="Y268" s="60">
        <f t="shared" si="18"/>
        <v>3</v>
      </c>
    </row>
    <row r="269" spans="1:25">
      <c r="A269" s="12">
        <v>265</v>
      </c>
      <c r="B269" s="16" t="s">
        <v>573</v>
      </c>
      <c r="C269" s="16">
        <v>72295408</v>
      </c>
      <c r="D269" s="16"/>
      <c r="E269" s="12" t="s">
        <v>574</v>
      </c>
      <c r="F269" s="12"/>
      <c r="G269" s="13">
        <v>50000</v>
      </c>
      <c r="H269" s="14"/>
      <c r="I269" s="15" t="s">
        <v>116</v>
      </c>
      <c r="J269" s="37">
        <v>0</v>
      </c>
      <c r="K269" s="37">
        <v>0</v>
      </c>
      <c r="L269" s="37">
        <v>0</v>
      </c>
      <c r="M269" s="37">
        <v>0</v>
      </c>
      <c r="N269" s="39">
        <v>0</v>
      </c>
      <c r="O269" s="37">
        <v>0</v>
      </c>
      <c r="P269" s="39">
        <v>0</v>
      </c>
      <c r="Q269" s="37">
        <v>0</v>
      </c>
      <c r="R269" s="37">
        <v>0</v>
      </c>
      <c r="S269" s="37"/>
      <c r="T269" s="37"/>
      <c r="U269" s="37"/>
      <c r="V269" s="59">
        <f t="shared" si="19"/>
        <v>0</v>
      </c>
      <c r="W269" s="60">
        <f t="shared" si="16"/>
        <v>0</v>
      </c>
      <c r="X269" s="60">
        <f t="shared" si="17"/>
        <v>0</v>
      </c>
      <c r="Y269" s="60">
        <f t="shared" si="18"/>
        <v>0</v>
      </c>
    </row>
    <row r="270" spans="1:25">
      <c r="A270" s="12">
        <v>266</v>
      </c>
      <c r="B270" s="16" t="s">
        <v>575</v>
      </c>
      <c r="C270" s="16">
        <v>3770607</v>
      </c>
      <c r="D270" s="16">
        <v>3126624361</v>
      </c>
      <c r="E270" s="12" t="s">
        <v>574</v>
      </c>
      <c r="F270" s="12"/>
      <c r="G270" s="13">
        <v>400000</v>
      </c>
      <c r="H270" s="14"/>
      <c r="I270" s="15" t="s">
        <v>116</v>
      </c>
      <c r="J270" s="37">
        <v>0</v>
      </c>
      <c r="K270" s="37">
        <v>0</v>
      </c>
      <c r="L270" s="37">
        <v>400000</v>
      </c>
      <c r="M270" s="37">
        <v>400000</v>
      </c>
      <c r="N270" s="39">
        <v>400000</v>
      </c>
      <c r="O270" s="37">
        <v>400000</v>
      </c>
      <c r="P270" s="39">
        <v>0</v>
      </c>
      <c r="Q270" s="37">
        <v>0</v>
      </c>
      <c r="R270" s="37">
        <v>0</v>
      </c>
      <c r="S270" s="37"/>
      <c r="T270" s="37"/>
      <c r="U270" s="37"/>
      <c r="V270" s="59">
        <f t="shared" si="19"/>
        <v>1600000</v>
      </c>
      <c r="W270" s="60">
        <f t="shared" si="16"/>
        <v>4</v>
      </c>
      <c r="X270" s="60">
        <f t="shared" si="17"/>
        <v>4</v>
      </c>
      <c r="Y270" s="60">
        <f t="shared" si="18"/>
        <v>4</v>
      </c>
    </row>
    <row r="271" spans="1:25">
      <c r="A271" s="12">
        <v>267</v>
      </c>
      <c r="B271" s="16" t="s">
        <v>576</v>
      </c>
      <c r="C271" s="16">
        <v>1075271930</v>
      </c>
      <c r="D271" s="16" t="s">
        <v>577</v>
      </c>
      <c r="E271" s="12" t="s">
        <v>578</v>
      </c>
      <c r="F271" s="12"/>
      <c r="G271" s="13">
        <v>400000</v>
      </c>
      <c r="H271" s="14"/>
      <c r="I271" s="15" t="s">
        <v>116</v>
      </c>
      <c r="J271" s="37">
        <v>400000</v>
      </c>
      <c r="K271" s="37">
        <v>400000</v>
      </c>
      <c r="L271" s="37">
        <v>400000</v>
      </c>
      <c r="M271" s="37">
        <v>400000</v>
      </c>
      <c r="N271" s="39">
        <v>400000</v>
      </c>
      <c r="O271" s="37">
        <v>0</v>
      </c>
      <c r="P271" s="39">
        <v>0</v>
      </c>
      <c r="Q271" s="37">
        <v>0</v>
      </c>
      <c r="R271" s="37">
        <v>400000</v>
      </c>
      <c r="S271" s="37"/>
      <c r="T271" s="37"/>
      <c r="U271" s="37"/>
      <c r="V271" s="59">
        <f t="shared" si="19"/>
        <v>2400000</v>
      </c>
      <c r="W271" s="60">
        <f t="shared" si="16"/>
        <v>6</v>
      </c>
      <c r="X271" s="60">
        <f t="shared" si="17"/>
        <v>6</v>
      </c>
      <c r="Y271" s="60">
        <f t="shared" si="18"/>
        <v>6</v>
      </c>
    </row>
    <row r="272" spans="1:25">
      <c r="A272" s="12">
        <v>268</v>
      </c>
      <c r="B272" s="16" t="s">
        <v>579</v>
      </c>
      <c r="C272" s="16">
        <v>1093789365</v>
      </c>
      <c r="D272" s="16"/>
      <c r="E272" s="12" t="s">
        <v>346</v>
      </c>
      <c r="F272" s="12"/>
      <c r="G272" s="13">
        <v>1400000</v>
      </c>
      <c r="H272" s="14"/>
      <c r="I272" s="15" t="s">
        <v>116</v>
      </c>
      <c r="J272" s="37">
        <v>400000</v>
      </c>
      <c r="K272" s="37">
        <v>400000</v>
      </c>
      <c r="L272" s="37">
        <v>400000</v>
      </c>
      <c r="M272" s="37">
        <v>0</v>
      </c>
      <c r="N272" s="39">
        <v>400000</v>
      </c>
      <c r="O272" s="37">
        <v>400000</v>
      </c>
      <c r="P272" s="39">
        <v>400000</v>
      </c>
      <c r="Q272" s="37">
        <v>400000</v>
      </c>
      <c r="R272" s="37">
        <v>0</v>
      </c>
      <c r="S272" s="37"/>
      <c r="T272" s="37"/>
      <c r="U272" s="37"/>
      <c r="V272" s="59">
        <f t="shared" si="19"/>
        <v>2800000</v>
      </c>
      <c r="W272" s="60">
        <f t="shared" si="16"/>
        <v>7</v>
      </c>
      <c r="X272" s="60">
        <f t="shared" si="17"/>
        <v>7</v>
      </c>
      <c r="Y272" s="60">
        <f t="shared" si="18"/>
        <v>7</v>
      </c>
    </row>
    <row r="273" spans="1:25">
      <c r="A273" s="12">
        <v>269</v>
      </c>
      <c r="B273" s="16" t="s">
        <v>581</v>
      </c>
      <c r="C273" s="16">
        <v>98552933</v>
      </c>
      <c r="D273" s="16">
        <v>3184873565</v>
      </c>
      <c r="E273" s="12" t="s">
        <v>253</v>
      </c>
      <c r="F273" s="12"/>
      <c r="G273" s="13">
        <v>400000</v>
      </c>
      <c r="H273" s="14"/>
      <c r="I273" s="15" t="s">
        <v>116</v>
      </c>
      <c r="J273" s="37">
        <v>0</v>
      </c>
      <c r="K273" s="37">
        <v>400000</v>
      </c>
      <c r="L273" s="37">
        <v>0</v>
      </c>
      <c r="M273" s="37">
        <v>400000</v>
      </c>
      <c r="N273" s="39">
        <v>0</v>
      </c>
      <c r="O273" s="37">
        <v>0</v>
      </c>
      <c r="P273" s="39">
        <v>0</v>
      </c>
      <c r="Q273" s="37">
        <v>0</v>
      </c>
      <c r="R273" s="37">
        <v>0</v>
      </c>
      <c r="S273" s="37"/>
      <c r="T273" s="37"/>
      <c r="U273" s="37"/>
      <c r="V273" s="59">
        <f t="shared" si="19"/>
        <v>800000</v>
      </c>
      <c r="W273" s="60">
        <f t="shared" si="16"/>
        <v>2</v>
      </c>
      <c r="X273" s="60">
        <f t="shared" si="17"/>
        <v>2</v>
      </c>
      <c r="Y273" s="60">
        <f t="shared" si="18"/>
        <v>2</v>
      </c>
    </row>
    <row r="274" spans="1:25">
      <c r="A274" s="12">
        <v>270</v>
      </c>
      <c r="B274" s="16" t="s">
        <v>582</v>
      </c>
      <c r="C274" s="16">
        <v>45758051</v>
      </c>
      <c r="D274" s="16"/>
      <c r="E274" s="12" t="s">
        <v>539</v>
      </c>
      <c r="F274" s="12"/>
      <c r="G274" s="13">
        <v>400000</v>
      </c>
      <c r="H274" s="14"/>
      <c r="I274" s="15" t="s">
        <v>116</v>
      </c>
      <c r="J274" s="37">
        <v>0</v>
      </c>
      <c r="K274" s="37">
        <v>0</v>
      </c>
      <c r="L274" s="37">
        <v>0</v>
      </c>
      <c r="M274" s="37">
        <v>0</v>
      </c>
      <c r="N274" s="39">
        <v>0</v>
      </c>
      <c r="O274" s="37">
        <v>0</v>
      </c>
      <c r="P274" s="39">
        <v>0</v>
      </c>
      <c r="Q274" s="37">
        <v>0</v>
      </c>
      <c r="R274" s="37">
        <v>0</v>
      </c>
      <c r="S274" s="37"/>
      <c r="T274" s="37"/>
      <c r="U274" s="37"/>
      <c r="V274" s="59">
        <f t="shared" si="19"/>
        <v>0</v>
      </c>
      <c r="W274" s="60">
        <f t="shared" si="16"/>
        <v>0</v>
      </c>
      <c r="X274" s="60">
        <f t="shared" si="17"/>
        <v>0</v>
      </c>
      <c r="Y274" s="60">
        <f t="shared" si="18"/>
        <v>0</v>
      </c>
    </row>
    <row r="275" spans="1:25">
      <c r="A275" s="12">
        <v>271</v>
      </c>
      <c r="B275" s="16" t="s">
        <v>583</v>
      </c>
      <c r="C275" s="16" t="s">
        <v>754</v>
      </c>
      <c r="D275" s="16">
        <v>3155529907</v>
      </c>
      <c r="E275" s="12" t="s">
        <v>344</v>
      </c>
      <c r="F275" s="12"/>
      <c r="G275" s="13">
        <v>400000</v>
      </c>
      <c r="H275" s="14"/>
      <c r="I275" s="15" t="s">
        <v>116</v>
      </c>
      <c r="J275" s="37">
        <v>0</v>
      </c>
      <c r="K275" s="37">
        <v>0</v>
      </c>
      <c r="L275" s="37">
        <v>0</v>
      </c>
      <c r="M275" s="37">
        <v>0</v>
      </c>
      <c r="N275" s="39">
        <v>0</v>
      </c>
      <c r="O275" s="37">
        <v>0</v>
      </c>
      <c r="P275" s="39">
        <v>0</v>
      </c>
      <c r="Q275" s="37">
        <v>400000</v>
      </c>
      <c r="R275" s="37">
        <v>400000</v>
      </c>
      <c r="S275" s="37"/>
      <c r="T275" s="37"/>
      <c r="U275" s="37"/>
      <c r="V275" s="59">
        <f t="shared" si="19"/>
        <v>800000</v>
      </c>
      <c r="W275" s="60">
        <f t="shared" si="16"/>
        <v>2</v>
      </c>
      <c r="X275" s="60">
        <f t="shared" si="17"/>
        <v>2</v>
      </c>
      <c r="Y275" s="60">
        <f t="shared" si="18"/>
        <v>2</v>
      </c>
    </row>
    <row r="276" spans="1:25">
      <c r="A276" s="12">
        <v>272</v>
      </c>
      <c r="B276" s="16" t="s">
        <v>586</v>
      </c>
      <c r="C276" s="16">
        <v>16071816</v>
      </c>
      <c r="D276" s="16">
        <v>3176880448</v>
      </c>
      <c r="E276" s="12" t="s">
        <v>352</v>
      </c>
      <c r="F276" s="12"/>
      <c r="G276" s="13">
        <v>80000</v>
      </c>
      <c r="H276" s="14"/>
      <c r="I276" s="15" t="s">
        <v>116</v>
      </c>
      <c r="J276" s="37">
        <v>150000</v>
      </c>
      <c r="K276" s="37">
        <v>0</v>
      </c>
      <c r="L276" s="37">
        <v>50000</v>
      </c>
      <c r="M276" s="37">
        <v>200000</v>
      </c>
      <c r="N276" s="39">
        <v>200000</v>
      </c>
      <c r="O276" s="37">
        <v>200000</v>
      </c>
      <c r="P276" s="39">
        <v>0</v>
      </c>
      <c r="Q276" s="37">
        <v>0</v>
      </c>
      <c r="R276" s="37">
        <v>0</v>
      </c>
      <c r="S276" s="37"/>
      <c r="T276" s="37"/>
      <c r="U276" s="37"/>
      <c r="V276" s="59">
        <f t="shared" si="19"/>
        <v>800000</v>
      </c>
      <c r="W276" s="60">
        <f t="shared" si="16"/>
        <v>2</v>
      </c>
      <c r="X276" s="60">
        <f t="shared" si="17"/>
        <v>5</v>
      </c>
      <c r="Y276" s="60">
        <f t="shared" si="18"/>
        <v>2</v>
      </c>
    </row>
    <row r="277" spans="1:25">
      <c r="A277" s="12">
        <v>273</v>
      </c>
      <c r="B277" s="16" t="s">
        <v>587</v>
      </c>
      <c r="C277" s="16">
        <v>1122403315</v>
      </c>
      <c r="D277" s="16">
        <v>3135707447</v>
      </c>
      <c r="E277" s="12" t="s">
        <v>588</v>
      </c>
      <c r="F277" s="12"/>
      <c r="G277" s="13">
        <v>400000</v>
      </c>
      <c r="H277" s="14"/>
      <c r="I277" s="15" t="s">
        <v>116</v>
      </c>
      <c r="J277" s="37">
        <v>0</v>
      </c>
      <c r="K277" s="37">
        <v>0</v>
      </c>
      <c r="L277" s="37">
        <v>0</v>
      </c>
      <c r="M277" s="37">
        <v>0</v>
      </c>
      <c r="N277" s="39">
        <v>0</v>
      </c>
      <c r="O277" s="37">
        <v>150000</v>
      </c>
      <c r="P277" s="39">
        <v>0</v>
      </c>
      <c r="Q277" s="37">
        <v>0</v>
      </c>
      <c r="R277" s="37">
        <v>0</v>
      </c>
      <c r="S277" s="37"/>
      <c r="T277" s="37"/>
      <c r="U277" s="37"/>
      <c r="V277" s="59">
        <f t="shared" si="19"/>
        <v>150000</v>
      </c>
      <c r="W277" s="60">
        <f t="shared" si="16"/>
        <v>0.375</v>
      </c>
      <c r="X277" s="60">
        <f t="shared" si="17"/>
        <v>1</v>
      </c>
      <c r="Y277" s="60">
        <f t="shared" si="18"/>
        <v>1</v>
      </c>
    </row>
    <row r="278" spans="1:25">
      <c r="A278" s="12">
        <v>274</v>
      </c>
      <c r="B278" s="16" t="s">
        <v>589</v>
      </c>
      <c r="C278" s="16">
        <v>1090405714</v>
      </c>
      <c r="D278" s="16"/>
      <c r="E278" s="12" t="s">
        <v>346</v>
      </c>
      <c r="F278" s="12"/>
      <c r="G278" s="13">
        <v>400000</v>
      </c>
      <c r="H278" s="14"/>
      <c r="I278" s="15" t="s">
        <v>116</v>
      </c>
      <c r="J278" s="37">
        <v>400000</v>
      </c>
      <c r="K278" s="37">
        <v>400000</v>
      </c>
      <c r="L278" s="37">
        <v>400000</v>
      </c>
      <c r="M278" s="37">
        <v>0</v>
      </c>
      <c r="N278" s="39">
        <v>400000</v>
      </c>
      <c r="O278" s="37">
        <v>0</v>
      </c>
      <c r="P278" s="39">
        <v>800000</v>
      </c>
      <c r="Q278" s="37">
        <v>0</v>
      </c>
      <c r="R278" s="37">
        <v>0</v>
      </c>
      <c r="S278" s="37"/>
      <c r="T278" s="37"/>
      <c r="U278" s="37"/>
      <c r="V278" s="59">
        <f t="shared" si="19"/>
        <v>2400000</v>
      </c>
      <c r="W278" s="60">
        <f t="shared" si="16"/>
        <v>6</v>
      </c>
      <c r="X278" s="60">
        <f t="shared" si="17"/>
        <v>5</v>
      </c>
      <c r="Y278" s="60">
        <f t="shared" si="18"/>
        <v>6</v>
      </c>
    </row>
    <row r="279" spans="1:25">
      <c r="A279" s="12">
        <v>275</v>
      </c>
      <c r="B279" s="16" t="s">
        <v>671</v>
      </c>
      <c r="C279" s="16">
        <v>15274598</v>
      </c>
      <c r="D279" s="16"/>
      <c r="E279" s="12" t="s">
        <v>351</v>
      </c>
      <c r="F279" s="12"/>
      <c r="G279" s="13">
        <v>400000</v>
      </c>
      <c r="H279" s="14"/>
      <c r="I279" s="15" t="s">
        <v>116</v>
      </c>
      <c r="J279" s="37">
        <v>0</v>
      </c>
      <c r="K279" s="37">
        <v>400000</v>
      </c>
      <c r="L279" s="37">
        <v>200000</v>
      </c>
      <c r="M279" s="37">
        <v>0</v>
      </c>
      <c r="N279" s="39">
        <v>0</v>
      </c>
      <c r="O279" s="37">
        <v>0</v>
      </c>
      <c r="P279" s="39">
        <v>0</v>
      </c>
      <c r="Q279" s="37">
        <v>0</v>
      </c>
      <c r="R279" s="37">
        <v>0</v>
      </c>
      <c r="S279" s="37"/>
      <c r="T279" s="37"/>
      <c r="U279" s="37"/>
      <c r="V279" s="59">
        <f t="shared" si="19"/>
        <v>600000</v>
      </c>
      <c r="W279" s="60">
        <f t="shared" si="16"/>
        <v>1.5</v>
      </c>
      <c r="X279" s="60">
        <f t="shared" si="17"/>
        <v>2</v>
      </c>
      <c r="Y279" s="60">
        <f t="shared" si="18"/>
        <v>2</v>
      </c>
    </row>
    <row r="280" spans="1:25">
      <c r="A280" s="12">
        <v>276</v>
      </c>
      <c r="B280" s="16" t="s">
        <v>591</v>
      </c>
      <c r="C280" s="16"/>
      <c r="D280" s="16"/>
      <c r="E280" s="12" t="s">
        <v>455</v>
      </c>
      <c r="F280" s="12"/>
      <c r="G280" s="13">
        <v>400000</v>
      </c>
      <c r="H280" s="14"/>
      <c r="I280" s="15" t="s">
        <v>116</v>
      </c>
      <c r="J280" s="37">
        <v>0</v>
      </c>
      <c r="K280" s="37">
        <v>0</v>
      </c>
      <c r="L280" s="37">
        <v>0</v>
      </c>
      <c r="M280" s="37">
        <v>0</v>
      </c>
      <c r="N280" s="39">
        <v>0</v>
      </c>
      <c r="O280" s="37">
        <v>0</v>
      </c>
      <c r="P280" s="39">
        <v>0</v>
      </c>
      <c r="Q280" s="37">
        <v>0</v>
      </c>
      <c r="R280" s="37">
        <v>0</v>
      </c>
      <c r="S280" s="37"/>
      <c r="T280" s="37"/>
      <c r="U280" s="37"/>
      <c r="V280" s="59">
        <f t="shared" si="19"/>
        <v>0</v>
      </c>
      <c r="W280" s="60">
        <f t="shared" si="16"/>
        <v>0</v>
      </c>
      <c r="X280" s="60">
        <f t="shared" si="17"/>
        <v>0</v>
      </c>
      <c r="Y280" s="60">
        <f t="shared" si="18"/>
        <v>0</v>
      </c>
    </row>
    <row r="281" spans="1:25">
      <c r="A281" s="12">
        <v>277</v>
      </c>
      <c r="B281" s="16" t="s">
        <v>702</v>
      </c>
      <c r="C281" s="16"/>
      <c r="D281" s="16"/>
      <c r="E281" s="12" t="s">
        <v>346</v>
      </c>
      <c r="F281" s="12"/>
      <c r="G281" s="13">
        <v>400000</v>
      </c>
      <c r="H281" s="14"/>
      <c r="I281" s="15" t="s">
        <v>116</v>
      </c>
      <c r="J281" s="37">
        <v>400000</v>
      </c>
      <c r="K281" s="37">
        <v>0</v>
      </c>
      <c r="L281" s="37">
        <v>400000</v>
      </c>
      <c r="M281" s="37">
        <v>400000</v>
      </c>
      <c r="N281" s="39">
        <v>400000</v>
      </c>
      <c r="O281" s="37">
        <v>400000</v>
      </c>
      <c r="P281" s="39">
        <v>400000</v>
      </c>
      <c r="Q281" s="37">
        <v>400000</v>
      </c>
      <c r="R281" s="37">
        <v>0</v>
      </c>
      <c r="S281" s="37"/>
      <c r="T281" s="37"/>
      <c r="U281" s="37"/>
      <c r="V281" s="59">
        <f t="shared" si="19"/>
        <v>2800000</v>
      </c>
      <c r="W281" s="60">
        <f t="shared" si="16"/>
        <v>7</v>
      </c>
      <c r="X281" s="60">
        <f t="shared" si="17"/>
        <v>7</v>
      </c>
      <c r="Y281" s="60">
        <f t="shared" si="18"/>
        <v>7</v>
      </c>
    </row>
    <row r="282" spans="1:25">
      <c r="A282" s="12">
        <v>278</v>
      </c>
      <c r="B282" s="16" t="s">
        <v>595</v>
      </c>
      <c r="C282" s="16">
        <v>55143294</v>
      </c>
      <c r="D282" s="16"/>
      <c r="E282" s="12" t="s">
        <v>596</v>
      </c>
      <c r="F282" s="12"/>
      <c r="G282" s="13"/>
      <c r="H282" s="14"/>
      <c r="I282" s="15" t="s">
        <v>116</v>
      </c>
      <c r="J282" s="37">
        <v>500000</v>
      </c>
      <c r="K282" s="37">
        <v>500000</v>
      </c>
      <c r="L282" s="37">
        <v>500000</v>
      </c>
      <c r="M282" s="37">
        <v>500000</v>
      </c>
      <c r="N282" s="39">
        <v>500000</v>
      </c>
      <c r="O282" s="37">
        <v>500000</v>
      </c>
      <c r="P282" s="39">
        <v>0</v>
      </c>
      <c r="Q282" s="37">
        <v>0</v>
      </c>
      <c r="R282" s="37">
        <v>0</v>
      </c>
      <c r="S282" s="37"/>
      <c r="T282" s="37"/>
      <c r="U282" s="37"/>
      <c r="V282" s="59">
        <f t="shared" si="19"/>
        <v>3000000</v>
      </c>
      <c r="W282" s="60">
        <f t="shared" si="16"/>
        <v>7.5</v>
      </c>
      <c r="X282" s="60">
        <f t="shared" si="17"/>
        <v>6</v>
      </c>
      <c r="Y282" s="60">
        <f t="shared" si="18"/>
        <v>8</v>
      </c>
    </row>
    <row r="283" spans="1:25">
      <c r="A283" s="12">
        <v>279</v>
      </c>
      <c r="B283" s="16" t="s">
        <v>597</v>
      </c>
      <c r="C283" s="16">
        <v>42027224</v>
      </c>
      <c r="D283" s="16">
        <v>3137328174</v>
      </c>
      <c r="E283" s="12" t="s">
        <v>455</v>
      </c>
      <c r="F283" s="12"/>
      <c r="G283" s="13"/>
      <c r="H283" s="14"/>
      <c r="I283" s="15" t="s">
        <v>116</v>
      </c>
      <c r="J283" s="37">
        <v>400000</v>
      </c>
      <c r="K283" s="37">
        <v>400000</v>
      </c>
      <c r="L283" s="37">
        <v>400000</v>
      </c>
      <c r="M283" s="37">
        <v>400000</v>
      </c>
      <c r="N283" s="39">
        <v>400000</v>
      </c>
      <c r="O283" s="37">
        <v>400000</v>
      </c>
      <c r="P283" s="39">
        <v>400000</v>
      </c>
      <c r="Q283" s="37">
        <v>400000</v>
      </c>
      <c r="R283" s="37">
        <v>0</v>
      </c>
      <c r="S283" s="37"/>
      <c r="T283" s="37"/>
      <c r="U283" s="37"/>
      <c r="V283" s="59">
        <f t="shared" si="19"/>
        <v>3200000</v>
      </c>
      <c r="W283" s="60">
        <f t="shared" si="16"/>
        <v>8</v>
      </c>
      <c r="X283" s="60">
        <f t="shared" si="17"/>
        <v>8</v>
      </c>
      <c r="Y283" s="60">
        <f t="shared" si="18"/>
        <v>8</v>
      </c>
    </row>
    <row r="284" spans="1:25">
      <c r="A284" s="12">
        <v>280</v>
      </c>
      <c r="B284" s="16" t="s">
        <v>598</v>
      </c>
      <c r="C284" s="16"/>
      <c r="D284" s="16"/>
      <c r="E284" s="12" t="s">
        <v>257</v>
      </c>
      <c r="F284" s="12"/>
      <c r="G284" s="13"/>
      <c r="H284" s="14"/>
      <c r="I284" s="15" t="s">
        <v>116</v>
      </c>
      <c r="J284" s="37">
        <v>200000</v>
      </c>
      <c r="K284" s="37">
        <v>0</v>
      </c>
      <c r="L284" s="37">
        <v>0</v>
      </c>
      <c r="M284" s="37">
        <v>0</v>
      </c>
      <c r="N284" s="39">
        <v>0</v>
      </c>
      <c r="O284" s="37">
        <v>0</v>
      </c>
      <c r="P284" s="39">
        <v>0</v>
      </c>
      <c r="Q284" s="37">
        <v>0</v>
      </c>
      <c r="R284" s="37">
        <v>0</v>
      </c>
      <c r="S284" s="37"/>
      <c r="T284" s="37"/>
      <c r="U284" s="37"/>
      <c r="V284" s="59">
        <f t="shared" si="19"/>
        <v>200000</v>
      </c>
      <c r="W284" s="60">
        <f t="shared" si="16"/>
        <v>0.5</v>
      </c>
      <c r="X284" s="60">
        <f t="shared" si="17"/>
        <v>1</v>
      </c>
      <c r="Y284" s="60">
        <f t="shared" si="18"/>
        <v>1</v>
      </c>
    </row>
    <row r="285" spans="1:25">
      <c r="A285" s="12">
        <v>281</v>
      </c>
      <c r="B285" s="16" t="s">
        <v>599</v>
      </c>
      <c r="C285" s="16"/>
      <c r="D285" s="16"/>
      <c r="E285" s="12" t="s">
        <v>257</v>
      </c>
      <c r="F285" s="12"/>
      <c r="G285" s="13"/>
      <c r="H285" s="14"/>
      <c r="I285" s="15" t="s">
        <v>116</v>
      </c>
      <c r="J285" s="37">
        <v>400000</v>
      </c>
      <c r="K285" s="37">
        <v>0</v>
      </c>
      <c r="L285" s="37">
        <v>0</v>
      </c>
      <c r="M285" s="37">
        <v>400000</v>
      </c>
      <c r="N285" s="39">
        <v>0</v>
      </c>
      <c r="O285" s="37">
        <v>400000</v>
      </c>
      <c r="P285" s="39">
        <v>0</v>
      </c>
      <c r="Q285" s="37">
        <v>400000</v>
      </c>
      <c r="R285" s="37">
        <v>0</v>
      </c>
      <c r="S285" s="37"/>
      <c r="T285" s="37"/>
      <c r="U285" s="37"/>
      <c r="V285" s="59">
        <f t="shared" si="19"/>
        <v>1600000</v>
      </c>
      <c r="W285" s="60">
        <f t="shared" si="16"/>
        <v>4</v>
      </c>
      <c r="X285" s="60">
        <f t="shared" si="17"/>
        <v>4</v>
      </c>
      <c r="Y285" s="60">
        <f t="shared" si="18"/>
        <v>4</v>
      </c>
    </row>
    <row r="286" spans="1:25">
      <c r="A286" s="12">
        <v>282</v>
      </c>
      <c r="B286" s="16" t="s">
        <v>600</v>
      </c>
      <c r="C286" s="16">
        <v>1090399128</v>
      </c>
      <c r="D286" s="16"/>
      <c r="E286" s="12" t="s">
        <v>346</v>
      </c>
      <c r="F286" s="12"/>
      <c r="G286" s="13">
        <v>400000</v>
      </c>
      <c r="H286" s="14"/>
      <c r="I286" s="15" t="s">
        <v>116</v>
      </c>
      <c r="J286" s="37">
        <v>400000</v>
      </c>
      <c r="K286" s="37">
        <v>400000</v>
      </c>
      <c r="L286" s="37">
        <v>400000</v>
      </c>
      <c r="M286" s="37">
        <v>0</v>
      </c>
      <c r="N286" s="39">
        <v>400000</v>
      </c>
      <c r="O286" s="37">
        <v>400000</v>
      </c>
      <c r="P286" s="39">
        <v>0</v>
      </c>
      <c r="Q286" s="37">
        <v>400000</v>
      </c>
      <c r="R286" s="37">
        <v>0</v>
      </c>
      <c r="S286" s="37"/>
      <c r="T286" s="37"/>
      <c r="U286" s="37"/>
      <c r="V286" s="59">
        <f t="shared" si="19"/>
        <v>2400000</v>
      </c>
      <c r="W286" s="60">
        <f t="shared" si="16"/>
        <v>6</v>
      </c>
      <c r="X286" s="60">
        <f t="shared" si="17"/>
        <v>6</v>
      </c>
      <c r="Y286" s="60">
        <f t="shared" si="18"/>
        <v>6</v>
      </c>
    </row>
    <row r="287" spans="1:25">
      <c r="A287" s="12">
        <v>283</v>
      </c>
      <c r="B287" s="16" t="s">
        <v>601</v>
      </c>
      <c r="C287" s="16">
        <v>13923806</v>
      </c>
      <c r="D287" s="16"/>
      <c r="E287" s="12" t="s">
        <v>578</v>
      </c>
      <c r="F287" s="12"/>
      <c r="G287" s="13"/>
      <c r="H287" s="14"/>
      <c r="I287" s="15" t="s">
        <v>116</v>
      </c>
      <c r="J287" s="37">
        <v>1600000</v>
      </c>
      <c r="K287" s="37">
        <v>1600000</v>
      </c>
      <c r="L287" s="37">
        <v>1600000</v>
      </c>
      <c r="M287" s="37">
        <v>0</v>
      </c>
      <c r="N287" s="39">
        <v>2000000</v>
      </c>
      <c r="O287" s="37">
        <v>2000000</v>
      </c>
      <c r="P287" s="39">
        <v>0</v>
      </c>
      <c r="Q287" s="37">
        <v>0</v>
      </c>
      <c r="R287" s="37">
        <v>2000000</v>
      </c>
      <c r="S287" s="37"/>
      <c r="T287" s="37"/>
      <c r="U287" s="37"/>
      <c r="V287" s="59">
        <f t="shared" ref="V287:V304" si="20">SUM(J287:U287)</f>
        <v>10800000</v>
      </c>
      <c r="W287" s="60">
        <f t="shared" ref="W287:W304" si="21">V287/400000</f>
        <v>27</v>
      </c>
      <c r="X287" s="60">
        <f t="shared" ref="X287:X304" si="22">COUNTIF(J287:U287,"&gt;0")</f>
        <v>6</v>
      </c>
      <c r="Y287" s="60">
        <f t="shared" ref="Y287:Y304" si="23">ROUNDUP(W287,0)</f>
        <v>27</v>
      </c>
    </row>
    <row r="288" spans="1:25">
      <c r="A288" s="12">
        <v>284</v>
      </c>
      <c r="B288" s="16" t="s">
        <v>602</v>
      </c>
      <c r="C288" s="16">
        <v>60300203</v>
      </c>
      <c r="D288" s="16"/>
      <c r="E288" s="12" t="s">
        <v>346</v>
      </c>
      <c r="F288" s="12"/>
      <c r="G288" s="13"/>
      <c r="H288" s="14"/>
      <c r="I288" s="15" t="s">
        <v>116</v>
      </c>
      <c r="J288" s="37">
        <v>400000</v>
      </c>
      <c r="K288" s="37">
        <v>400000</v>
      </c>
      <c r="L288" s="37">
        <v>800000</v>
      </c>
      <c r="M288" s="37">
        <v>0</v>
      </c>
      <c r="N288" s="39">
        <v>0</v>
      </c>
      <c r="O288" s="37">
        <v>400000</v>
      </c>
      <c r="P288" s="39">
        <v>400000</v>
      </c>
      <c r="Q288" s="37">
        <v>400000</v>
      </c>
      <c r="R288" s="37">
        <v>0</v>
      </c>
      <c r="S288" s="37"/>
      <c r="T288" s="37"/>
      <c r="U288" s="37"/>
      <c r="V288" s="59">
        <f t="shared" si="20"/>
        <v>2800000</v>
      </c>
      <c r="W288" s="60">
        <f t="shared" si="21"/>
        <v>7</v>
      </c>
      <c r="X288" s="60">
        <f t="shared" si="22"/>
        <v>6</v>
      </c>
      <c r="Y288" s="60">
        <f t="shared" si="23"/>
        <v>7</v>
      </c>
    </row>
    <row r="289" spans="1:25">
      <c r="A289" s="12">
        <v>285</v>
      </c>
      <c r="B289" s="16" t="s">
        <v>603</v>
      </c>
      <c r="C289" s="16"/>
      <c r="D289" s="16">
        <v>3188566515</v>
      </c>
      <c r="E289" s="12" t="s">
        <v>253</v>
      </c>
      <c r="F289" s="12"/>
      <c r="G289" s="13"/>
      <c r="H289" s="14"/>
      <c r="I289" s="15" t="s">
        <v>116</v>
      </c>
      <c r="J289" s="37">
        <v>400000</v>
      </c>
      <c r="K289" s="37">
        <v>400000</v>
      </c>
      <c r="L289" s="37">
        <v>0</v>
      </c>
      <c r="M289" s="37">
        <v>0</v>
      </c>
      <c r="N289" s="39">
        <v>0</v>
      </c>
      <c r="O289" s="37">
        <v>400000</v>
      </c>
      <c r="P289" s="39">
        <v>800000</v>
      </c>
      <c r="Q289" s="37">
        <v>0</v>
      </c>
      <c r="R289" s="37">
        <v>0</v>
      </c>
      <c r="S289" s="37"/>
      <c r="T289" s="37"/>
      <c r="U289" s="37"/>
      <c r="V289" s="59">
        <f t="shared" si="20"/>
        <v>2000000</v>
      </c>
      <c r="W289" s="60">
        <f t="shared" si="21"/>
        <v>5</v>
      </c>
      <c r="X289" s="60">
        <f t="shared" si="22"/>
        <v>4</v>
      </c>
      <c r="Y289" s="60">
        <f t="shared" si="23"/>
        <v>5</v>
      </c>
    </row>
    <row r="290" spans="1:25">
      <c r="A290" s="12">
        <v>286</v>
      </c>
      <c r="B290" s="16" t="s">
        <v>604</v>
      </c>
      <c r="C290" s="16">
        <v>10667593528</v>
      </c>
      <c r="D290" s="16"/>
      <c r="E290" s="12" t="s">
        <v>257</v>
      </c>
      <c r="F290" s="12"/>
      <c r="G290" s="13"/>
      <c r="H290" s="14"/>
      <c r="I290" s="15" t="s">
        <v>116</v>
      </c>
      <c r="J290" s="37">
        <v>400000</v>
      </c>
      <c r="K290" s="37">
        <v>400000</v>
      </c>
      <c r="L290" s="37">
        <v>0</v>
      </c>
      <c r="M290" s="37">
        <v>0</v>
      </c>
      <c r="N290" s="39">
        <v>0</v>
      </c>
      <c r="O290" s="37">
        <v>0</v>
      </c>
      <c r="P290" s="39">
        <v>0</v>
      </c>
      <c r="Q290" s="37">
        <v>0</v>
      </c>
      <c r="R290" s="37">
        <v>0</v>
      </c>
      <c r="S290" s="37"/>
      <c r="T290" s="37"/>
      <c r="U290" s="37"/>
      <c r="V290" s="59">
        <f t="shared" si="20"/>
        <v>800000</v>
      </c>
      <c r="W290" s="60">
        <f t="shared" si="21"/>
        <v>2</v>
      </c>
      <c r="X290" s="60">
        <f t="shared" si="22"/>
        <v>2</v>
      </c>
      <c r="Y290" s="60">
        <f t="shared" si="23"/>
        <v>2</v>
      </c>
    </row>
    <row r="291" spans="1:25">
      <c r="A291" s="12">
        <v>287</v>
      </c>
      <c r="B291" s="16" t="s">
        <v>605</v>
      </c>
      <c r="C291" s="16">
        <v>71630690</v>
      </c>
      <c r="D291" s="16">
        <v>3012567771</v>
      </c>
      <c r="E291" s="12" t="s">
        <v>559</v>
      </c>
      <c r="F291" s="12"/>
      <c r="G291" s="13"/>
      <c r="H291" s="14"/>
      <c r="I291" s="15" t="s">
        <v>116</v>
      </c>
      <c r="J291" s="37">
        <v>200000</v>
      </c>
      <c r="K291" s="37">
        <v>0</v>
      </c>
      <c r="L291" s="37">
        <v>0</v>
      </c>
      <c r="M291" s="37">
        <v>0</v>
      </c>
      <c r="N291" s="39">
        <v>200000</v>
      </c>
      <c r="O291" s="37">
        <v>200000</v>
      </c>
      <c r="P291" s="39">
        <v>0</v>
      </c>
      <c r="Q291" s="37">
        <v>0</v>
      </c>
      <c r="R291" s="37">
        <v>0</v>
      </c>
      <c r="S291" s="37"/>
      <c r="T291" s="37"/>
      <c r="U291" s="37"/>
      <c r="V291" s="59">
        <f t="shared" si="20"/>
        <v>600000</v>
      </c>
      <c r="W291" s="60">
        <f t="shared" si="21"/>
        <v>1.5</v>
      </c>
      <c r="X291" s="60">
        <f t="shared" si="22"/>
        <v>3</v>
      </c>
      <c r="Y291" s="60">
        <f t="shared" si="23"/>
        <v>2</v>
      </c>
    </row>
    <row r="292" spans="1:25">
      <c r="A292" s="12">
        <v>288</v>
      </c>
      <c r="B292" s="16" t="s">
        <v>606</v>
      </c>
      <c r="C292" s="16"/>
      <c r="D292" s="16" t="s">
        <v>607</v>
      </c>
      <c r="E292" s="12" t="s">
        <v>646</v>
      </c>
      <c r="F292" s="12"/>
      <c r="G292" s="13"/>
      <c r="H292" s="14" t="s">
        <v>4</v>
      </c>
      <c r="I292" s="15" t="s">
        <v>116</v>
      </c>
      <c r="J292" s="37">
        <v>400000</v>
      </c>
      <c r="K292" s="37">
        <v>400000</v>
      </c>
      <c r="L292" s="37">
        <v>400000</v>
      </c>
      <c r="M292" s="37">
        <v>400000</v>
      </c>
      <c r="N292" s="39">
        <v>0</v>
      </c>
      <c r="O292" s="37">
        <v>400000</v>
      </c>
      <c r="P292" s="39">
        <v>400000</v>
      </c>
      <c r="Q292" s="37">
        <v>0</v>
      </c>
      <c r="R292" s="37">
        <v>0</v>
      </c>
      <c r="S292" s="37"/>
      <c r="T292" s="37"/>
      <c r="U292" s="37"/>
      <c r="V292" s="59">
        <f t="shared" si="20"/>
        <v>2400000</v>
      </c>
      <c r="W292" s="60">
        <f t="shared" si="21"/>
        <v>6</v>
      </c>
      <c r="X292" s="60">
        <f t="shared" si="22"/>
        <v>6</v>
      </c>
      <c r="Y292" s="60">
        <f t="shared" si="23"/>
        <v>6</v>
      </c>
    </row>
    <row r="293" spans="1:25">
      <c r="A293" s="12">
        <v>289</v>
      </c>
      <c r="B293" s="16" t="s">
        <v>609</v>
      </c>
      <c r="C293" s="16"/>
      <c r="D293" s="16" t="s">
        <v>610</v>
      </c>
      <c r="E293" s="12" t="s">
        <v>646</v>
      </c>
      <c r="F293" s="12"/>
      <c r="G293" s="13"/>
      <c r="H293" s="14" t="s">
        <v>4</v>
      </c>
      <c r="I293" s="15" t="s">
        <v>116</v>
      </c>
      <c r="J293" s="37">
        <v>400000</v>
      </c>
      <c r="K293" s="37">
        <v>400000</v>
      </c>
      <c r="L293" s="37">
        <v>400000</v>
      </c>
      <c r="M293" s="37">
        <v>400000</v>
      </c>
      <c r="N293" s="39">
        <v>0</v>
      </c>
      <c r="O293" s="37">
        <v>400000</v>
      </c>
      <c r="P293" s="39">
        <v>400000</v>
      </c>
      <c r="Q293" s="37">
        <v>0</v>
      </c>
      <c r="R293" s="37">
        <v>0</v>
      </c>
      <c r="S293" s="37"/>
      <c r="T293" s="37"/>
      <c r="U293" s="37"/>
      <c r="V293" s="59">
        <f t="shared" si="20"/>
        <v>2400000</v>
      </c>
      <c r="W293" s="60">
        <f t="shared" si="21"/>
        <v>6</v>
      </c>
      <c r="X293" s="60">
        <f t="shared" si="22"/>
        <v>6</v>
      </c>
      <c r="Y293" s="60">
        <f t="shared" si="23"/>
        <v>6</v>
      </c>
    </row>
    <row r="294" spans="1:25">
      <c r="A294" s="12">
        <v>290</v>
      </c>
      <c r="B294" s="16" t="s">
        <v>611</v>
      </c>
      <c r="C294" s="16">
        <v>1090381261</v>
      </c>
      <c r="D294" s="16"/>
      <c r="E294" s="12" t="s">
        <v>346</v>
      </c>
      <c r="F294" s="12"/>
      <c r="G294" s="13"/>
      <c r="H294" s="14"/>
      <c r="I294" s="15" t="s">
        <v>116</v>
      </c>
      <c r="J294" s="37">
        <v>400000</v>
      </c>
      <c r="K294" s="37">
        <v>400000</v>
      </c>
      <c r="L294" s="37">
        <v>0</v>
      </c>
      <c r="M294" s="37">
        <v>0</v>
      </c>
      <c r="N294" s="39">
        <v>0</v>
      </c>
      <c r="O294" s="37">
        <v>0</v>
      </c>
      <c r="P294" s="39">
        <v>0</v>
      </c>
      <c r="Q294" s="37">
        <v>0</v>
      </c>
      <c r="R294" s="37">
        <v>0</v>
      </c>
      <c r="S294" s="37"/>
      <c r="T294" s="37"/>
      <c r="U294" s="37"/>
      <c r="V294" s="59">
        <f t="shared" si="20"/>
        <v>800000</v>
      </c>
      <c r="W294" s="60">
        <f t="shared" si="21"/>
        <v>2</v>
      </c>
      <c r="X294" s="60">
        <f t="shared" si="22"/>
        <v>2</v>
      </c>
      <c r="Y294" s="60">
        <f t="shared" si="23"/>
        <v>2</v>
      </c>
    </row>
    <row r="295" spans="1:25">
      <c r="A295" s="12">
        <v>291</v>
      </c>
      <c r="B295" s="16" t="s">
        <v>710</v>
      </c>
      <c r="C295" s="16"/>
      <c r="D295" s="16"/>
      <c r="E295" s="12" t="s">
        <v>612</v>
      </c>
      <c r="F295" s="12"/>
      <c r="G295" s="13"/>
      <c r="H295" s="14"/>
      <c r="I295" s="15" t="s">
        <v>116</v>
      </c>
      <c r="J295" s="37">
        <v>11250000</v>
      </c>
      <c r="K295" s="37">
        <v>0</v>
      </c>
      <c r="L295" s="37">
        <v>10800000</v>
      </c>
      <c r="M295" s="37">
        <v>0</v>
      </c>
      <c r="N295" s="39">
        <v>0</v>
      </c>
      <c r="O295" s="37">
        <v>0</v>
      </c>
      <c r="P295" s="39">
        <v>0</v>
      </c>
      <c r="Q295" s="37">
        <v>0</v>
      </c>
      <c r="R295" s="37">
        <v>0</v>
      </c>
      <c r="S295" s="37"/>
      <c r="T295" s="37"/>
      <c r="U295" s="37"/>
      <c r="V295" s="59">
        <f t="shared" si="20"/>
        <v>22050000</v>
      </c>
      <c r="W295" s="60">
        <f t="shared" si="21"/>
        <v>55.125</v>
      </c>
      <c r="X295" s="60">
        <f t="shared" si="22"/>
        <v>2</v>
      </c>
      <c r="Y295" s="60">
        <f t="shared" si="23"/>
        <v>56</v>
      </c>
    </row>
    <row r="296" spans="1:25">
      <c r="A296" s="12">
        <v>292</v>
      </c>
      <c r="B296" s="16" t="s">
        <v>613</v>
      </c>
      <c r="C296" s="16">
        <v>26331372</v>
      </c>
      <c r="D296" s="16">
        <v>3216248917</v>
      </c>
      <c r="E296" s="12" t="s">
        <v>614</v>
      </c>
      <c r="F296" s="12"/>
      <c r="G296" s="13"/>
      <c r="H296" s="14"/>
      <c r="I296" s="15" t="s">
        <v>116</v>
      </c>
      <c r="J296" s="37">
        <v>400000</v>
      </c>
      <c r="K296" s="37">
        <v>0</v>
      </c>
      <c r="L296" s="37">
        <v>0</v>
      </c>
      <c r="M296" s="37">
        <v>0</v>
      </c>
      <c r="N296" s="39">
        <v>0</v>
      </c>
      <c r="O296" s="37">
        <v>0</v>
      </c>
      <c r="P296" s="39">
        <v>0</v>
      </c>
      <c r="Q296" s="37">
        <v>0</v>
      </c>
      <c r="R296" s="37">
        <v>0</v>
      </c>
      <c r="S296" s="37"/>
      <c r="T296" s="37"/>
      <c r="U296" s="37"/>
      <c r="V296" s="59">
        <f t="shared" si="20"/>
        <v>400000</v>
      </c>
      <c r="W296" s="60">
        <f t="shared" si="21"/>
        <v>1</v>
      </c>
      <c r="X296" s="60">
        <f t="shared" si="22"/>
        <v>1</v>
      </c>
      <c r="Y296" s="60">
        <f t="shared" si="23"/>
        <v>1</v>
      </c>
    </row>
    <row r="297" spans="1:25">
      <c r="A297" s="12">
        <v>293</v>
      </c>
      <c r="B297" s="16" t="s">
        <v>615</v>
      </c>
      <c r="C297" s="16">
        <v>50995836</v>
      </c>
      <c r="D297" s="16">
        <v>3106115579</v>
      </c>
      <c r="E297" s="12" t="s">
        <v>614</v>
      </c>
      <c r="F297" s="12"/>
      <c r="G297" s="13"/>
      <c r="H297" s="14"/>
      <c r="I297" s="15" t="s">
        <v>116</v>
      </c>
      <c r="J297" s="37">
        <v>400000</v>
      </c>
      <c r="K297" s="37">
        <v>0</v>
      </c>
      <c r="L297" s="37">
        <v>0</v>
      </c>
      <c r="M297" s="37">
        <v>0</v>
      </c>
      <c r="N297" s="39">
        <v>0</v>
      </c>
      <c r="O297" s="37">
        <v>0</v>
      </c>
      <c r="P297" s="39">
        <v>0</v>
      </c>
      <c r="Q297" s="37">
        <v>0</v>
      </c>
      <c r="R297" s="37">
        <v>0</v>
      </c>
      <c r="S297" s="37"/>
      <c r="T297" s="37"/>
      <c r="U297" s="37"/>
      <c r="V297" s="59">
        <f t="shared" si="20"/>
        <v>400000</v>
      </c>
      <c r="W297" s="60">
        <f t="shared" si="21"/>
        <v>1</v>
      </c>
      <c r="X297" s="60">
        <f t="shared" si="22"/>
        <v>1</v>
      </c>
      <c r="Y297" s="60">
        <f t="shared" si="23"/>
        <v>1</v>
      </c>
    </row>
    <row r="298" spans="1:25">
      <c r="A298" s="12">
        <v>294</v>
      </c>
      <c r="B298" s="16" t="s">
        <v>744</v>
      </c>
      <c r="C298" s="16"/>
      <c r="D298" s="16"/>
      <c r="E298" s="12" t="s">
        <v>257</v>
      </c>
      <c r="F298" s="12"/>
      <c r="G298" s="13"/>
      <c r="H298" s="14"/>
      <c r="I298" s="15" t="s">
        <v>116</v>
      </c>
      <c r="J298" s="37">
        <v>4800000</v>
      </c>
      <c r="K298" s="37">
        <v>0</v>
      </c>
      <c r="L298" s="37">
        <v>0</v>
      </c>
      <c r="M298" s="37">
        <v>0</v>
      </c>
      <c r="N298" s="39">
        <v>0</v>
      </c>
      <c r="O298" s="37">
        <v>0</v>
      </c>
      <c r="P298" s="39">
        <v>4800000</v>
      </c>
      <c r="Q298" s="37">
        <v>0</v>
      </c>
      <c r="R298" s="37">
        <v>0</v>
      </c>
      <c r="S298" s="37"/>
      <c r="T298" s="37"/>
      <c r="U298" s="37"/>
      <c r="V298" s="59">
        <f t="shared" si="20"/>
        <v>9600000</v>
      </c>
      <c r="W298" s="60">
        <f t="shared" si="21"/>
        <v>24</v>
      </c>
      <c r="X298" s="60">
        <f t="shared" si="22"/>
        <v>2</v>
      </c>
      <c r="Y298" s="60">
        <f t="shared" si="23"/>
        <v>24</v>
      </c>
    </row>
    <row r="299" spans="1:25">
      <c r="A299" s="12">
        <v>295</v>
      </c>
      <c r="B299" s="16" t="s">
        <v>616</v>
      </c>
      <c r="C299" s="16"/>
      <c r="D299" s="16"/>
      <c r="E299" s="12" t="s">
        <v>533</v>
      </c>
      <c r="F299" s="12"/>
      <c r="G299" s="13"/>
      <c r="H299" s="14"/>
      <c r="I299" s="15" t="s">
        <v>116</v>
      </c>
      <c r="J299" s="37">
        <v>500000</v>
      </c>
      <c r="K299" s="37">
        <v>0</v>
      </c>
      <c r="L299" s="37">
        <v>400000</v>
      </c>
      <c r="M299" s="37">
        <v>400000</v>
      </c>
      <c r="N299" s="39">
        <v>0</v>
      </c>
      <c r="O299" s="37">
        <v>0</v>
      </c>
      <c r="P299" s="39">
        <v>800000</v>
      </c>
      <c r="Q299" s="37">
        <v>750000</v>
      </c>
      <c r="R299" s="37">
        <v>0</v>
      </c>
      <c r="S299" s="37"/>
      <c r="T299" s="37"/>
      <c r="U299" s="37"/>
      <c r="V299" s="59">
        <f t="shared" si="20"/>
        <v>2850000</v>
      </c>
      <c r="W299" s="60">
        <f t="shared" si="21"/>
        <v>7.125</v>
      </c>
      <c r="X299" s="60">
        <f t="shared" si="22"/>
        <v>5</v>
      </c>
      <c r="Y299" s="60">
        <f t="shared" si="23"/>
        <v>8</v>
      </c>
    </row>
    <row r="300" spans="1:25">
      <c r="A300" s="12">
        <v>296</v>
      </c>
      <c r="B300" s="16" t="s">
        <v>617</v>
      </c>
      <c r="C300" s="16"/>
      <c r="D300" s="16"/>
      <c r="E300" s="12" t="s">
        <v>257</v>
      </c>
      <c r="F300" s="12"/>
      <c r="G300" s="13"/>
      <c r="H300" s="14"/>
      <c r="I300" s="15" t="s">
        <v>116</v>
      </c>
      <c r="J300" s="37">
        <v>400000</v>
      </c>
      <c r="K300" s="37">
        <v>400000</v>
      </c>
      <c r="L300" s="37">
        <v>0</v>
      </c>
      <c r="M300" s="37">
        <v>400000</v>
      </c>
      <c r="N300" s="39">
        <v>0</v>
      </c>
      <c r="O300" s="37">
        <v>800000</v>
      </c>
      <c r="P300" s="39">
        <v>0</v>
      </c>
      <c r="Q300" s="37">
        <v>800000</v>
      </c>
      <c r="R300" s="37">
        <v>0</v>
      </c>
      <c r="S300" s="37"/>
      <c r="T300" s="37"/>
      <c r="U300" s="37"/>
      <c r="V300" s="59">
        <f t="shared" si="20"/>
        <v>2800000</v>
      </c>
      <c r="W300" s="60">
        <f t="shared" si="21"/>
        <v>7</v>
      </c>
      <c r="X300" s="60">
        <f t="shared" si="22"/>
        <v>5</v>
      </c>
      <c r="Y300" s="60">
        <f t="shared" si="23"/>
        <v>7</v>
      </c>
    </row>
    <row r="301" spans="1:25">
      <c r="A301" s="12">
        <v>297</v>
      </c>
      <c r="B301" s="16" t="s">
        <v>258</v>
      </c>
      <c r="C301" s="16"/>
      <c r="D301" s="16"/>
      <c r="E301" s="12" t="s">
        <v>797</v>
      </c>
      <c r="F301" s="12"/>
      <c r="G301" s="13"/>
      <c r="H301" s="14"/>
      <c r="I301" s="15" t="s">
        <v>116</v>
      </c>
      <c r="J301" s="37">
        <v>1200000</v>
      </c>
      <c r="K301" s="37">
        <v>0</v>
      </c>
      <c r="L301" s="37">
        <v>1600000</v>
      </c>
      <c r="M301" s="37">
        <v>0</v>
      </c>
      <c r="N301" s="39">
        <v>0</v>
      </c>
      <c r="O301" s="37">
        <v>0</v>
      </c>
      <c r="P301" s="39">
        <v>0</v>
      </c>
      <c r="Q301" s="37">
        <v>0</v>
      </c>
      <c r="R301" s="37">
        <v>0</v>
      </c>
      <c r="S301" s="37"/>
      <c r="T301" s="37"/>
      <c r="U301" s="37"/>
      <c r="V301" s="59">
        <f t="shared" si="20"/>
        <v>2800000</v>
      </c>
      <c r="W301" s="60">
        <f t="shared" si="21"/>
        <v>7</v>
      </c>
      <c r="X301" s="60">
        <f t="shared" si="22"/>
        <v>2</v>
      </c>
      <c r="Y301" s="60">
        <f t="shared" si="23"/>
        <v>7</v>
      </c>
    </row>
    <row r="302" spans="1:25">
      <c r="A302" s="12">
        <v>298</v>
      </c>
      <c r="B302" s="16" t="s">
        <v>629</v>
      </c>
      <c r="C302" s="16">
        <v>32555373</v>
      </c>
      <c r="D302" s="16"/>
      <c r="E302" s="12" t="s">
        <v>351</v>
      </c>
      <c r="F302" s="12"/>
      <c r="G302" s="13"/>
      <c r="H302" s="14"/>
      <c r="I302" s="15" t="s">
        <v>116</v>
      </c>
      <c r="J302" s="37">
        <v>20000</v>
      </c>
      <c r="K302" s="37">
        <v>0</v>
      </c>
      <c r="L302" s="37">
        <v>25000</v>
      </c>
      <c r="M302" s="37">
        <v>0</v>
      </c>
      <c r="N302" s="39">
        <v>25000</v>
      </c>
      <c r="O302" s="37">
        <v>50000</v>
      </c>
      <c r="P302" s="39">
        <v>0</v>
      </c>
      <c r="Q302" s="37">
        <v>30000</v>
      </c>
      <c r="R302" s="37">
        <v>0</v>
      </c>
      <c r="S302" s="37"/>
      <c r="T302" s="37"/>
      <c r="U302" s="37"/>
      <c r="V302" s="59">
        <f t="shared" si="20"/>
        <v>150000</v>
      </c>
      <c r="W302" s="60">
        <f t="shared" si="21"/>
        <v>0.375</v>
      </c>
      <c r="X302" s="60">
        <f t="shared" si="22"/>
        <v>5</v>
      </c>
      <c r="Y302" s="60">
        <f t="shared" si="23"/>
        <v>1</v>
      </c>
    </row>
    <row r="303" spans="1:25">
      <c r="A303" s="12">
        <v>299</v>
      </c>
      <c r="B303" s="16" t="s">
        <v>630</v>
      </c>
      <c r="C303" s="16">
        <v>1143849172</v>
      </c>
      <c r="D303" s="16">
        <v>3182304776</v>
      </c>
      <c r="E303" s="12" t="s">
        <v>358</v>
      </c>
      <c r="F303" s="12"/>
      <c r="G303" s="13"/>
      <c r="H303" s="14"/>
      <c r="I303" s="15" t="s">
        <v>116</v>
      </c>
      <c r="J303" s="37">
        <v>400000</v>
      </c>
      <c r="K303" s="37">
        <v>400000</v>
      </c>
      <c r="L303" s="37">
        <v>400000</v>
      </c>
      <c r="M303" s="37">
        <v>0</v>
      </c>
      <c r="N303" s="39">
        <v>0</v>
      </c>
      <c r="O303" s="37">
        <v>0</v>
      </c>
      <c r="P303" s="39">
        <v>0</v>
      </c>
      <c r="Q303" s="37">
        <v>0</v>
      </c>
      <c r="R303" s="37">
        <v>0</v>
      </c>
      <c r="S303" s="37"/>
      <c r="T303" s="37"/>
      <c r="U303" s="37"/>
      <c r="V303" s="59">
        <f t="shared" si="20"/>
        <v>1200000</v>
      </c>
      <c r="W303" s="60">
        <f t="shared" si="21"/>
        <v>3</v>
      </c>
      <c r="X303" s="60">
        <f t="shared" si="22"/>
        <v>3</v>
      </c>
      <c r="Y303" s="60">
        <f t="shared" si="23"/>
        <v>3</v>
      </c>
    </row>
    <row r="304" spans="1:25">
      <c r="A304" s="12">
        <v>300</v>
      </c>
      <c r="B304" s="16" t="s">
        <v>631</v>
      </c>
      <c r="C304" s="16">
        <v>1003932454</v>
      </c>
      <c r="D304" s="16">
        <v>3146181227</v>
      </c>
      <c r="E304" s="12" t="s">
        <v>257</v>
      </c>
      <c r="F304" s="12"/>
      <c r="G304" s="13"/>
      <c r="H304" s="14"/>
      <c r="I304" s="15" t="s">
        <v>116</v>
      </c>
      <c r="J304" s="37">
        <v>400000</v>
      </c>
      <c r="K304" s="37">
        <v>0</v>
      </c>
      <c r="L304" s="37">
        <v>0</v>
      </c>
      <c r="M304" s="37">
        <v>0</v>
      </c>
      <c r="N304" s="39">
        <v>0</v>
      </c>
      <c r="O304" s="37">
        <v>0</v>
      </c>
      <c r="P304" s="39">
        <v>0</v>
      </c>
      <c r="Q304" s="37">
        <v>0</v>
      </c>
      <c r="R304" s="37">
        <v>0</v>
      </c>
      <c r="S304" s="37"/>
      <c r="T304" s="37"/>
      <c r="U304" s="37"/>
      <c r="V304" s="59">
        <f t="shared" si="20"/>
        <v>400000</v>
      </c>
      <c r="W304" s="60">
        <f t="shared" si="21"/>
        <v>1</v>
      </c>
      <c r="X304" s="60">
        <f t="shared" si="22"/>
        <v>1</v>
      </c>
      <c r="Y304" s="60">
        <f t="shared" si="23"/>
        <v>1</v>
      </c>
    </row>
    <row r="305" spans="1:25">
      <c r="A305" s="12">
        <v>301</v>
      </c>
      <c r="B305" s="16" t="s">
        <v>638</v>
      </c>
      <c r="C305" s="16">
        <v>1006365217</v>
      </c>
      <c r="D305" s="16"/>
      <c r="E305" s="12" t="s">
        <v>729</v>
      </c>
      <c r="F305" s="12"/>
      <c r="G305" s="13"/>
      <c r="H305" s="14"/>
      <c r="I305" s="15" t="s">
        <v>116</v>
      </c>
      <c r="J305" s="37">
        <v>0</v>
      </c>
      <c r="K305" s="37">
        <v>400000</v>
      </c>
      <c r="L305" s="37">
        <v>0</v>
      </c>
      <c r="M305" s="37">
        <v>0</v>
      </c>
      <c r="N305" s="39">
        <v>0</v>
      </c>
      <c r="O305" s="37">
        <v>0</v>
      </c>
      <c r="P305" s="39">
        <v>0</v>
      </c>
      <c r="Q305" s="37">
        <v>0</v>
      </c>
      <c r="R305" s="37">
        <v>0</v>
      </c>
      <c r="S305" s="37"/>
      <c r="T305" s="37"/>
      <c r="U305" s="37"/>
      <c r="V305" s="59">
        <f t="shared" si="19"/>
        <v>400000</v>
      </c>
      <c r="W305" s="60">
        <f t="shared" si="16"/>
        <v>1</v>
      </c>
      <c r="X305" s="60">
        <f t="shared" ref="X305" si="24">COUNTIF(J305:U305,"&gt;0")</f>
        <v>1</v>
      </c>
      <c r="Y305" s="60">
        <f t="shared" si="18"/>
        <v>1</v>
      </c>
    </row>
    <row r="306" spans="1:25">
      <c r="A306" s="12">
        <v>302</v>
      </c>
      <c r="B306" s="16" t="s">
        <v>639</v>
      </c>
      <c r="C306" s="16">
        <v>1017157887</v>
      </c>
      <c r="D306" s="16">
        <v>3205977157</v>
      </c>
      <c r="E306" s="12" t="s">
        <v>230</v>
      </c>
      <c r="F306" s="12"/>
      <c r="G306" s="13"/>
      <c r="H306" s="14"/>
      <c r="I306" s="15" t="s">
        <v>116</v>
      </c>
      <c r="J306" s="37">
        <v>0</v>
      </c>
      <c r="K306" s="37">
        <v>400000</v>
      </c>
      <c r="L306" s="37">
        <v>400000</v>
      </c>
      <c r="M306" s="37">
        <v>0</v>
      </c>
      <c r="N306" s="39">
        <v>0</v>
      </c>
      <c r="O306" s="37">
        <v>400000</v>
      </c>
      <c r="P306" s="39">
        <v>0</v>
      </c>
      <c r="Q306" s="37">
        <v>1200000</v>
      </c>
      <c r="R306" s="37">
        <v>0</v>
      </c>
      <c r="S306" s="37"/>
      <c r="T306" s="37"/>
      <c r="U306" s="37"/>
      <c r="V306" s="59">
        <f t="shared" si="19"/>
        <v>2400000</v>
      </c>
      <c r="W306" s="60">
        <f t="shared" ref="W306:W324" si="25">V306/400000</f>
        <v>6</v>
      </c>
      <c r="X306" s="60">
        <f t="shared" ref="X306:X324" si="26">COUNTIF(J306:U306,"&gt;0")</f>
        <v>4</v>
      </c>
      <c r="Y306" s="60">
        <f t="shared" ref="Y306:Y324" si="27">ROUNDUP(W306,0)</f>
        <v>6</v>
      </c>
    </row>
    <row r="307" spans="1:25">
      <c r="A307" s="12">
        <v>303</v>
      </c>
      <c r="B307" s="16" t="s">
        <v>640</v>
      </c>
      <c r="C307" s="16">
        <v>43679785</v>
      </c>
      <c r="D307" s="16">
        <v>3146218974</v>
      </c>
      <c r="E307" s="12" t="s">
        <v>253</v>
      </c>
      <c r="F307" s="12"/>
      <c r="G307" s="13"/>
      <c r="H307" s="14"/>
      <c r="I307" s="15" t="s">
        <v>116</v>
      </c>
      <c r="J307" s="37">
        <v>0</v>
      </c>
      <c r="K307" s="37">
        <v>800000</v>
      </c>
      <c r="L307" s="37">
        <v>400000</v>
      </c>
      <c r="M307" s="37">
        <v>0</v>
      </c>
      <c r="N307" s="39">
        <v>400000</v>
      </c>
      <c r="O307" s="37">
        <v>400000</v>
      </c>
      <c r="P307" s="39">
        <v>400000</v>
      </c>
      <c r="Q307" s="37">
        <v>400000</v>
      </c>
      <c r="R307" s="37">
        <v>0</v>
      </c>
      <c r="S307" s="37"/>
      <c r="T307" s="37"/>
      <c r="U307" s="37"/>
      <c r="V307" s="59">
        <f t="shared" si="19"/>
        <v>2800000</v>
      </c>
      <c r="W307" s="60">
        <f t="shared" si="25"/>
        <v>7</v>
      </c>
      <c r="X307" s="60">
        <f t="shared" si="26"/>
        <v>6</v>
      </c>
      <c r="Y307" s="60">
        <f t="shared" si="27"/>
        <v>7</v>
      </c>
    </row>
    <row r="308" spans="1:25">
      <c r="A308" s="12">
        <v>304</v>
      </c>
      <c r="B308" s="16" t="s">
        <v>641</v>
      </c>
      <c r="C308" s="16">
        <v>11811323</v>
      </c>
      <c r="D308" s="16">
        <v>3202786408</v>
      </c>
      <c r="E308" s="12" t="s">
        <v>642</v>
      </c>
      <c r="F308" s="12"/>
      <c r="G308" s="13"/>
      <c r="H308" s="14"/>
      <c r="I308" s="15" t="s">
        <v>116</v>
      </c>
      <c r="J308" s="37">
        <v>0</v>
      </c>
      <c r="K308" s="37">
        <v>200000</v>
      </c>
      <c r="L308" s="37">
        <v>200000</v>
      </c>
      <c r="M308" s="37">
        <v>400000</v>
      </c>
      <c r="N308" s="39">
        <v>400000</v>
      </c>
      <c r="O308" s="37">
        <v>0</v>
      </c>
      <c r="P308" s="39">
        <v>400000</v>
      </c>
      <c r="Q308" s="37">
        <v>0</v>
      </c>
      <c r="R308" s="37">
        <v>400000</v>
      </c>
      <c r="S308" s="37"/>
      <c r="T308" s="37"/>
      <c r="U308" s="37"/>
      <c r="V308" s="59">
        <f t="shared" si="19"/>
        <v>2000000</v>
      </c>
      <c r="W308" s="60">
        <f t="shared" si="25"/>
        <v>5</v>
      </c>
      <c r="X308" s="60">
        <f t="shared" si="26"/>
        <v>6</v>
      </c>
      <c r="Y308" s="60">
        <f t="shared" si="27"/>
        <v>5</v>
      </c>
    </row>
    <row r="309" spans="1:25">
      <c r="A309" s="12">
        <v>305</v>
      </c>
      <c r="B309" s="16" t="s">
        <v>643</v>
      </c>
      <c r="C309" s="16"/>
      <c r="D309" s="16"/>
      <c r="E309" s="12" t="s">
        <v>441</v>
      </c>
      <c r="F309" s="12"/>
      <c r="G309" s="13"/>
      <c r="H309" s="14"/>
      <c r="I309" s="15" t="s">
        <v>116</v>
      </c>
      <c r="J309" s="37">
        <v>0</v>
      </c>
      <c r="K309" s="37">
        <v>805000</v>
      </c>
      <c r="L309" s="37">
        <v>660000</v>
      </c>
      <c r="M309" s="37">
        <v>820000</v>
      </c>
      <c r="N309" s="39">
        <v>640000</v>
      </c>
      <c r="O309" s="37">
        <v>795000</v>
      </c>
      <c r="P309" s="39">
        <v>1120000</v>
      </c>
      <c r="Q309" s="37">
        <v>850000</v>
      </c>
      <c r="R309" s="37">
        <v>0</v>
      </c>
      <c r="S309" s="37"/>
      <c r="T309" s="37"/>
      <c r="U309" s="37"/>
      <c r="V309" s="59">
        <f t="shared" si="19"/>
        <v>5690000</v>
      </c>
      <c r="W309" s="60">
        <f t="shared" si="25"/>
        <v>14.225</v>
      </c>
      <c r="X309" s="60">
        <f t="shared" si="26"/>
        <v>7</v>
      </c>
      <c r="Y309" s="60">
        <f t="shared" si="27"/>
        <v>15</v>
      </c>
    </row>
    <row r="310" spans="1:25">
      <c r="A310" s="12">
        <v>306</v>
      </c>
      <c r="B310" s="16" t="s">
        <v>644</v>
      </c>
      <c r="C310" s="16"/>
      <c r="D310" s="16" t="s">
        <v>645</v>
      </c>
      <c r="E310" s="12" t="s">
        <v>646</v>
      </c>
      <c r="F310" s="12"/>
      <c r="G310" s="13"/>
      <c r="H310" s="14" t="s">
        <v>4</v>
      </c>
      <c r="I310" s="15" t="s">
        <v>116</v>
      </c>
      <c r="J310" s="37">
        <v>0</v>
      </c>
      <c r="K310" s="37">
        <v>400000</v>
      </c>
      <c r="L310" s="37">
        <v>400000</v>
      </c>
      <c r="M310" s="37">
        <v>400000</v>
      </c>
      <c r="N310" s="39">
        <v>0</v>
      </c>
      <c r="O310" s="37">
        <v>400000</v>
      </c>
      <c r="P310" s="39">
        <v>400000</v>
      </c>
      <c r="Q310" s="37">
        <v>0</v>
      </c>
      <c r="R310" s="37">
        <v>0</v>
      </c>
      <c r="S310" s="37"/>
      <c r="T310" s="37"/>
      <c r="U310" s="37"/>
      <c r="V310" s="59">
        <f t="shared" si="19"/>
        <v>2000000</v>
      </c>
      <c r="W310" s="60">
        <f t="shared" si="25"/>
        <v>5</v>
      </c>
      <c r="X310" s="60">
        <f t="shared" si="26"/>
        <v>5</v>
      </c>
      <c r="Y310" s="60">
        <f t="shared" si="27"/>
        <v>5</v>
      </c>
    </row>
    <row r="311" spans="1:25">
      <c r="A311" s="12">
        <v>307</v>
      </c>
      <c r="B311" s="16" t="s">
        <v>647</v>
      </c>
      <c r="C311" s="16"/>
      <c r="D311" s="16" t="s">
        <v>648</v>
      </c>
      <c r="E311" s="12" t="s">
        <v>646</v>
      </c>
      <c r="F311" s="12"/>
      <c r="G311" s="13"/>
      <c r="H311" s="14" t="s">
        <v>4</v>
      </c>
      <c r="I311" s="15" t="s">
        <v>116</v>
      </c>
      <c r="J311" s="37">
        <v>0</v>
      </c>
      <c r="K311" s="37">
        <v>400000</v>
      </c>
      <c r="L311" s="37">
        <v>400000</v>
      </c>
      <c r="M311" s="37">
        <v>400000</v>
      </c>
      <c r="N311" s="39">
        <v>0</v>
      </c>
      <c r="O311" s="37">
        <v>400000</v>
      </c>
      <c r="P311" s="39">
        <v>400000</v>
      </c>
      <c r="Q311" s="37">
        <v>0</v>
      </c>
      <c r="R311" s="37">
        <v>0</v>
      </c>
      <c r="S311" s="37"/>
      <c r="T311" s="37"/>
      <c r="U311" s="37"/>
      <c r="V311" s="59">
        <f t="shared" si="19"/>
        <v>2000000</v>
      </c>
      <c r="W311" s="60">
        <f t="shared" si="25"/>
        <v>5</v>
      </c>
      <c r="X311" s="60">
        <f t="shared" si="26"/>
        <v>5</v>
      </c>
      <c r="Y311" s="60">
        <f t="shared" si="27"/>
        <v>5</v>
      </c>
    </row>
    <row r="312" spans="1:25">
      <c r="A312" s="12">
        <v>308</v>
      </c>
      <c r="B312" s="16" t="s">
        <v>649</v>
      </c>
      <c r="C312" s="16"/>
      <c r="D312" s="16"/>
      <c r="E312" s="12" t="s">
        <v>348</v>
      </c>
      <c r="F312" s="12"/>
      <c r="G312" s="13"/>
      <c r="H312" s="14"/>
      <c r="I312" s="15" t="s">
        <v>116</v>
      </c>
      <c r="J312" s="37">
        <v>0</v>
      </c>
      <c r="K312" s="37">
        <v>100000</v>
      </c>
      <c r="L312" s="37">
        <v>0</v>
      </c>
      <c r="M312" s="37">
        <v>0</v>
      </c>
      <c r="N312" s="39">
        <v>0</v>
      </c>
      <c r="O312" s="37">
        <v>0</v>
      </c>
      <c r="P312" s="39">
        <v>0</v>
      </c>
      <c r="Q312" s="37">
        <v>0</v>
      </c>
      <c r="R312" s="37">
        <v>0</v>
      </c>
      <c r="S312" s="37"/>
      <c r="T312" s="37"/>
      <c r="U312" s="37"/>
      <c r="V312" s="59">
        <f t="shared" si="19"/>
        <v>100000</v>
      </c>
      <c r="W312" s="60">
        <f t="shared" si="25"/>
        <v>0.25</v>
      </c>
      <c r="X312" s="60">
        <f t="shared" si="26"/>
        <v>1</v>
      </c>
      <c r="Y312" s="60">
        <f t="shared" si="27"/>
        <v>1</v>
      </c>
    </row>
    <row r="313" spans="1:25">
      <c r="A313" s="12">
        <v>309</v>
      </c>
      <c r="B313" s="16" t="s">
        <v>650</v>
      </c>
      <c r="C313" s="16"/>
      <c r="D313" s="16"/>
      <c r="E313" s="12" t="s">
        <v>257</v>
      </c>
      <c r="F313" s="12"/>
      <c r="G313" s="13"/>
      <c r="H313" s="14"/>
      <c r="I313" s="15" t="s">
        <v>116</v>
      </c>
      <c r="J313" s="37">
        <v>0</v>
      </c>
      <c r="K313" s="37">
        <v>4800000</v>
      </c>
      <c r="L313" s="37">
        <v>0</v>
      </c>
      <c r="M313" s="37">
        <v>0</v>
      </c>
      <c r="N313" s="39">
        <v>0</v>
      </c>
      <c r="O313" s="37">
        <v>0</v>
      </c>
      <c r="P313" s="39">
        <v>4800000</v>
      </c>
      <c r="Q313" s="37">
        <v>0</v>
      </c>
      <c r="R313" s="37">
        <v>0</v>
      </c>
      <c r="S313" s="37"/>
      <c r="T313" s="37"/>
      <c r="U313" s="37"/>
      <c r="V313" s="59">
        <f t="shared" si="19"/>
        <v>9600000</v>
      </c>
      <c r="W313" s="60">
        <f t="shared" si="25"/>
        <v>24</v>
      </c>
      <c r="X313" s="60">
        <f t="shared" si="26"/>
        <v>2</v>
      </c>
      <c r="Y313" s="60">
        <f t="shared" si="27"/>
        <v>24</v>
      </c>
    </row>
    <row r="314" spans="1:25">
      <c r="A314" s="12">
        <v>310</v>
      </c>
      <c r="B314" s="16" t="s">
        <v>651</v>
      </c>
      <c r="C314" s="16"/>
      <c r="D314" s="16"/>
      <c r="E314" s="12" t="s">
        <v>346</v>
      </c>
      <c r="F314" s="12"/>
      <c r="G314" s="13"/>
      <c r="H314" s="14"/>
      <c r="I314" s="15" t="s">
        <v>116</v>
      </c>
      <c r="J314" s="37">
        <v>0</v>
      </c>
      <c r="K314" s="37">
        <v>400000</v>
      </c>
      <c r="L314" s="37">
        <v>0</v>
      </c>
      <c r="M314" s="37">
        <v>400000</v>
      </c>
      <c r="N314" s="39">
        <v>0</v>
      </c>
      <c r="O314" s="37">
        <v>400000</v>
      </c>
      <c r="P314" s="39">
        <v>800000</v>
      </c>
      <c r="Q314" s="37">
        <v>0</v>
      </c>
      <c r="R314" s="37">
        <v>0</v>
      </c>
      <c r="S314" s="37"/>
      <c r="T314" s="37"/>
      <c r="U314" s="37"/>
      <c r="V314" s="59">
        <f t="shared" si="19"/>
        <v>2000000</v>
      </c>
      <c r="W314" s="60">
        <f t="shared" si="25"/>
        <v>5</v>
      </c>
      <c r="X314" s="60">
        <f t="shared" si="26"/>
        <v>4</v>
      </c>
      <c r="Y314" s="60">
        <f t="shared" si="27"/>
        <v>5</v>
      </c>
    </row>
    <row r="315" spans="1:25">
      <c r="A315" s="12">
        <v>311</v>
      </c>
      <c r="B315" s="16" t="s">
        <v>652</v>
      </c>
      <c r="C315" s="16"/>
      <c r="D315" s="16"/>
      <c r="E315" s="12" t="s">
        <v>239</v>
      </c>
      <c r="F315" s="12"/>
      <c r="G315" s="13"/>
      <c r="H315" s="14"/>
      <c r="I315" s="15" t="s">
        <v>116</v>
      </c>
      <c r="J315" s="37">
        <v>0</v>
      </c>
      <c r="K315" s="37">
        <v>400000</v>
      </c>
      <c r="L315" s="37">
        <v>0</v>
      </c>
      <c r="M315" s="37">
        <v>0</v>
      </c>
      <c r="N315" s="39">
        <v>0</v>
      </c>
      <c r="O315" s="37">
        <v>0</v>
      </c>
      <c r="P315" s="39">
        <v>0</v>
      </c>
      <c r="Q315" s="37">
        <v>0</v>
      </c>
      <c r="R315" s="37">
        <v>0</v>
      </c>
      <c r="S315" s="37"/>
      <c r="T315" s="37"/>
      <c r="U315" s="37"/>
      <c r="V315" s="59">
        <f t="shared" si="19"/>
        <v>400000</v>
      </c>
      <c r="W315" s="60">
        <f t="shared" si="25"/>
        <v>1</v>
      </c>
      <c r="X315" s="60">
        <f t="shared" si="26"/>
        <v>1</v>
      </c>
      <c r="Y315" s="60">
        <f t="shared" si="27"/>
        <v>1</v>
      </c>
    </row>
    <row r="316" spans="1:25">
      <c r="A316" s="12">
        <v>312</v>
      </c>
      <c r="B316" s="16" t="s">
        <v>653</v>
      </c>
      <c r="C316" s="16">
        <v>1092730946</v>
      </c>
      <c r="D316" s="16">
        <v>3112956743</v>
      </c>
      <c r="E316" s="12" t="s">
        <v>344</v>
      </c>
      <c r="F316" s="12"/>
      <c r="G316" s="13"/>
      <c r="H316" s="14"/>
      <c r="I316" s="15" t="s">
        <v>116</v>
      </c>
      <c r="J316" s="37">
        <v>0</v>
      </c>
      <c r="K316" s="37">
        <v>400000</v>
      </c>
      <c r="L316" s="37">
        <v>0</v>
      </c>
      <c r="M316" s="37">
        <v>0</v>
      </c>
      <c r="N316" s="39">
        <v>0</v>
      </c>
      <c r="O316" s="37">
        <v>0</v>
      </c>
      <c r="P316" s="39">
        <v>0</v>
      </c>
      <c r="Q316" s="37">
        <v>400000</v>
      </c>
      <c r="R316" s="37">
        <v>240000</v>
      </c>
      <c r="S316" s="37"/>
      <c r="T316" s="37"/>
      <c r="U316" s="37"/>
      <c r="V316" s="59">
        <f t="shared" si="19"/>
        <v>1040000</v>
      </c>
      <c r="W316" s="60">
        <f t="shared" si="25"/>
        <v>2.6</v>
      </c>
      <c r="X316" s="60">
        <f t="shared" si="26"/>
        <v>3</v>
      </c>
      <c r="Y316" s="60">
        <f t="shared" si="27"/>
        <v>3</v>
      </c>
    </row>
    <row r="317" spans="1:25">
      <c r="A317" s="12">
        <v>313</v>
      </c>
      <c r="B317" s="16" t="s">
        <v>654</v>
      </c>
      <c r="C317" s="16"/>
      <c r="D317" s="16"/>
      <c r="E317" s="12" t="s">
        <v>253</v>
      </c>
      <c r="F317" s="12"/>
      <c r="G317" s="13"/>
      <c r="H317" s="14"/>
      <c r="I317" s="15" t="s">
        <v>116</v>
      </c>
      <c r="J317" s="37">
        <v>0</v>
      </c>
      <c r="K317" s="37">
        <v>100000</v>
      </c>
      <c r="L317" s="37">
        <v>0</v>
      </c>
      <c r="M317" s="37">
        <v>0</v>
      </c>
      <c r="N317" s="39">
        <v>0</v>
      </c>
      <c r="O317" s="37">
        <v>0</v>
      </c>
      <c r="P317" s="39">
        <v>0</v>
      </c>
      <c r="Q317" s="37">
        <v>0</v>
      </c>
      <c r="R317" s="37">
        <v>0</v>
      </c>
      <c r="S317" s="37"/>
      <c r="T317" s="37"/>
      <c r="U317" s="37"/>
      <c r="V317" s="59">
        <f t="shared" si="19"/>
        <v>100000</v>
      </c>
      <c r="W317" s="60">
        <f t="shared" si="25"/>
        <v>0.25</v>
      </c>
      <c r="X317" s="60">
        <f t="shared" si="26"/>
        <v>1</v>
      </c>
      <c r="Y317" s="60">
        <f t="shared" si="27"/>
        <v>1</v>
      </c>
    </row>
    <row r="318" spans="1:25">
      <c r="A318" s="12">
        <v>314</v>
      </c>
      <c r="B318" s="16" t="s">
        <v>655</v>
      </c>
      <c r="C318" s="16"/>
      <c r="D318" s="16"/>
      <c r="E318" s="12" t="s">
        <v>253</v>
      </c>
      <c r="F318" s="12"/>
      <c r="G318" s="13"/>
      <c r="H318" s="14"/>
      <c r="I318" s="15" t="s">
        <v>116</v>
      </c>
      <c r="J318" s="37">
        <v>0</v>
      </c>
      <c r="K318" s="37">
        <v>100000</v>
      </c>
      <c r="L318" s="37">
        <v>0</v>
      </c>
      <c r="M318" s="37">
        <v>0</v>
      </c>
      <c r="N318" s="39">
        <v>0</v>
      </c>
      <c r="O318" s="37">
        <v>0</v>
      </c>
      <c r="P318" s="39">
        <v>0</v>
      </c>
      <c r="Q318" s="37">
        <v>0</v>
      </c>
      <c r="R318" s="37">
        <v>0</v>
      </c>
      <c r="S318" s="37"/>
      <c r="T318" s="37"/>
      <c r="U318" s="37"/>
      <c r="V318" s="59">
        <f t="shared" si="19"/>
        <v>100000</v>
      </c>
      <c r="W318" s="60">
        <f t="shared" si="25"/>
        <v>0.25</v>
      </c>
      <c r="X318" s="60">
        <f t="shared" si="26"/>
        <v>1</v>
      </c>
      <c r="Y318" s="60">
        <f t="shared" si="27"/>
        <v>1</v>
      </c>
    </row>
    <row r="319" spans="1:25">
      <c r="A319" s="12">
        <v>315</v>
      </c>
      <c r="B319" s="16" t="s">
        <v>656</v>
      </c>
      <c r="C319" s="16"/>
      <c r="D319" s="16"/>
      <c r="E319" s="12" t="s">
        <v>253</v>
      </c>
      <c r="F319" s="12"/>
      <c r="G319" s="13"/>
      <c r="H319" s="14"/>
      <c r="I319" s="15" t="s">
        <v>116</v>
      </c>
      <c r="J319" s="37">
        <v>0</v>
      </c>
      <c r="K319" s="37">
        <v>100000</v>
      </c>
      <c r="L319" s="37">
        <v>0</v>
      </c>
      <c r="M319" s="37">
        <v>0</v>
      </c>
      <c r="N319" s="39">
        <v>0</v>
      </c>
      <c r="O319" s="37">
        <v>0</v>
      </c>
      <c r="P319" s="39">
        <v>0</v>
      </c>
      <c r="Q319" s="37">
        <v>0</v>
      </c>
      <c r="R319" s="37">
        <v>0</v>
      </c>
      <c r="S319" s="37"/>
      <c r="T319" s="37"/>
      <c r="U319" s="37"/>
      <c r="V319" s="59">
        <f t="shared" si="19"/>
        <v>100000</v>
      </c>
      <c r="W319" s="60">
        <f t="shared" si="25"/>
        <v>0.25</v>
      </c>
      <c r="X319" s="60">
        <f t="shared" si="26"/>
        <v>1</v>
      </c>
      <c r="Y319" s="60">
        <f t="shared" si="27"/>
        <v>1</v>
      </c>
    </row>
    <row r="320" spans="1:25">
      <c r="A320" s="12">
        <v>316</v>
      </c>
      <c r="B320" s="16" t="s">
        <v>657</v>
      </c>
      <c r="C320" s="16">
        <v>1036943880</v>
      </c>
      <c r="D320" s="16">
        <v>3218969540</v>
      </c>
      <c r="E320" s="12" t="s">
        <v>352</v>
      </c>
      <c r="F320" s="12"/>
      <c r="G320" s="13"/>
      <c r="H320" s="14"/>
      <c r="I320" s="15" t="s">
        <v>116</v>
      </c>
      <c r="J320" s="37">
        <v>0</v>
      </c>
      <c r="K320" s="37">
        <v>400000</v>
      </c>
      <c r="L320" s="37">
        <v>0</v>
      </c>
      <c r="M320" s="37">
        <v>400000</v>
      </c>
      <c r="N320" s="39">
        <v>0</v>
      </c>
      <c r="O320" s="37">
        <v>0</v>
      </c>
      <c r="P320" s="39">
        <v>0</v>
      </c>
      <c r="Q320" s="37">
        <v>0</v>
      </c>
      <c r="R320" s="37">
        <v>0</v>
      </c>
      <c r="S320" s="37"/>
      <c r="T320" s="37"/>
      <c r="U320" s="37"/>
      <c r="V320" s="59">
        <f t="shared" si="19"/>
        <v>800000</v>
      </c>
      <c r="W320" s="60">
        <f t="shared" si="25"/>
        <v>2</v>
      </c>
      <c r="X320" s="60">
        <f t="shared" si="26"/>
        <v>2</v>
      </c>
      <c r="Y320" s="60">
        <f t="shared" si="27"/>
        <v>2</v>
      </c>
    </row>
    <row r="321" spans="1:25">
      <c r="A321" s="12">
        <v>317</v>
      </c>
      <c r="B321" s="16" t="s">
        <v>658</v>
      </c>
      <c r="C321" s="16"/>
      <c r="D321" s="16"/>
      <c r="E321" s="12" t="s">
        <v>345</v>
      </c>
      <c r="F321" s="12"/>
      <c r="G321" s="13"/>
      <c r="H321" s="14"/>
      <c r="I321" s="15" t="s">
        <v>116</v>
      </c>
      <c r="J321" s="37">
        <v>0</v>
      </c>
      <c r="K321" s="37">
        <v>800000</v>
      </c>
      <c r="L321" s="37">
        <v>800000</v>
      </c>
      <c r="M321" s="37">
        <v>0</v>
      </c>
      <c r="N321" s="39">
        <v>0</v>
      </c>
      <c r="O321" s="37">
        <v>0</v>
      </c>
      <c r="P321" s="39">
        <v>0</v>
      </c>
      <c r="Q321" s="37">
        <v>400000</v>
      </c>
      <c r="R321" s="37">
        <v>0</v>
      </c>
      <c r="S321" s="37"/>
      <c r="T321" s="37"/>
      <c r="U321" s="37"/>
      <c r="V321" s="59">
        <f t="shared" si="19"/>
        <v>2000000</v>
      </c>
      <c r="W321" s="60">
        <f t="shared" si="25"/>
        <v>5</v>
      </c>
      <c r="X321" s="60">
        <f t="shared" si="26"/>
        <v>3</v>
      </c>
      <c r="Y321" s="60">
        <f t="shared" si="27"/>
        <v>5</v>
      </c>
    </row>
    <row r="322" spans="1:25">
      <c r="A322" s="12">
        <v>318</v>
      </c>
      <c r="B322" s="16" t="s">
        <v>659</v>
      </c>
      <c r="C322" s="16">
        <v>1075304981</v>
      </c>
      <c r="D322" s="16"/>
      <c r="E322" s="12" t="s">
        <v>578</v>
      </c>
      <c r="F322" s="12"/>
      <c r="G322" s="13"/>
      <c r="H322" s="14"/>
      <c r="I322" s="15" t="s">
        <v>116</v>
      </c>
      <c r="J322" s="37">
        <v>0</v>
      </c>
      <c r="K322" s="37">
        <v>0</v>
      </c>
      <c r="L322" s="37">
        <v>400000</v>
      </c>
      <c r="M322" s="37">
        <v>0</v>
      </c>
      <c r="N322" s="39">
        <v>400000</v>
      </c>
      <c r="O322" s="37">
        <v>400000</v>
      </c>
      <c r="P322" s="39">
        <v>0</v>
      </c>
      <c r="Q322" s="37">
        <v>0</v>
      </c>
      <c r="R322" s="37">
        <v>400000</v>
      </c>
      <c r="S322" s="37"/>
      <c r="T322" s="37"/>
      <c r="U322" s="37"/>
      <c r="V322" s="59">
        <f t="shared" si="19"/>
        <v>1600000</v>
      </c>
      <c r="W322" s="60">
        <f t="shared" si="25"/>
        <v>4</v>
      </c>
      <c r="X322" s="60">
        <f t="shared" si="26"/>
        <v>4</v>
      </c>
      <c r="Y322" s="60">
        <f t="shared" si="27"/>
        <v>4</v>
      </c>
    </row>
    <row r="323" spans="1:25">
      <c r="A323" s="12">
        <v>319</v>
      </c>
      <c r="B323" s="16" t="s">
        <v>660</v>
      </c>
      <c r="C323" s="16"/>
      <c r="D323" s="16"/>
      <c r="E323" s="12" t="s">
        <v>257</v>
      </c>
      <c r="F323" s="12"/>
      <c r="G323" s="13"/>
      <c r="H323" s="14"/>
      <c r="I323" s="15" t="s">
        <v>116</v>
      </c>
      <c r="J323" s="37">
        <v>0</v>
      </c>
      <c r="K323" s="37">
        <v>0</v>
      </c>
      <c r="L323" s="37">
        <v>400000</v>
      </c>
      <c r="M323" s="37">
        <v>400000</v>
      </c>
      <c r="N323" s="39">
        <v>0</v>
      </c>
      <c r="O323" s="37">
        <v>0</v>
      </c>
      <c r="P323" s="39">
        <v>0</v>
      </c>
      <c r="Q323" s="37">
        <v>400000</v>
      </c>
      <c r="R323" s="37">
        <v>400000</v>
      </c>
      <c r="S323" s="37"/>
      <c r="T323" s="37"/>
      <c r="U323" s="37"/>
      <c r="V323" s="59">
        <f t="shared" si="19"/>
        <v>1600000</v>
      </c>
      <c r="W323" s="60">
        <f t="shared" si="25"/>
        <v>4</v>
      </c>
      <c r="X323" s="60">
        <f t="shared" si="26"/>
        <v>4</v>
      </c>
      <c r="Y323" s="60">
        <f t="shared" si="27"/>
        <v>4</v>
      </c>
    </row>
    <row r="324" spans="1:25">
      <c r="A324" s="12">
        <v>320</v>
      </c>
      <c r="B324" s="16" t="s">
        <v>661</v>
      </c>
      <c r="C324" s="16"/>
      <c r="D324" s="16"/>
      <c r="E324" s="12" t="s">
        <v>618</v>
      </c>
      <c r="F324" s="12"/>
      <c r="G324" s="13"/>
      <c r="H324" s="14"/>
      <c r="I324" s="15" t="s">
        <v>116</v>
      </c>
      <c r="J324" s="37">
        <v>0</v>
      </c>
      <c r="K324" s="37">
        <v>0</v>
      </c>
      <c r="L324" s="37">
        <v>600000</v>
      </c>
      <c r="M324" s="37">
        <v>0</v>
      </c>
      <c r="N324" s="39">
        <v>0</v>
      </c>
      <c r="O324" s="37">
        <v>0</v>
      </c>
      <c r="P324" s="39">
        <v>0</v>
      </c>
      <c r="Q324" s="37">
        <v>0</v>
      </c>
      <c r="R324" s="37">
        <v>0</v>
      </c>
      <c r="S324" s="37"/>
      <c r="T324" s="37"/>
      <c r="U324" s="37"/>
      <c r="V324" s="59">
        <f t="shared" si="19"/>
        <v>600000</v>
      </c>
      <c r="W324" s="60">
        <f t="shared" si="25"/>
        <v>1.5</v>
      </c>
      <c r="X324" s="60">
        <f t="shared" si="26"/>
        <v>1</v>
      </c>
      <c r="Y324" s="60">
        <f t="shared" si="27"/>
        <v>2</v>
      </c>
    </row>
    <row r="325" spans="1:25">
      <c r="A325" s="12">
        <v>321</v>
      </c>
      <c r="B325" s="16" t="s">
        <v>669</v>
      </c>
      <c r="C325" s="16"/>
      <c r="D325" s="16"/>
      <c r="E325" s="12" t="s">
        <v>356</v>
      </c>
      <c r="F325" s="12"/>
      <c r="G325" s="13"/>
      <c r="H325" s="14"/>
      <c r="I325" s="15" t="s">
        <v>116</v>
      </c>
      <c r="J325" s="37">
        <v>0</v>
      </c>
      <c r="K325" s="37">
        <v>400000</v>
      </c>
      <c r="L325" s="37">
        <v>0</v>
      </c>
      <c r="M325" s="37">
        <v>0</v>
      </c>
      <c r="N325" s="39">
        <v>0</v>
      </c>
      <c r="O325" s="37">
        <v>0</v>
      </c>
      <c r="P325" s="39">
        <v>0</v>
      </c>
      <c r="Q325" s="37">
        <v>0</v>
      </c>
      <c r="R325" s="37">
        <v>0</v>
      </c>
      <c r="S325" s="37"/>
      <c r="T325" s="37"/>
      <c r="U325" s="37"/>
      <c r="V325" s="59">
        <f t="shared" ref="V325:V343" si="28">SUM(J325:U325)</f>
        <v>400000</v>
      </c>
      <c r="W325" s="60">
        <f t="shared" ref="W325:W343" si="29">V325/400000</f>
        <v>1</v>
      </c>
      <c r="X325" s="60">
        <f t="shared" ref="X325:X343" si="30">COUNTIF(J325:U325,"&gt;0")</f>
        <v>1</v>
      </c>
      <c r="Y325" s="60">
        <f t="shared" ref="Y325:Y343" si="31">ROUNDUP(W325,0)</f>
        <v>1</v>
      </c>
    </row>
    <row r="326" spans="1:25">
      <c r="A326" s="12">
        <v>322</v>
      </c>
      <c r="B326" s="16" t="s">
        <v>717</v>
      </c>
      <c r="C326" s="16">
        <v>43868812</v>
      </c>
      <c r="D326" s="16">
        <v>3148927758</v>
      </c>
      <c r="E326" s="12" t="s">
        <v>253</v>
      </c>
      <c r="F326" s="12"/>
      <c r="G326" s="13"/>
      <c r="H326" s="14"/>
      <c r="I326" s="15" t="s">
        <v>116</v>
      </c>
      <c r="J326" s="37">
        <v>0</v>
      </c>
      <c r="K326" s="37">
        <v>0</v>
      </c>
      <c r="L326" s="37">
        <v>400000</v>
      </c>
      <c r="M326" s="37">
        <v>400000</v>
      </c>
      <c r="N326" s="39">
        <v>400000</v>
      </c>
      <c r="O326" s="37">
        <v>0</v>
      </c>
      <c r="P326" s="39">
        <v>400000</v>
      </c>
      <c r="Q326" s="37">
        <v>400000</v>
      </c>
      <c r="R326" s="37">
        <v>0</v>
      </c>
      <c r="S326" s="37"/>
      <c r="T326" s="37"/>
      <c r="U326" s="37"/>
      <c r="V326" s="59">
        <f t="shared" ref="V326:V336" si="32">SUM(J326:U326)</f>
        <v>2000000</v>
      </c>
      <c r="W326" s="60">
        <f t="shared" ref="W326:W336" si="33">V326/400000</f>
        <v>5</v>
      </c>
      <c r="X326" s="60">
        <f t="shared" ref="X326:X336" si="34">COUNTIF(J326:U326,"&gt;0")</f>
        <v>5</v>
      </c>
      <c r="Y326" s="60">
        <f t="shared" ref="Y326:Y336" si="35">ROUNDUP(W326,0)</f>
        <v>5</v>
      </c>
    </row>
    <row r="327" spans="1:25">
      <c r="A327" s="12">
        <v>323</v>
      </c>
      <c r="B327" s="16" t="s">
        <v>676</v>
      </c>
      <c r="C327" s="16">
        <v>19308428</v>
      </c>
      <c r="D327" s="16">
        <v>3113742824</v>
      </c>
      <c r="E327" s="12" t="s">
        <v>455</v>
      </c>
      <c r="F327" s="12"/>
      <c r="G327" s="13"/>
      <c r="H327" s="14"/>
      <c r="I327" s="15" t="s">
        <v>116</v>
      </c>
      <c r="J327" s="37">
        <v>0</v>
      </c>
      <c r="K327" s="37">
        <v>0</v>
      </c>
      <c r="L327" s="37">
        <v>0</v>
      </c>
      <c r="M327" s="37">
        <v>400000</v>
      </c>
      <c r="N327" s="39">
        <v>400000</v>
      </c>
      <c r="O327" s="37">
        <v>400000</v>
      </c>
      <c r="P327" s="39">
        <v>0</v>
      </c>
      <c r="Q327" s="37">
        <v>1000000</v>
      </c>
      <c r="R327" s="37">
        <v>0</v>
      </c>
      <c r="S327" s="37"/>
      <c r="T327" s="37"/>
      <c r="U327" s="37"/>
      <c r="V327" s="59">
        <f t="shared" si="32"/>
        <v>2200000</v>
      </c>
      <c r="W327" s="60">
        <f t="shared" si="33"/>
        <v>5.5</v>
      </c>
      <c r="X327" s="60">
        <f t="shared" si="34"/>
        <v>4</v>
      </c>
      <c r="Y327" s="60">
        <f t="shared" si="35"/>
        <v>6</v>
      </c>
    </row>
    <row r="328" spans="1:25">
      <c r="A328" s="12">
        <v>324</v>
      </c>
      <c r="B328" s="16" t="s">
        <v>677</v>
      </c>
      <c r="C328" s="16">
        <v>32491394</v>
      </c>
      <c r="D328" s="16">
        <v>3147816504</v>
      </c>
      <c r="E328" s="12" t="s">
        <v>253</v>
      </c>
      <c r="F328" s="12"/>
      <c r="G328" s="13"/>
      <c r="H328" s="14"/>
      <c r="I328" s="15" t="s">
        <v>116</v>
      </c>
      <c r="J328" s="37">
        <v>0</v>
      </c>
      <c r="K328" s="37">
        <v>0</v>
      </c>
      <c r="L328" s="37">
        <v>0</v>
      </c>
      <c r="M328" s="37">
        <v>400000</v>
      </c>
      <c r="N328" s="39">
        <v>0</v>
      </c>
      <c r="O328" s="37">
        <v>0</v>
      </c>
      <c r="P328" s="39">
        <v>0</v>
      </c>
      <c r="Q328" s="37">
        <v>0</v>
      </c>
      <c r="R328" s="37">
        <v>0</v>
      </c>
      <c r="S328" s="37"/>
      <c r="T328" s="37"/>
      <c r="U328" s="37"/>
      <c r="V328" s="59">
        <f t="shared" si="32"/>
        <v>400000</v>
      </c>
      <c r="W328" s="60">
        <f t="shared" si="33"/>
        <v>1</v>
      </c>
      <c r="X328" s="60">
        <f t="shared" si="34"/>
        <v>1</v>
      </c>
      <c r="Y328" s="60">
        <f t="shared" si="35"/>
        <v>1</v>
      </c>
    </row>
    <row r="329" spans="1:25">
      <c r="A329" s="12">
        <v>325</v>
      </c>
      <c r="B329" s="16" t="s">
        <v>682</v>
      </c>
      <c r="C329" s="16">
        <v>72268623</v>
      </c>
      <c r="D329" s="16"/>
      <c r="E329" s="12" t="s">
        <v>681</v>
      </c>
      <c r="F329" s="12"/>
      <c r="G329" s="13"/>
      <c r="H329" s="14"/>
      <c r="I329" s="15" t="s">
        <v>116</v>
      </c>
      <c r="J329" s="37">
        <v>0</v>
      </c>
      <c r="K329" s="37">
        <v>0</v>
      </c>
      <c r="L329" s="37">
        <v>0</v>
      </c>
      <c r="M329" s="37">
        <v>400000</v>
      </c>
      <c r="N329" s="39">
        <v>0</v>
      </c>
      <c r="O329" s="37">
        <v>400000</v>
      </c>
      <c r="P329" s="39">
        <v>400000</v>
      </c>
      <c r="Q329" s="37">
        <v>0</v>
      </c>
      <c r="R329" s="37">
        <v>0</v>
      </c>
      <c r="S329" s="37"/>
      <c r="T329" s="37"/>
      <c r="U329" s="37"/>
      <c r="V329" s="59">
        <f t="shared" si="32"/>
        <v>1200000</v>
      </c>
      <c r="W329" s="60">
        <f t="shared" si="33"/>
        <v>3</v>
      </c>
      <c r="X329" s="60">
        <f t="shared" si="34"/>
        <v>3</v>
      </c>
      <c r="Y329" s="60">
        <f t="shared" si="35"/>
        <v>3</v>
      </c>
    </row>
    <row r="330" spans="1:25">
      <c r="A330" s="12">
        <v>326</v>
      </c>
      <c r="B330" s="16" t="s">
        <v>683</v>
      </c>
      <c r="C330" s="16">
        <v>72309365</v>
      </c>
      <c r="D330" s="16"/>
      <c r="E330" s="12" t="s">
        <v>681</v>
      </c>
      <c r="F330" s="12"/>
      <c r="G330" s="13"/>
      <c r="H330" s="14"/>
      <c r="I330" s="15" t="s">
        <v>116</v>
      </c>
      <c r="J330" s="37">
        <v>0</v>
      </c>
      <c r="K330" s="37">
        <v>0</v>
      </c>
      <c r="L330" s="37">
        <v>0</v>
      </c>
      <c r="M330" s="37">
        <v>400000</v>
      </c>
      <c r="N330" s="39">
        <v>0</v>
      </c>
      <c r="O330" s="37">
        <v>400000</v>
      </c>
      <c r="P330" s="39">
        <v>400000</v>
      </c>
      <c r="Q330" s="37">
        <v>0</v>
      </c>
      <c r="R330" s="37">
        <v>0</v>
      </c>
      <c r="S330" s="37"/>
      <c r="T330" s="37"/>
      <c r="U330" s="37"/>
      <c r="V330" s="59">
        <f t="shared" si="32"/>
        <v>1200000</v>
      </c>
      <c r="W330" s="60">
        <f t="shared" si="33"/>
        <v>3</v>
      </c>
      <c r="X330" s="60">
        <f t="shared" si="34"/>
        <v>3</v>
      </c>
      <c r="Y330" s="60">
        <f t="shared" si="35"/>
        <v>3</v>
      </c>
    </row>
    <row r="331" spans="1:25">
      <c r="A331" s="12">
        <v>327</v>
      </c>
      <c r="B331" s="16" t="s">
        <v>684</v>
      </c>
      <c r="C331" s="16">
        <v>32686445</v>
      </c>
      <c r="D331" s="16"/>
      <c r="E331" s="12" t="s">
        <v>681</v>
      </c>
      <c r="F331" s="12"/>
      <c r="G331" s="13"/>
      <c r="H331" s="14"/>
      <c r="I331" s="15" t="s">
        <v>116</v>
      </c>
      <c r="J331" s="37">
        <v>0</v>
      </c>
      <c r="K331" s="37">
        <v>0</v>
      </c>
      <c r="L331" s="37">
        <v>0</v>
      </c>
      <c r="M331" s="37">
        <v>100000</v>
      </c>
      <c r="N331" s="39">
        <v>0</v>
      </c>
      <c r="O331" s="37">
        <v>100000</v>
      </c>
      <c r="P331" s="39">
        <v>100000</v>
      </c>
      <c r="Q331" s="37">
        <v>0</v>
      </c>
      <c r="R331" s="37">
        <v>0</v>
      </c>
      <c r="S331" s="37"/>
      <c r="T331" s="37"/>
      <c r="U331" s="37"/>
      <c r="V331" s="59">
        <f t="shared" si="32"/>
        <v>300000</v>
      </c>
      <c r="W331" s="60">
        <f t="shared" si="33"/>
        <v>0.75</v>
      </c>
      <c r="X331" s="60">
        <f t="shared" si="34"/>
        <v>3</v>
      </c>
      <c r="Y331" s="60">
        <f t="shared" si="35"/>
        <v>1</v>
      </c>
    </row>
    <row r="332" spans="1:25">
      <c r="A332" s="12">
        <v>328</v>
      </c>
      <c r="B332" s="16" t="s">
        <v>685</v>
      </c>
      <c r="C332" s="16">
        <v>72309256</v>
      </c>
      <c r="D332" s="16"/>
      <c r="E332" s="12" t="s">
        <v>681</v>
      </c>
      <c r="F332" s="12"/>
      <c r="G332" s="13"/>
      <c r="H332" s="14"/>
      <c r="I332" s="15" t="s">
        <v>116</v>
      </c>
      <c r="J332" s="37">
        <v>0</v>
      </c>
      <c r="K332" s="37">
        <v>0</v>
      </c>
      <c r="L332" s="37">
        <v>0</v>
      </c>
      <c r="M332" s="37">
        <v>60000</v>
      </c>
      <c r="N332" s="39">
        <v>0</v>
      </c>
      <c r="O332" s="37">
        <v>0</v>
      </c>
      <c r="P332" s="39">
        <v>30000</v>
      </c>
      <c r="Q332" s="37">
        <v>0</v>
      </c>
      <c r="R332" s="37">
        <v>0</v>
      </c>
      <c r="S332" s="37"/>
      <c r="T332" s="37"/>
      <c r="U332" s="37"/>
      <c r="V332" s="59">
        <f t="shared" si="32"/>
        <v>90000</v>
      </c>
      <c r="W332" s="60">
        <f t="shared" si="33"/>
        <v>0.22500000000000001</v>
      </c>
      <c r="X332" s="60">
        <f t="shared" si="34"/>
        <v>2</v>
      </c>
      <c r="Y332" s="60">
        <f t="shared" si="35"/>
        <v>1</v>
      </c>
    </row>
    <row r="333" spans="1:25">
      <c r="A333" s="12">
        <v>329</v>
      </c>
      <c r="B333" s="16" t="s">
        <v>686</v>
      </c>
      <c r="C333" s="16">
        <v>1044427553</v>
      </c>
      <c r="D333" s="16"/>
      <c r="E333" s="12" t="s">
        <v>681</v>
      </c>
      <c r="F333" s="12"/>
      <c r="G333" s="13"/>
      <c r="H333" s="14"/>
      <c r="I333" s="15" t="s">
        <v>116</v>
      </c>
      <c r="J333" s="37">
        <v>0</v>
      </c>
      <c r="K333" s="37">
        <v>0</v>
      </c>
      <c r="L333" s="37">
        <v>0</v>
      </c>
      <c r="M333" s="37">
        <v>75000</v>
      </c>
      <c r="N333" s="39">
        <v>0</v>
      </c>
      <c r="O333" s="37">
        <v>90000</v>
      </c>
      <c r="P333" s="39">
        <v>50000</v>
      </c>
      <c r="Q333" s="37">
        <v>0</v>
      </c>
      <c r="R333" s="37">
        <v>0</v>
      </c>
      <c r="S333" s="37"/>
      <c r="T333" s="37"/>
      <c r="U333" s="37"/>
      <c r="V333" s="59">
        <f t="shared" si="32"/>
        <v>215000</v>
      </c>
      <c r="W333" s="60">
        <f t="shared" si="33"/>
        <v>0.53749999999999998</v>
      </c>
      <c r="X333" s="60">
        <f t="shared" si="34"/>
        <v>3</v>
      </c>
      <c r="Y333" s="60">
        <f t="shared" si="35"/>
        <v>1</v>
      </c>
    </row>
    <row r="334" spans="1:25">
      <c r="A334" s="12">
        <v>330</v>
      </c>
      <c r="B334" s="16" t="s">
        <v>687</v>
      </c>
      <c r="C334" s="16">
        <v>26030830</v>
      </c>
      <c r="D334" s="16">
        <v>4148690455</v>
      </c>
      <c r="E334" s="12" t="s">
        <v>257</v>
      </c>
      <c r="F334" s="12"/>
      <c r="G334" s="13"/>
      <c r="H334" s="14"/>
      <c r="I334" s="15"/>
      <c r="J334" s="37">
        <v>0</v>
      </c>
      <c r="K334" s="37">
        <v>0</v>
      </c>
      <c r="L334" s="37">
        <v>0</v>
      </c>
      <c r="M334" s="37">
        <v>400000</v>
      </c>
      <c r="N334" s="39">
        <v>0</v>
      </c>
      <c r="O334" s="37">
        <v>0</v>
      </c>
      <c r="P334" s="39">
        <v>0</v>
      </c>
      <c r="Q334" s="37">
        <v>0</v>
      </c>
      <c r="R334" s="37">
        <v>0</v>
      </c>
      <c r="S334" s="37"/>
      <c r="T334" s="37"/>
      <c r="U334" s="37"/>
      <c r="V334" s="59">
        <f t="shared" si="32"/>
        <v>400000</v>
      </c>
      <c r="W334" s="60">
        <f t="shared" si="33"/>
        <v>1</v>
      </c>
      <c r="X334" s="60">
        <f t="shared" si="34"/>
        <v>1</v>
      </c>
      <c r="Y334" s="60">
        <f t="shared" si="35"/>
        <v>1</v>
      </c>
    </row>
    <row r="335" spans="1:25">
      <c r="A335" s="12">
        <v>331</v>
      </c>
      <c r="B335" s="16" t="s">
        <v>688</v>
      </c>
      <c r="C335" s="16">
        <v>88269622</v>
      </c>
      <c r="D335" s="16">
        <v>3135768027</v>
      </c>
      <c r="E335" s="12" t="s">
        <v>729</v>
      </c>
      <c r="F335" s="12"/>
      <c r="G335" s="13"/>
      <c r="H335" s="14"/>
      <c r="I335" s="15"/>
      <c r="J335" s="37">
        <v>0</v>
      </c>
      <c r="K335" s="37">
        <v>0</v>
      </c>
      <c r="L335" s="37">
        <v>0</v>
      </c>
      <c r="M335" s="37">
        <v>400000</v>
      </c>
      <c r="N335" s="39">
        <v>400000</v>
      </c>
      <c r="O335" s="37">
        <v>400000</v>
      </c>
      <c r="P335" s="39">
        <v>400000</v>
      </c>
      <c r="Q335" s="37">
        <v>400000</v>
      </c>
      <c r="R335" s="37">
        <v>0</v>
      </c>
      <c r="S335" s="37"/>
      <c r="T335" s="37"/>
      <c r="U335" s="37"/>
      <c r="V335" s="59">
        <f t="shared" si="32"/>
        <v>2000000</v>
      </c>
      <c r="W335" s="60">
        <f t="shared" si="33"/>
        <v>5</v>
      </c>
      <c r="X335" s="60">
        <f t="shared" si="34"/>
        <v>5</v>
      </c>
      <c r="Y335" s="60">
        <f t="shared" si="35"/>
        <v>5</v>
      </c>
    </row>
    <row r="336" spans="1:25">
      <c r="A336" s="12">
        <v>332</v>
      </c>
      <c r="B336" s="16" t="s">
        <v>690</v>
      </c>
      <c r="C336" s="16"/>
      <c r="D336" s="16"/>
      <c r="E336" s="12" t="s">
        <v>691</v>
      </c>
      <c r="F336" s="12"/>
      <c r="G336" s="13"/>
      <c r="H336" s="14"/>
      <c r="I336" s="15"/>
      <c r="J336" s="37">
        <v>0</v>
      </c>
      <c r="K336" s="37">
        <v>0</v>
      </c>
      <c r="L336" s="37">
        <v>0</v>
      </c>
      <c r="M336" s="37">
        <v>150000</v>
      </c>
      <c r="N336" s="39">
        <v>0</v>
      </c>
      <c r="O336" s="37">
        <v>0</v>
      </c>
      <c r="P336" s="39">
        <v>0</v>
      </c>
      <c r="Q336" s="37">
        <v>0</v>
      </c>
      <c r="R336" s="37">
        <v>0</v>
      </c>
      <c r="S336" s="37"/>
      <c r="T336" s="37"/>
      <c r="U336" s="37"/>
      <c r="V336" s="59">
        <f t="shared" si="32"/>
        <v>150000</v>
      </c>
      <c r="W336" s="60">
        <f t="shared" si="33"/>
        <v>0.375</v>
      </c>
      <c r="X336" s="60">
        <f t="shared" si="34"/>
        <v>1</v>
      </c>
      <c r="Y336" s="60">
        <f t="shared" si="35"/>
        <v>1</v>
      </c>
    </row>
    <row r="337" spans="1:25">
      <c r="A337" s="12">
        <v>333</v>
      </c>
      <c r="B337" s="16" t="s">
        <v>692</v>
      </c>
      <c r="C337" s="16">
        <v>27705490</v>
      </c>
      <c r="D337" s="16">
        <v>3133240741</v>
      </c>
      <c r="E337" s="12" t="s">
        <v>344</v>
      </c>
      <c r="F337" s="12"/>
      <c r="G337" s="13"/>
      <c r="H337" s="14"/>
      <c r="I337" s="15"/>
      <c r="J337" s="37">
        <v>0</v>
      </c>
      <c r="K337" s="37">
        <v>0</v>
      </c>
      <c r="L337" s="37">
        <v>0</v>
      </c>
      <c r="M337" s="37">
        <v>800000</v>
      </c>
      <c r="N337" s="39">
        <v>0</v>
      </c>
      <c r="O337" s="37">
        <v>0</v>
      </c>
      <c r="P337" s="39">
        <v>0</v>
      </c>
      <c r="Q337" s="37">
        <v>400000</v>
      </c>
      <c r="R337" s="37">
        <v>400000</v>
      </c>
      <c r="S337" s="37"/>
      <c r="T337" s="37"/>
      <c r="U337" s="37"/>
      <c r="V337" s="59">
        <f t="shared" si="28"/>
        <v>1600000</v>
      </c>
      <c r="W337" s="60">
        <f t="shared" si="29"/>
        <v>4</v>
      </c>
      <c r="X337" s="60">
        <f t="shared" si="30"/>
        <v>3</v>
      </c>
      <c r="Y337" s="60">
        <f t="shared" si="31"/>
        <v>4</v>
      </c>
    </row>
    <row r="338" spans="1:25">
      <c r="A338" s="12">
        <v>334</v>
      </c>
      <c r="B338" s="16" t="s">
        <v>693</v>
      </c>
      <c r="C338" s="16">
        <v>72193575</v>
      </c>
      <c r="D338" s="16"/>
      <c r="E338" s="12" t="s">
        <v>358</v>
      </c>
      <c r="F338" s="12"/>
      <c r="G338" s="13"/>
      <c r="H338" s="14"/>
      <c r="I338" s="15"/>
      <c r="J338" s="37">
        <v>0</v>
      </c>
      <c r="K338" s="37">
        <v>0</v>
      </c>
      <c r="L338" s="37">
        <v>0</v>
      </c>
      <c r="M338" s="37">
        <v>400000</v>
      </c>
      <c r="N338" s="39">
        <v>400000</v>
      </c>
      <c r="O338" s="37">
        <v>0</v>
      </c>
      <c r="P338" s="39">
        <v>0</v>
      </c>
      <c r="Q338" s="37">
        <v>400000</v>
      </c>
      <c r="R338" s="37">
        <v>0</v>
      </c>
      <c r="S338" s="37"/>
      <c r="T338" s="37"/>
      <c r="U338" s="37"/>
      <c r="V338" s="59">
        <f t="shared" si="28"/>
        <v>1200000</v>
      </c>
      <c r="W338" s="60">
        <f t="shared" si="29"/>
        <v>3</v>
      </c>
      <c r="X338" s="60">
        <f t="shared" si="30"/>
        <v>3</v>
      </c>
      <c r="Y338" s="60">
        <f t="shared" si="31"/>
        <v>3</v>
      </c>
    </row>
    <row r="339" spans="1:25">
      <c r="A339" s="12">
        <v>335</v>
      </c>
      <c r="B339" s="16" t="s">
        <v>694</v>
      </c>
      <c r="C339" s="16">
        <v>1144057934</v>
      </c>
      <c r="D339" s="16">
        <v>3106434849</v>
      </c>
      <c r="E339" s="12" t="s">
        <v>257</v>
      </c>
      <c r="F339" s="12"/>
      <c r="G339" s="13"/>
      <c r="H339" s="14"/>
      <c r="I339" s="15"/>
      <c r="J339" s="37">
        <v>0</v>
      </c>
      <c r="K339" s="37">
        <v>0</v>
      </c>
      <c r="L339" s="37">
        <v>0</v>
      </c>
      <c r="M339" s="37">
        <v>400000</v>
      </c>
      <c r="N339" s="39">
        <v>400000</v>
      </c>
      <c r="O339" s="37">
        <v>0</v>
      </c>
      <c r="P339" s="39">
        <v>0</v>
      </c>
      <c r="Q339" s="37">
        <v>0</v>
      </c>
      <c r="R339" s="37">
        <v>0</v>
      </c>
      <c r="S339" s="37"/>
      <c r="T339" s="37"/>
      <c r="U339" s="37"/>
      <c r="V339" s="59">
        <f t="shared" si="28"/>
        <v>800000</v>
      </c>
      <c r="W339" s="60">
        <f t="shared" si="29"/>
        <v>2</v>
      </c>
      <c r="X339" s="60">
        <f t="shared" si="30"/>
        <v>2</v>
      </c>
      <c r="Y339" s="60">
        <f t="shared" si="31"/>
        <v>2</v>
      </c>
    </row>
    <row r="340" spans="1:25">
      <c r="A340" s="12">
        <v>336</v>
      </c>
      <c r="B340" s="16" t="s">
        <v>777</v>
      </c>
      <c r="C340" s="16">
        <v>16784811</v>
      </c>
      <c r="D340" s="16">
        <v>3232388033</v>
      </c>
      <c r="E340" s="12" t="s">
        <v>696</v>
      </c>
      <c r="F340" s="12"/>
      <c r="G340" s="13"/>
      <c r="H340" s="14"/>
      <c r="I340" s="15"/>
      <c r="J340" s="37">
        <v>0</v>
      </c>
      <c r="K340" s="37">
        <v>0</v>
      </c>
      <c r="L340" s="37">
        <v>0</v>
      </c>
      <c r="M340" s="37">
        <v>400000</v>
      </c>
      <c r="N340" s="39">
        <v>400000</v>
      </c>
      <c r="O340" s="37">
        <v>400000</v>
      </c>
      <c r="P340" s="39">
        <v>0</v>
      </c>
      <c r="Q340" s="37">
        <v>400000</v>
      </c>
      <c r="R340" s="37">
        <v>400000</v>
      </c>
      <c r="S340" s="37"/>
      <c r="T340" s="37"/>
      <c r="U340" s="37"/>
      <c r="V340" s="59">
        <f t="shared" si="28"/>
        <v>2000000</v>
      </c>
      <c r="W340" s="60">
        <f t="shared" si="29"/>
        <v>5</v>
      </c>
      <c r="X340" s="60">
        <f t="shared" si="30"/>
        <v>5</v>
      </c>
      <c r="Y340" s="60">
        <f t="shared" si="31"/>
        <v>5</v>
      </c>
    </row>
    <row r="341" spans="1:25">
      <c r="A341" s="12">
        <v>337</v>
      </c>
      <c r="B341" s="16" t="s">
        <v>697</v>
      </c>
      <c r="C341" s="16">
        <v>34500768</v>
      </c>
      <c r="D341" s="16">
        <v>3136589048</v>
      </c>
      <c r="E341" s="12" t="s">
        <v>698</v>
      </c>
      <c r="F341" s="12"/>
      <c r="G341" s="13"/>
      <c r="H341" s="14"/>
      <c r="I341" s="15"/>
      <c r="J341" s="37">
        <v>0</v>
      </c>
      <c r="K341" s="37">
        <v>0</v>
      </c>
      <c r="L341" s="37">
        <v>0</v>
      </c>
      <c r="M341" s="37">
        <v>100000</v>
      </c>
      <c r="N341" s="39">
        <v>0</v>
      </c>
      <c r="O341" s="37">
        <v>0</v>
      </c>
      <c r="P341" s="39">
        <v>0</v>
      </c>
      <c r="Q341" s="37">
        <v>0</v>
      </c>
      <c r="R341" s="37">
        <v>0</v>
      </c>
      <c r="S341" s="37"/>
      <c r="T341" s="37"/>
      <c r="U341" s="37"/>
      <c r="V341" s="59">
        <f t="shared" si="28"/>
        <v>100000</v>
      </c>
      <c r="W341" s="60">
        <f t="shared" si="29"/>
        <v>0.25</v>
      </c>
      <c r="X341" s="60">
        <f t="shared" si="30"/>
        <v>1</v>
      </c>
      <c r="Y341" s="60">
        <f t="shared" si="31"/>
        <v>1</v>
      </c>
    </row>
    <row r="342" spans="1:25">
      <c r="A342" s="12">
        <v>338</v>
      </c>
      <c r="B342" s="16" t="s">
        <v>699</v>
      </c>
      <c r="C342" s="16">
        <v>22579381</v>
      </c>
      <c r="D342" s="16">
        <v>3006140088</v>
      </c>
      <c r="E342" s="12" t="s">
        <v>681</v>
      </c>
      <c r="F342" s="12"/>
      <c r="G342" s="13"/>
      <c r="H342" s="14"/>
      <c r="I342" s="15"/>
      <c r="J342" s="37">
        <v>0</v>
      </c>
      <c r="K342" s="37">
        <v>0</v>
      </c>
      <c r="L342" s="37">
        <v>0</v>
      </c>
      <c r="M342" s="37">
        <v>400000</v>
      </c>
      <c r="N342" s="39">
        <v>0</v>
      </c>
      <c r="O342" s="37">
        <v>0</v>
      </c>
      <c r="P342" s="39">
        <v>0</v>
      </c>
      <c r="Q342" s="37">
        <v>0</v>
      </c>
      <c r="R342" s="37">
        <v>0</v>
      </c>
      <c r="S342" s="37"/>
      <c r="T342" s="37"/>
      <c r="U342" s="37"/>
      <c r="V342" s="59">
        <f t="shared" si="28"/>
        <v>400000</v>
      </c>
      <c r="W342" s="60">
        <f t="shared" si="29"/>
        <v>1</v>
      </c>
      <c r="X342" s="60">
        <f t="shared" si="30"/>
        <v>1</v>
      </c>
      <c r="Y342" s="60">
        <f t="shared" si="31"/>
        <v>1</v>
      </c>
    </row>
    <row r="343" spans="1:25">
      <c r="A343" s="12">
        <v>339</v>
      </c>
      <c r="B343" s="16" t="s">
        <v>700</v>
      </c>
      <c r="C343" s="16">
        <v>30312926</v>
      </c>
      <c r="D343" s="16"/>
      <c r="E343" s="12" t="s">
        <v>455</v>
      </c>
      <c r="F343" s="12"/>
      <c r="G343" s="13"/>
      <c r="H343" s="14"/>
      <c r="I343" s="15"/>
      <c r="J343" s="37">
        <v>0</v>
      </c>
      <c r="K343" s="37">
        <v>0</v>
      </c>
      <c r="L343" s="37">
        <v>0</v>
      </c>
      <c r="M343" s="37">
        <v>400000</v>
      </c>
      <c r="N343" s="39">
        <v>0</v>
      </c>
      <c r="O343" s="37">
        <v>0</v>
      </c>
      <c r="P343" s="39">
        <v>0</v>
      </c>
      <c r="Q343" s="37">
        <v>0</v>
      </c>
      <c r="R343" s="37">
        <v>0</v>
      </c>
      <c r="S343" s="37"/>
      <c r="T343" s="37"/>
      <c r="U343" s="37"/>
      <c r="V343" s="59">
        <f t="shared" si="28"/>
        <v>400000</v>
      </c>
      <c r="W343" s="60">
        <f t="shared" si="29"/>
        <v>1</v>
      </c>
      <c r="X343" s="60">
        <f t="shared" si="30"/>
        <v>1</v>
      </c>
      <c r="Y343" s="60">
        <f t="shared" si="31"/>
        <v>1</v>
      </c>
    </row>
    <row r="344" spans="1:25">
      <c r="A344" s="12">
        <v>340</v>
      </c>
      <c r="B344" s="16" t="s">
        <v>703</v>
      </c>
      <c r="C344" s="16"/>
      <c r="D344" s="16"/>
      <c r="E344" s="12" t="s">
        <v>345</v>
      </c>
      <c r="F344" s="12"/>
      <c r="G344" s="13"/>
      <c r="H344" s="14"/>
      <c r="I344" s="15"/>
      <c r="J344" s="37">
        <v>0</v>
      </c>
      <c r="K344" s="37">
        <v>0</v>
      </c>
      <c r="L344" s="37">
        <v>0</v>
      </c>
      <c r="M344" s="37">
        <v>200000</v>
      </c>
      <c r="N344" s="39">
        <v>200000</v>
      </c>
      <c r="O344" s="37">
        <v>400000</v>
      </c>
      <c r="P344" s="39">
        <v>0</v>
      </c>
      <c r="Q344" s="37">
        <v>400000</v>
      </c>
      <c r="R344" s="37">
        <v>0</v>
      </c>
      <c r="S344" s="37"/>
      <c r="T344" s="37"/>
      <c r="U344" s="37"/>
      <c r="V344" s="59">
        <f t="shared" ref="V344:V371" si="36">SUM(J344:U344)</f>
        <v>1200000</v>
      </c>
      <c r="W344" s="60">
        <f t="shared" ref="W344:W371" si="37">V344/400000</f>
        <v>3</v>
      </c>
      <c r="X344" s="60">
        <f t="shared" ref="X344:X371" si="38">COUNTIF(J344:U344,"&gt;0")</f>
        <v>4</v>
      </c>
      <c r="Y344" s="60">
        <f t="shared" ref="Y344:Y371" si="39">ROUNDUP(W344,0)</f>
        <v>3</v>
      </c>
    </row>
    <row r="345" spans="1:25">
      <c r="A345" s="12">
        <v>341</v>
      </c>
      <c r="B345" s="16" t="s">
        <v>704</v>
      </c>
      <c r="C345" s="16">
        <v>10017038</v>
      </c>
      <c r="D345" s="16">
        <v>3154427396</v>
      </c>
      <c r="E345" s="12" t="s">
        <v>455</v>
      </c>
      <c r="F345" s="12"/>
      <c r="G345" s="13"/>
      <c r="H345" s="14"/>
      <c r="I345" s="15"/>
      <c r="J345" s="37">
        <v>0</v>
      </c>
      <c r="K345" s="37">
        <v>0</v>
      </c>
      <c r="L345" s="37">
        <v>0</v>
      </c>
      <c r="M345" s="37">
        <v>0</v>
      </c>
      <c r="N345" s="39">
        <v>800000</v>
      </c>
      <c r="O345" s="37">
        <v>0</v>
      </c>
      <c r="P345" s="39">
        <v>0</v>
      </c>
      <c r="Q345" s="37">
        <v>400000</v>
      </c>
      <c r="R345" s="37">
        <v>400000</v>
      </c>
      <c r="S345" s="37"/>
      <c r="T345" s="37"/>
      <c r="U345" s="37"/>
      <c r="V345" s="59">
        <f t="shared" si="36"/>
        <v>1600000</v>
      </c>
      <c r="W345" s="60">
        <f t="shared" si="37"/>
        <v>4</v>
      </c>
      <c r="X345" s="60">
        <f t="shared" si="38"/>
        <v>3</v>
      </c>
      <c r="Y345" s="60">
        <f t="shared" si="39"/>
        <v>4</v>
      </c>
    </row>
    <row r="346" spans="1:25">
      <c r="A346" s="12">
        <v>342</v>
      </c>
      <c r="B346" s="16" t="s">
        <v>705</v>
      </c>
      <c r="C346" s="16">
        <v>13873577</v>
      </c>
      <c r="D346" s="16">
        <v>3184381905</v>
      </c>
      <c r="E346" s="12" t="s">
        <v>547</v>
      </c>
      <c r="F346" s="12"/>
      <c r="G346" s="13"/>
      <c r="H346" s="14"/>
      <c r="I346" s="15"/>
      <c r="J346" s="37">
        <v>0</v>
      </c>
      <c r="K346" s="37">
        <v>0</v>
      </c>
      <c r="L346" s="37">
        <v>0</v>
      </c>
      <c r="M346" s="37">
        <v>0</v>
      </c>
      <c r="N346" s="39">
        <v>400000</v>
      </c>
      <c r="O346" s="37">
        <v>400000</v>
      </c>
      <c r="P346" s="39">
        <v>0</v>
      </c>
      <c r="Q346" s="37">
        <v>0</v>
      </c>
      <c r="R346" s="37">
        <v>0</v>
      </c>
      <c r="S346" s="37"/>
      <c r="T346" s="37"/>
      <c r="U346" s="37"/>
      <c r="V346" s="59">
        <f t="shared" si="36"/>
        <v>800000</v>
      </c>
      <c r="W346" s="60">
        <f t="shared" si="37"/>
        <v>2</v>
      </c>
      <c r="X346" s="60">
        <f t="shared" si="38"/>
        <v>2</v>
      </c>
      <c r="Y346" s="60">
        <f t="shared" si="39"/>
        <v>2</v>
      </c>
    </row>
    <row r="347" spans="1:25">
      <c r="A347" s="12">
        <v>343</v>
      </c>
      <c r="B347" s="16" t="s">
        <v>706</v>
      </c>
      <c r="C347" s="16">
        <v>13520281</v>
      </c>
      <c r="D347" s="16"/>
      <c r="E347" s="12" t="s">
        <v>578</v>
      </c>
      <c r="F347" s="12"/>
      <c r="G347" s="13"/>
      <c r="H347" s="14"/>
      <c r="I347" s="15"/>
      <c r="J347" s="37">
        <v>0</v>
      </c>
      <c r="K347" s="37">
        <v>0</v>
      </c>
      <c r="L347" s="37">
        <v>0</v>
      </c>
      <c r="M347" s="37">
        <v>0</v>
      </c>
      <c r="N347" s="39">
        <v>1600000</v>
      </c>
      <c r="O347" s="37">
        <v>400000</v>
      </c>
      <c r="P347" s="39">
        <v>0</v>
      </c>
      <c r="Q347" s="37">
        <v>0</v>
      </c>
      <c r="R347" s="37">
        <v>0</v>
      </c>
      <c r="S347" s="37"/>
      <c r="T347" s="37"/>
      <c r="U347" s="37"/>
      <c r="V347" s="59">
        <f t="shared" si="36"/>
        <v>2000000</v>
      </c>
      <c r="W347" s="60">
        <f t="shared" si="37"/>
        <v>5</v>
      </c>
      <c r="X347" s="60">
        <f t="shared" si="38"/>
        <v>2</v>
      </c>
      <c r="Y347" s="60">
        <f t="shared" si="39"/>
        <v>5</v>
      </c>
    </row>
    <row r="348" spans="1:25">
      <c r="A348" s="12">
        <v>344</v>
      </c>
      <c r="B348" s="16" t="s">
        <v>755</v>
      </c>
      <c r="C348" s="16">
        <v>1010132168</v>
      </c>
      <c r="D348" s="16">
        <v>3162491954</v>
      </c>
      <c r="E348" s="12" t="s">
        <v>465</v>
      </c>
      <c r="F348" s="12"/>
      <c r="G348" s="13"/>
      <c r="H348" s="14"/>
      <c r="I348" s="15"/>
      <c r="J348" s="37">
        <v>0</v>
      </c>
      <c r="K348" s="37">
        <v>0</v>
      </c>
      <c r="L348" s="37">
        <v>0</v>
      </c>
      <c r="M348" s="37">
        <v>0</v>
      </c>
      <c r="N348" s="39">
        <v>400000</v>
      </c>
      <c r="O348" s="37">
        <v>0</v>
      </c>
      <c r="P348" s="39">
        <v>0</v>
      </c>
      <c r="Q348" s="37">
        <v>500000</v>
      </c>
      <c r="R348" s="37">
        <v>500000</v>
      </c>
      <c r="S348" s="37"/>
      <c r="T348" s="37"/>
      <c r="U348" s="37"/>
      <c r="V348" s="59">
        <f t="shared" si="36"/>
        <v>1400000</v>
      </c>
      <c r="W348" s="60">
        <f t="shared" si="37"/>
        <v>3.5</v>
      </c>
      <c r="X348" s="60">
        <f t="shared" si="38"/>
        <v>3</v>
      </c>
      <c r="Y348" s="60">
        <f t="shared" si="39"/>
        <v>4</v>
      </c>
    </row>
    <row r="349" spans="1:25">
      <c r="A349" s="12">
        <v>345</v>
      </c>
      <c r="B349" s="16" t="s">
        <v>718</v>
      </c>
      <c r="C349" s="16"/>
      <c r="D349" s="16"/>
      <c r="E349" s="12" t="s">
        <v>596</v>
      </c>
      <c r="F349" s="12"/>
      <c r="G349" s="13"/>
      <c r="H349" s="14"/>
      <c r="I349" s="15"/>
      <c r="J349" s="37">
        <v>0</v>
      </c>
      <c r="K349" s="37">
        <v>0</v>
      </c>
      <c r="L349" s="37">
        <v>0</v>
      </c>
      <c r="M349" s="37">
        <v>0</v>
      </c>
      <c r="N349" s="39">
        <v>400000</v>
      </c>
      <c r="O349" s="37">
        <v>800000</v>
      </c>
      <c r="P349" s="39">
        <v>800000</v>
      </c>
      <c r="Q349" s="37">
        <v>800000</v>
      </c>
      <c r="R349" s="37">
        <v>800000</v>
      </c>
      <c r="S349" s="37"/>
      <c r="T349" s="37"/>
      <c r="U349" s="37"/>
      <c r="V349" s="59">
        <f t="shared" si="36"/>
        <v>3600000</v>
      </c>
      <c r="W349" s="60">
        <f t="shared" si="37"/>
        <v>9</v>
      </c>
      <c r="X349" s="60">
        <f t="shared" si="38"/>
        <v>5</v>
      </c>
      <c r="Y349" s="60">
        <f t="shared" si="39"/>
        <v>9</v>
      </c>
    </row>
    <row r="350" spans="1:25">
      <c r="A350" s="12">
        <v>348</v>
      </c>
      <c r="B350" s="16" t="s">
        <v>720</v>
      </c>
      <c r="C350" s="16"/>
      <c r="D350" s="16"/>
      <c r="E350" s="12"/>
      <c r="F350" s="12"/>
      <c r="G350" s="13"/>
      <c r="H350" s="14"/>
      <c r="I350" s="15"/>
      <c r="J350" s="37">
        <v>0</v>
      </c>
      <c r="K350" s="37">
        <v>0</v>
      </c>
      <c r="L350" s="37">
        <v>0</v>
      </c>
      <c r="M350" s="37">
        <v>0</v>
      </c>
      <c r="N350" s="39">
        <v>0</v>
      </c>
      <c r="O350" s="37">
        <v>800000</v>
      </c>
      <c r="P350" s="39">
        <v>0</v>
      </c>
      <c r="Q350" s="37">
        <v>0</v>
      </c>
      <c r="R350" s="37">
        <v>0</v>
      </c>
      <c r="S350" s="37"/>
      <c r="T350" s="37"/>
      <c r="U350" s="37"/>
      <c r="V350" s="59">
        <f t="shared" si="36"/>
        <v>800000</v>
      </c>
      <c r="W350" s="60">
        <f t="shared" si="37"/>
        <v>2</v>
      </c>
      <c r="X350" s="60">
        <f t="shared" si="38"/>
        <v>1</v>
      </c>
      <c r="Y350" s="60">
        <f t="shared" si="39"/>
        <v>2</v>
      </c>
    </row>
    <row r="351" spans="1:25">
      <c r="A351" s="12">
        <v>349</v>
      </c>
      <c r="B351" s="16" t="s">
        <v>722</v>
      </c>
      <c r="C351" s="16">
        <v>7685262</v>
      </c>
      <c r="D351" s="16"/>
      <c r="E351" s="12" t="s">
        <v>578</v>
      </c>
      <c r="F351" s="12"/>
      <c r="G351" s="13"/>
      <c r="H351" s="14"/>
      <c r="I351" s="15"/>
      <c r="J351" s="37">
        <v>0</v>
      </c>
      <c r="K351" s="37">
        <v>0</v>
      </c>
      <c r="L351" s="37">
        <v>0</v>
      </c>
      <c r="M351" s="37">
        <v>0</v>
      </c>
      <c r="N351" s="39">
        <v>0</v>
      </c>
      <c r="O351" s="37">
        <v>400000</v>
      </c>
      <c r="P351" s="39">
        <v>0</v>
      </c>
      <c r="Q351" s="37">
        <v>0</v>
      </c>
      <c r="R351" s="37">
        <v>0</v>
      </c>
      <c r="S351" s="37"/>
      <c r="T351" s="37"/>
      <c r="U351" s="37"/>
      <c r="V351" s="59">
        <f t="shared" si="36"/>
        <v>400000</v>
      </c>
      <c r="W351" s="60">
        <f t="shared" si="37"/>
        <v>1</v>
      </c>
      <c r="X351" s="60">
        <f t="shared" si="38"/>
        <v>1</v>
      </c>
      <c r="Y351" s="60">
        <f t="shared" si="39"/>
        <v>1</v>
      </c>
    </row>
    <row r="352" spans="1:25">
      <c r="A352" s="12">
        <v>350</v>
      </c>
      <c r="B352" s="16" t="s">
        <v>723</v>
      </c>
      <c r="C352" s="16"/>
      <c r="D352" s="16"/>
      <c r="E352" s="12" t="s">
        <v>346</v>
      </c>
      <c r="F352" s="12"/>
      <c r="G352" s="13"/>
      <c r="H352" s="14"/>
      <c r="I352" s="15"/>
      <c r="J352" s="37">
        <v>0</v>
      </c>
      <c r="K352" s="37">
        <v>0</v>
      </c>
      <c r="L352" s="37">
        <v>0</v>
      </c>
      <c r="M352" s="37">
        <v>0</v>
      </c>
      <c r="N352" s="39">
        <v>0</v>
      </c>
      <c r="O352" s="37">
        <v>400000</v>
      </c>
      <c r="P352" s="39">
        <v>0</v>
      </c>
      <c r="Q352" s="37">
        <v>0</v>
      </c>
      <c r="R352" s="37">
        <v>0</v>
      </c>
      <c r="S352" s="37"/>
      <c r="T352" s="37"/>
      <c r="U352" s="37"/>
      <c r="V352" s="59">
        <f t="shared" ref="V352:V358" si="40">SUM(J352:U352)</f>
        <v>400000</v>
      </c>
      <c r="W352" s="60">
        <f t="shared" ref="W352:W358" si="41">V352/400000</f>
        <v>1</v>
      </c>
      <c r="X352" s="60">
        <f t="shared" ref="X352:X358" si="42">COUNTIF(J352:U352,"&gt;0")</f>
        <v>1</v>
      </c>
      <c r="Y352" s="60">
        <f t="shared" ref="Y352:Y358" si="43">ROUNDUP(W352,0)</f>
        <v>1</v>
      </c>
    </row>
    <row r="353" spans="1:25">
      <c r="A353" s="12">
        <v>351</v>
      </c>
      <c r="B353" s="16" t="s">
        <v>724</v>
      </c>
      <c r="C353" s="16"/>
      <c r="D353" s="16"/>
      <c r="E353" s="12" t="s">
        <v>725</v>
      </c>
      <c r="F353" s="12"/>
      <c r="G353" s="13"/>
      <c r="H353" s="14"/>
      <c r="I353" s="15"/>
      <c r="J353" s="37">
        <v>0</v>
      </c>
      <c r="K353" s="37">
        <v>0</v>
      </c>
      <c r="L353" s="37">
        <v>0</v>
      </c>
      <c r="M353" s="37">
        <v>0</v>
      </c>
      <c r="N353" s="39">
        <v>0</v>
      </c>
      <c r="O353" s="37">
        <v>300000</v>
      </c>
      <c r="P353" s="39">
        <v>0</v>
      </c>
      <c r="Q353" s="37">
        <v>0</v>
      </c>
      <c r="R353" s="37">
        <v>0</v>
      </c>
      <c r="S353" s="37"/>
      <c r="T353" s="37"/>
      <c r="U353" s="37"/>
      <c r="V353" s="59">
        <f t="shared" si="40"/>
        <v>300000</v>
      </c>
      <c r="W353" s="60">
        <f t="shared" si="41"/>
        <v>0.75</v>
      </c>
      <c r="X353" s="60">
        <f t="shared" si="42"/>
        <v>1</v>
      </c>
      <c r="Y353" s="60">
        <f t="shared" si="43"/>
        <v>1</v>
      </c>
    </row>
    <row r="354" spans="1:25">
      <c r="A354" s="12">
        <v>352</v>
      </c>
      <c r="B354" s="16" t="s">
        <v>726</v>
      </c>
      <c r="C354" s="16"/>
      <c r="D354" s="16"/>
      <c r="E354" s="12" t="s">
        <v>729</v>
      </c>
      <c r="F354" s="12"/>
      <c r="G354" s="13"/>
      <c r="H354" s="14"/>
      <c r="I354" s="15"/>
      <c r="J354" s="37">
        <v>0</v>
      </c>
      <c r="K354" s="37">
        <v>0</v>
      </c>
      <c r="L354" s="37">
        <v>0</v>
      </c>
      <c r="M354" s="37">
        <v>0</v>
      </c>
      <c r="N354" s="37">
        <v>18359000</v>
      </c>
      <c r="O354" s="37">
        <v>0</v>
      </c>
      <c r="P354" s="39">
        <v>0</v>
      </c>
      <c r="Q354" s="37">
        <v>0</v>
      </c>
      <c r="R354" s="37">
        <v>0</v>
      </c>
      <c r="S354" s="37"/>
      <c r="T354" s="37"/>
      <c r="U354" s="37"/>
      <c r="V354" s="59">
        <f t="shared" si="40"/>
        <v>18359000</v>
      </c>
      <c r="W354" s="60">
        <f t="shared" si="41"/>
        <v>45.897500000000001</v>
      </c>
      <c r="X354" s="60">
        <f t="shared" si="42"/>
        <v>1</v>
      </c>
      <c r="Y354" s="60">
        <f t="shared" si="43"/>
        <v>46</v>
      </c>
    </row>
    <row r="355" spans="1:25">
      <c r="A355" s="12">
        <v>353</v>
      </c>
      <c r="B355" s="16" t="s">
        <v>727</v>
      </c>
      <c r="C355" s="16"/>
      <c r="D355" s="16"/>
      <c r="E355" s="12" t="s">
        <v>729</v>
      </c>
      <c r="F355" s="12"/>
      <c r="G355" s="13"/>
      <c r="H355" s="14"/>
      <c r="I355" s="15"/>
      <c r="J355" s="37">
        <v>0</v>
      </c>
      <c r="K355" s="37">
        <v>0</v>
      </c>
      <c r="L355" s="37">
        <v>0</v>
      </c>
      <c r="M355" s="37">
        <v>0</v>
      </c>
      <c r="N355" s="39">
        <v>0</v>
      </c>
      <c r="O355" s="37">
        <v>8860000</v>
      </c>
      <c r="P355" s="39">
        <v>0</v>
      </c>
      <c r="Q355" s="37">
        <v>0</v>
      </c>
      <c r="R355" s="37">
        <v>0</v>
      </c>
      <c r="S355" s="37"/>
      <c r="T355" s="37"/>
      <c r="U355" s="37"/>
      <c r="V355" s="59">
        <f t="shared" si="40"/>
        <v>8860000</v>
      </c>
      <c r="W355" s="60">
        <f t="shared" si="41"/>
        <v>22.15</v>
      </c>
      <c r="X355" s="60">
        <f t="shared" si="42"/>
        <v>1</v>
      </c>
      <c r="Y355" s="60">
        <f t="shared" si="43"/>
        <v>23</v>
      </c>
    </row>
    <row r="356" spans="1:25">
      <c r="A356" s="12">
        <v>354</v>
      </c>
      <c r="B356" s="16" t="s">
        <v>728</v>
      </c>
      <c r="C356" s="16"/>
      <c r="D356" s="16"/>
      <c r="E356" s="12" t="s">
        <v>445</v>
      </c>
      <c r="F356" s="12"/>
      <c r="G356" s="13"/>
      <c r="H356" s="14"/>
      <c r="I356" s="15"/>
      <c r="J356" s="37">
        <v>0</v>
      </c>
      <c r="K356" s="37">
        <v>0</v>
      </c>
      <c r="L356" s="37">
        <v>0</v>
      </c>
      <c r="M356" s="37">
        <v>0</v>
      </c>
      <c r="N356" s="39">
        <v>0</v>
      </c>
      <c r="O356" s="37">
        <v>550000</v>
      </c>
      <c r="P356" s="39">
        <v>0</v>
      </c>
      <c r="Q356" s="37">
        <v>0</v>
      </c>
      <c r="R356" s="37">
        <v>0</v>
      </c>
      <c r="S356" s="37"/>
      <c r="T356" s="37"/>
      <c r="U356" s="37"/>
      <c r="V356" s="59">
        <f t="shared" si="40"/>
        <v>550000</v>
      </c>
      <c r="W356" s="60">
        <f t="shared" si="41"/>
        <v>1.375</v>
      </c>
      <c r="X356" s="60">
        <f t="shared" si="42"/>
        <v>1</v>
      </c>
      <c r="Y356" s="60">
        <f t="shared" si="43"/>
        <v>2</v>
      </c>
    </row>
    <row r="357" spans="1:25">
      <c r="A357" s="12">
        <v>355</v>
      </c>
      <c r="B357" s="16" t="s">
        <v>730</v>
      </c>
      <c r="C357" s="16">
        <v>39358951</v>
      </c>
      <c r="D357" s="16"/>
      <c r="E357" s="12" t="s">
        <v>356</v>
      </c>
      <c r="F357" s="12"/>
      <c r="G357" s="13"/>
      <c r="H357" s="14"/>
      <c r="I357" s="15"/>
      <c r="J357" s="37">
        <v>0</v>
      </c>
      <c r="K357" s="37">
        <v>0</v>
      </c>
      <c r="L357" s="37">
        <v>0</v>
      </c>
      <c r="M357" s="37">
        <v>0</v>
      </c>
      <c r="N357" s="39">
        <v>0</v>
      </c>
      <c r="O357" s="37">
        <v>400000</v>
      </c>
      <c r="P357" s="39">
        <v>400000</v>
      </c>
      <c r="Q357" s="37">
        <v>400000</v>
      </c>
      <c r="R357" s="37">
        <v>0</v>
      </c>
      <c r="S357" s="37"/>
      <c r="T357" s="37"/>
      <c r="U357" s="37"/>
      <c r="V357" s="59">
        <f t="shared" si="40"/>
        <v>1200000</v>
      </c>
      <c r="W357" s="60">
        <f t="shared" si="41"/>
        <v>3</v>
      </c>
      <c r="X357" s="60">
        <f t="shared" si="42"/>
        <v>3</v>
      </c>
      <c r="Y357" s="60">
        <f t="shared" si="43"/>
        <v>3</v>
      </c>
    </row>
    <row r="358" spans="1:25">
      <c r="A358" s="12">
        <v>356</v>
      </c>
      <c r="B358" s="16" t="s">
        <v>731</v>
      </c>
      <c r="C358" s="16"/>
      <c r="D358" s="16"/>
      <c r="E358" s="12"/>
      <c r="F358" s="12"/>
      <c r="G358" s="13"/>
      <c r="H358" s="14"/>
      <c r="I358" s="15"/>
      <c r="J358" s="37">
        <v>0</v>
      </c>
      <c r="K358" s="37">
        <v>0</v>
      </c>
      <c r="L358" s="37">
        <v>0</v>
      </c>
      <c r="M358" s="37">
        <v>0</v>
      </c>
      <c r="N358" s="39">
        <v>0</v>
      </c>
      <c r="O358" s="37">
        <v>0</v>
      </c>
      <c r="P358" s="39">
        <v>800000</v>
      </c>
      <c r="Q358" s="37">
        <v>0</v>
      </c>
      <c r="R358" s="37">
        <v>0</v>
      </c>
      <c r="S358" s="37"/>
      <c r="T358" s="37"/>
      <c r="U358" s="37"/>
      <c r="V358" s="59">
        <f t="shared" si="40"/>
        <v>800000</v>
      </c>
      <c r="W358" s="60">
        <f t="shared" si="41"/>
        <v>2</v>
      </c>
      <c r="X358" s="60">
        <f t="shared" si="42"/>
        <v>1</v>
      </c>
      <c r="Y358" s="60">
        <f t="shared" si="43"/>
        <v>2</v>
      </c>
    </row>
    <row r="359" spans="1:25">
      <c r="A359" s="12">
        <v>357</v>
      </c>
      <c r="B359" s="16" t="s">
        <v>736</v>
      </c>
      <c r="C359" s="16">
        <v>7317611</v>
      </c>
      <c r="D359" s="16"/>
      <c r="E359" s="12" t="s">
        <v>445</v>
      </c>
      <c r="F359" s="12"/>
      <c r="G359" s="13"/>
      <c r="H359" s="14"/>
      <c r="I359" s="15"/>
      <c r="J359" s="37">
        <v>0</v>
      </c>
      <c r="K359" s="37">
        <v>0</v>
      </c>
      <c r="L359" s="37">
        <v>0</v>
      </c>
      <c r="M359" s="37">
        <v>0</v>
      </c>
      <c r="N359" s="39">
        <v>0</v>
      </c>
      <c r="O359" s="37">
        <v>0</v>
      </c>
      <c r="P359" s="39">
        <v>400000</v>
      </c>
      <c r="Q359" s="37">
        <v>400000</v>
      </c>
      <c r="R359" s="37">
        <v>400000</v>
      </c>
      <c r="S359" s="37"/>
      <c r="T359" s="37"/>
      <c r="U359" s="37"/>
      <c r="V359" s="59">
        <f t="shared" si="36"/>
        <v>1200000</v>
      </c>
      <c r="W359" s="60">
        <f t="shared" si="37"/>
        <v>3</v>
      </c>
      <c r="X359" s="60">
        <f t="shared" si="38"/>
        <v>3</v>
      </c>
      <c r="Y359" s="60">
        <f t="shared" si="39"/>
        <v>3</v>
      </c>
    </row>
    <row r="360" spans="1:25">
      <c r="A360" s="12">
        <v>358</v>
      </c>
      <c r="B360" s="16" t="s">
        <v>737</v>
      </c>
      <c r="C360" s="16"/>
      <c r="D360" s="16"/>
      <c r="E360" s="12"/>
      <c r="F360" s="12"/>
      <c r="G360" s="13"/>
      <c r="H360" s="14"/>
      <c r="I360" s="15"/>
      <c r="J360" s="37">
        <v>0</v>
      </c>
      <c r="K360" s="37">
        <v>0</v>
      </c>
      <c r="L360" s="37">
        <v>0</v>
      </c>
      <c r="M360" s="37">
        <v>0</v>
      </c>
      <c r="N360" s="39">
        <v>0</v>
      </c>
      <c r="O360" s="37">
        <v>0</v>
      </c>
      <c r="P360" s="39">
        <v>400000</v>
      </c>
      <c r="Q360" s="37">
        <v>0</v>
      </c>
      <c r="R360" s="37">
        <v>0</v>
      </c>
      <c r="S360" s="37"/>
      <c r="T360" s="37"/>
      <c r="U360" s="37"/>
      <c r="V360" s="59">
        <f t="shared" ref="V360:V366" si="44">SUM(J360:U360)</f>
        <v>400000</v>
      </c>
      <c r="W360" s="60">
        <f t="shared" ref="W360:W366" si="45">V360/400000</f>
        <v>1</v>
      </c>
      <c r="X360" s="60">
        <f t="shared" ref="X360:X366" si="46">COUNTIF(J360:U360,"&gt;0")</f>
        <v>1</v>
      </c>
      <c r="Y360" s="60">
        <f t="shared" ref="Y360:Y366" si="47">ROUNDUP(W360,0)</f>
        <v>1</v>
      </c>
    </row>
    <row r="361" spans="1:25">
      <c r="A361" s="12">
        <v>359</v>
      </c>
      <c r="B361" s="16" t="s">
        <v>738</v>
      </c>
      <c r="C361" s="16"/>
      <c r="D361" s="16"/>
      <c r="E361" s="12"/>
      <c r="F361" s="12"/>
      <c r="G361" s="13"/>
      <c r="H361" s="14"/>
      <c r="I361" s="15"/>
      <c r="J361" s="37">
        <v>0</v>
      </c>
      <c r="K361" s="37">
        <v>0</v>
      </c>
      <c r="L361" s="37">
        <v>0</v>
      </c>
      <c r="M361" s="37">
        <v>0</v>
      </c>
      <c r="N361" s="39">
        <v>0</v>
      </c>
      <c r="O361" s="37">
        <v>0</v>
      </c>
      <c r="P361" s="39">
        <v>20000</v>
      </c>
      <c r="Q361" s="37">
        <v>0</v>
      </c>
      <c r="R361" s="37">
        <v>0</v>
      </c>
      <c r="S361" s="37"/>
      <c r="T361" s="37"/>
      <c r="U361" s="37"/>
      <c r="V361" s="59">
        <f t="shared" si="44"/>
        <v>20000</v>
      </c>
      <c r="W361" s="60">
        <f t="shared" si="45"/>
        <v>0.05</v>
      </c>
      <c r="X361" s="60">
        <f t="shared" si="46"/>
        <v>1</v>
      </c>
      <c r="Y361" s="60">
        <f t="shared" si="47"/>
        <v>1</v>
      </c>
    </row>
    <row r="362" spans="1:25">
      <c r="A362" s="12">
        <v>360</v>
      </c>
      <c r="B362" s="16" t="s">
        <v>739</v>
      </c>
      <c r="C362" s="16">
        <v>1104013538</v>
      </c>
      <c r="D362" s="16"/>
      <c r="E362" s="12"/>
      <c r="F362" s="12"/>
      <c r="G362" s="13"/>
      <c r="H362" s="14"/>
      <c r="I362" s="15"/>
      <c r="J362" s="37">
        <v>0</v>
      </c>
      <c r="K362" s="37">
        <v>0</v>
      </c>
      <c r="L362" s="37">
        <v>0</v>
      </c>
      <c r="M362" s="37">
        <v>0</v>
      </c>
      <c r="N362" s="39">
        <v>0</v>
      </c>
      <c r="O362" s="37">
        <v>0</v>
      </c>
      <c r="P362" s="39">
        <v>200000</v>
      </c>
      <c r="Q362" s="37">
        <v>0</v>
      </c>
      <c r="R362" s="37">
        <v>0</v>
      </c>
      <c r="S362" s="37"/>
      <c r="T362" s="37"/>
      <c r="U362" s="37"/>
      <c r="V362" s="59">
        <f t="shared" si="44"/>
        <v>200000</v>
      </c>
      <c r="W362" s="60">
        <f t="shared" si="45"/>
        <v>0.5</v>
      </c>
      <c r="X362" s="60">
        <f t="shared" si="46"/>
        <v>1</v>
      </c>
      <c r="Y362" s="60">
        <f t="shared" si="47"/>
        <v>1</v>
      </c>
    </row>
    <row r="363" spans="1:25">
      <c r="A363" s="12">
        <v>361</v>
      </c>
      <c r="B363" s="16" t="s">
        <v>740</v>
      </c>
      <c r="C363" s="16">
        <v>1143389598</v>
      </c>
      <c r="D363" s="16"/>
      <c r="E363" s="12"/>
      <c r="F363" s="12"/>
      <c r="G363" s="13"/>
      <c r="H363" s="14"/>
      <c r="I363" s="15"/>
      <c r="J363" s="37">
        <v>0</v>
      </c>
      <c r="K363" s="37">
        <v>0</v>
      </c>
      <c r="L363" s="37">
        <v>0</v>
      </c>
      <c r="M363" s="37">
        <v>0</v>
      </c>
      <c r="N363" s="39">
        <v>0</v>
      </c>
      <c r="O363" s="37">
        <v>0</v>
      </c>
      <c r="P363" s="39">
        <v>400000</v>
      </c>
      <c r="Q363" s="37">
        <v>0</v>
      </c>
      <c r="R363" s="37">
        <v>400000</v>
      </c>
      <c r="S363" s="37"/>
      <c r="T363" s="37"/>
      <c r="U363" s="37"/>
      <c r="V363" s="59">
        <f t="shared" si="44"/>
        <v>800000</v>
      </c>
      <c r="W363" s="60">
        <f t="shared" si="45"/>
        <v>2</v>
      </c>
      <c r="X363" s="60">
        <f t="shared" si="46"/>
        <v>2</v>
      </c>
      <c r="Y363" s="60">
        <f t="shared" si="47"/>
        <v>2</v>
      </c>
    </row>
    <row r="364" spans="1:25">
      <c r="A364" s="12">
        <v>362</v>
      </c>
      <c r="B364" s="16" t="s">
        <v>741</v>
      </c>
      <c r="C364" s="16">
        <v>32832250</v>
      </c>
      <c r="D364" s="16">
        <v>3012865606</v>
      </c>
      <c r="E364" s="12" t="s">
        <v>345</v>
      </c>
      <c r="F364" s="12"/>
      <c r="G364" s="13"/>
      <c r="H364" s="14"/>
      <c r="I364" s="15"/>
      <c r="J364" s="37">
        <v>0</v>
      </c>
      <c r="K364" s="37">
        <v>0</v>
      </c>
      <c r="L364" s="37">
        <v>0</v>
      </c>
      <c r="M364" s="37">
        <v>0</v>
      </c>
      <c r="N364" s="39">
        <v>0</v>
      </c>
      <c r="O364" s="37">
        <v>0</v>
      </c>
      <c r="P364" s="39">
        <v>400000</v>
      </c>
      <c r="Q364" s="37">
        <v>0</v>
      </c>
      <c r="R364" s="37">
        <v>0</v>
      </c>
      <c r="S364" s="37"/>
      <c r="T364" s="37"/>
      <c r="U364" s="37"/>
      <c r="V364" s="59">
        <f t="shared" si="44"/>
        <v>400000</v>
      </c>
      <c r="W364" s="60">
        <f t="shared" si="45"/>
        <v>1</v>
      </c>
      <c r="X364" s="60">
        <f t="shared" si="46"/>
        <v>1</v>
      </c>
      <c r="Y364" s="60">
        <f t="shared" si="47"/>
        <v>1</v>
      </c>
    </row>
    <row r="365" spans="1:25">
      <c r="A365" s="12">
        <v>363</v>
      </c>
      <c r="B365" s="16" t="s">
        <v>745</v>
      </c>
      <c r="C365" s="16"/>
      <c r="D365" s="16"/>
      <c r="E365" s="12" t="s">
        <v>646</v>
      </c>
      <c r="F365" s="12"/>
      <c r="G365" s="13"/>
      <c r="H365" s="14"/>
      <c r="I365" s="15"/>
      <c r="J365" s="37">
        <v>0</v>
      </c>
      <c r="K365" s="37">
        <v>0</v>
      </c>
      <c r="L365" s="37">
        <v>0</v>
      </c>
      <c r="M365" s="37">
        <v>0</v>
      </c>
      <c r="N365" s="39">
        <v>0</v>
      </c>
      <c r="O365" s="37">
        <v>0</v>
      </c>
      <c r="P365" s="39">
        <v>200000</v>
      </c>
      <c r="Q365" s="37">
        <v>0</v>
      </c>
      <c r="R365" s="37">
        <v>0</v>
      </c>
      <c r="S365" s="37"/>
      <c r="T365" s="37"/>
      <c r="U365" s="37"/>
      <c r="V365" s="59">
        <f t="shared" si="44"/>
        <v>200000</v>
      </c>
      <c r="W365" s="60">
        <f t="shared" si="45"/>
        <v>0.5</v>
      </c>
      <c r="X365" s="60">
        <f t="shared" si="46"/>
        <v>1</v>
      </c>
      <c r="Y365" s="60">
        <f t="shared" si="47"/>
        <v>1</v>
      </c>
    </row>
    <row r="366" spans="1:25">
      <c r="A366" s="12">
        <v>364</v>
      </c>
      <c r="B366" s="16" t="s">
        <v>746</v>
      </c>
      <c r="C366" s="16"/>
      <c r="D366" s="16"/>
      <c r="E366" s="12" t="s">
        <v>729</v>
      </c>
      <c r="F366" s="12"/>
      <c r="G366" s="13"/>
      <c r="H366" s="14"/>
      <c r="I366" s="15"/>
      <c r="J366" s="37">
        <v>0</v>
      </c>
      <c r="K366" s="37">
        <v>0</v>
      </c>
      <c r="L366" s="37">
        <v>0</v>
      </c>
      <c r="M366" s="37">
        <v>0</v>
      </c>
      <c r="N366" s="39">
        <v>0</v>
      </c>
      <c r="O366" s="39">
        <v>6855000</v>
      </c>
      <c r="P366" s="39">
        <v>0</v>
      </c>
      <c r="Q366" s="37">
        <v>0</v>
      </c>
      <c r="R366" s="37">
        <v>0</v>
      </c>
      <c r="S366" s="37"/>
      <c r="T366" s="37"/>
      <c r="U366" s="37"/>
      <c r="V366" s="59">
        <f t="shared" si="44"/>
        <v>6855000</v>
      </c>
      <c r="W366" s="60">
        <f t="shared" si="45"/>
        <v>17.137499999999999</v>
      </c>
      <c r="X366" s="60">
        <f t="shared" si="46"/>
        <v>1</v>
      </c>
      <c r="Y366" s="60">
        <f t="shared" si="47"/>
        <v>18</v>
      </c>
    </row>
    <row r="367" spans="1:25">
      <c r="A367" s="12">
        <v>365</v>
      </c>
      <c r="B367" s="16" t="s">
        <v>747</v>
      </c>
      <c r="C367" s="16">
        <v>8705405</v>
      </c>
      <c r="D367" s="16"/>
      <c r="E367" s="12" t="s">
        <v>358</v>
      </c>
      <c r="F367" s="12"/>
      <c r="G367" s="13"/>
      <c r="H367" s="14"/>
      <c r="I367" s="15"/>
      <c r="J367" s="37">
        <v>0</v>
      </c>
      <c r="K367" s="37">
        <v>0</v>
      </c>
      <c r="L367" s="37">
        <v>0</v>
      </c>
      <c r="M367" s="37">
        <v>0</v>
      </c>
      <c r="N367" s="39">
        <v>0</v>
      </c>
      <c r="O367" s="37">
        <v>0</v>
      </c>
      <c r="P367" s="39">
        <v>400000</v>
      </c>
      <c r="Q367" s="37">
        <v>0</v>
      </c>
      <c r="R367" s="37">
        <v>400000</v>
      </c>
      <c r="S367" s="37"/>
      <c r="T367" s="37"/>
      <c r="U367" s="37"/>
      <c r="V367" s="59">
        <f t="shared" si="36"/>
        <v>800000</v>
      </c>
      <c r="W367" s="60">
        <f t="shared" si="37"/>
        <v>2</v>
      </c>
      <c r="X367" s="60">
        <f t="shared" si="38"/>
        <v>2</v>
      </c>
      <c r="Y367" s="60">
        <f t="shared" si="39"/>
        <v>2</v>
      </c>
    </row>
    <row r="368" spans="1:25">
      <c r="A368" s="12">
        <v>366</v>
      </c>
      <c r="B368" s="16" t="s">
        <v>748</v>
      </c>
      <c r="C368" s="16"/>
      <c r="D368" s="16"/>
      <c r="E368" s="12" t="s">
        <v>358</v>
      </c>
      <c r="F368" s="12"/>
      <c r="G368" s="13"/>
      <c r="H368" s="14"/>
      <c r="I368" s="15"/>
      <c r="J368" s="37">
        <v>0</v>
      </c>
      <c r="K368" s="37">
        <v>0</v>
      </c>
      <c r="L368" s="37">
        <v>0</v>
      </c>
      <c r="M368" s="37">
        <v>0</v>
      </c>
      <c r="N368" s="39">
        <v>0</v>
      </c>
      <c r="O368" s="37">
        <v>0</v>
      </c>
      <c r="P368" s="39">
        <v>400000</v>
      </c>
      <c r="Q368" s="37">
        <v>0</v>
      </c>
      <c r="R368" s="37">
        <v>0</v>
      </c>
      <c r="S368" s="37"/>
      <c r="T368" s="37"/>
      <c r="U368" s="37"/>
      <c r="V368" s="59">
        <f t="shared" si="36"/>
        <v>400000</v>
      </c>
      <c r="W368" s="60">
        <f t="shared" si="37"/>
        <v>1</v>
      </c>
      <c r="X368" s="60">
        <f t="shared" si="38"/>
        <v>1</v>
      </c>
      <c r="Y368" s="60">
        <f t="shared" si="39"/>
        <v>1</v>
      </c>
    </row>
    <row r="369" spans="1:25">
      <c r="A369" s="12">
        <v>367</v>
      </c>
      <c r="B369" s="16" t="s">
        <v>749</v>
      </c>
      <c r="C369" s="16"/>
      <c r="D369" s="16"/>
      <c r="E369" s="12" t="s">
        <v>346</v>
      </c>
      <c r="F369" s="12"/>
      <c r="G369" s="13"/>
      <c r="H369" s="14"/>
      <c r="I369" s="15"/>
      <c r="J369" s="37">
        <v>0</v>
      </c>
      <c r="K369" s="37">
        <v>0</v>
      </c>
      <c r="L369" s="37">
        <v>0</v>
      </c>
      <c r="M369" s="37">
        <v>0</v>
      </c>
      <c r="N369" s="39">
        <v>0</v>
      </c>
      <c r="O369" s="37">
        <v>0</v>
      </c>
      <c r="P369" s="39">
        <v>400000</v>
      </c>
      <c r="Q369" s="37">
        <v>0</v>
      </c>
      <c r="R369" s="37">
        <v>0</v>
      </c>
      <c r="S369" s="37"/>
      <c r="T369" s="37"/>
      <c r="U369" s="37"/>
      <c r="V369" s="59">
        <f t="shared" si="36"/>
        <v>400000</v>
      </c>
      <c r="W369" s="60">
        <f t="shared" si="37"/>
        <v>1</v>
      </c>
      <c r="X369" s="60">
        <f t="shared" si="38"/>
        <v>1</v>
      </c>
      <c r="Y369" s="60">
        <f t="shared" si="39"/>
        <v>1</v>
      </c>
    </row>
    <row r="370" spans="1:25">
      <c r="A370" s="12">
        <v>368</v>
      </c>
      <c r="B370" s="16" t="s">
        <v>756</v>
      </c>
      <c r="C370" s="16"/>
      <c r="D370" s="16"/>
      <c r="E370" s="12"/>
      <c r="F370" s="12"/>
      <c r="G370" s="13"/>
      <c r="H370" s="14"/>
      <c r="I370" s="15"/>
      <c r="J370" s="37">
        <v>0</v>
      </c>
      <c r="K370" s="37">
        <v>0</v>
      </c>
      <c r="L370" s="37">
        <v>0</v>
      </c>
      <c r="M370" s="37">
        <v>0</v>
      </c>
      <c r="N370" s="39">
        <v>0</v>
      </c>
      <c r="O370" s="37">
        <v>0</v>
      </c>
      <c r="P370" s="39">
        <v>0</v>
      </c>
      <c r="Q370" s="37">
        <v>400000</v>
      </c>
      <c r="R370" s="37">
        <v>0</v>
      </c>
      <c r="S370" s="37"/>
      <c r="T370" s="37"/>
      <c r="U370" s="37"/>
      <c r="V370" s="59">
        <f t="shared" si="36"/>
        <v>400000</v>
      </c>
      <c r="W370" s="60">
        <f t="shared" si="37"/>
        <v>1</v>
      </c>
      <c r="X370" s="60">
        <f t="shared" si="38"/>
        <v>1</v>
      </c>
      <c r="Y370" s="60">
        <f t="shared" si="39"/>
        <v>1</v>
      </c>
    </row>
    <row r="371" spans="1:25">
      <c r="A371" s="12">
        <v>369</v>
      </c>
      <c r="B371" s="16" t="s">
        <v>757</v>
      </c>
      <c r="C371" s="16">
        <v>88279891</v>
      </c>
      <c r="D371" s="16">
        <v>3118685433</v>
      </c>
      <c r="E371" s="12" t="s">
        <v>344</v>
      </c>
      <c r="F371" s="12"/>
      <c r="G371" s="13"/>
      <c r="H371" s="14"/>
      <c r="I371" s="15"/>
      <c r="J371" s="37">
        <v>0</v>
      </c>
      <c r="K371" s="37">
        <v>0</v>
      </c>
      <c r="L371" s="37">
        <v>0</v>
      </c>
      <c r="M371" s="37">
        <v>0</v>
      </c>
      <c r="N371" s="39">
        <v>0</v>
      </c>
      <c r="O371" s="37">
        <v>0</v>
      </c>
      <c r="P371" s="39">
        <v>0</v>
      </c>
      <c r="Q371" s="37">
        <v>400000</v>
      </c>
      <c r="R371" s="37">
        <v>0</v>
      </c>
      <c r="S371" s="37"/>
      <c r="T371" s="37"/>
      <c r="U371" s="37"/>
      <c r="V371" s="59">
        <f t="shared" si="36"/>
        <v>400000</v>
      </c>
      <c r="W371" s="60">
        <f t="shared" si="37"/>
        <v>1</v>
      </c>
      <c r="X371" s="60">
        <f t="shared" si="38"/>
        <v>1</v>
      </c>
      <c r="Y371" s="60">
        <f t="shared" si="39"/>
        <v>1</v>
      </c>
    </row>
    <row r="372" spans="1:25">
      <c r="A372" s="12">
        <v>370</v>
      </c>
      <c r="B372" s="16" t="s">
        <v>758</v>
      </c>
      <c r="C372" s="16">
        <v>1091669384</v>
      </c>
      <c r="D372" s="16">
        <v>3147117123</v>
      </c>
      <c r="E372" s="12" t="s">
        <v>344</v>
      </c>
      <c r="F372" s="12"/>
      <c r="G372" s="13"/>
      <c r="H372" s="14"/>
      <c r="I372" s="15"/>
      <c r="J372" s="37">
        <v>0</v>
      </c>
      <c r="K372" s="37">
        <v>0</v>
      </c>
      <c r="L372" s="37">
        <v>0</v>
      </c>
      <c r="M372" s="37">
        <v>0</v>
      </c>
      <c r="N372" s="39">
        <v>0</v>
      </c>
      <c r="O372" s="37">
        <v>0</v>
      </c>
      <c r="P372" s="39">
        <v>0</v>
      </c>
      <c r="Q372" s="37">
        <v>400000</v>
      </c>
      <c r="R372" s="37">
        <v>0</v>
      </c>
      <c r="S372" s="37"/>
      <c r="T372" s="37"/>
      <c r="U372" s="37"/>
      <c r="V372" s="59">
        <f t="shared" ref="V372:V375" si="48">SUM(J372:U372)</f>
        <v>400000</v>
      </c>
      <c r="W372" s="60">
        <f t="shared" ref="W372:W375" si="49">V372/400000</f>
        <v>1</v>
      </c>
      <c r="X372" s="60">
        <f t="shared" ref="X372:X375" si="50">COUNTIF(J372:U372,"&gt;0")</f>
        <v>1</v>
      </c>
      <c r="Y372" s="60">
        <f t="shared" ref="Y372:Y375" si="51">ROUNDUP(W372,0)</f>
        <v>1</v>
      </c>
    </row>
    <row r="373" spans="1:25">
      <c r="A373" s="12">
        <v>371</v>
      </c>
      <c r="B373" s="16" t="s">
        <v>759</v>
      </c>
      <c r="C373" s="16">
        <v>1092174014</v>
      </c>
      <c r="D373" s="16">
        <v>3219849926</v>
      </c>
      <c r="E373" s="12" t="s">
        <v>344</v>
      </c>
      <c r="F373" s="12"/>
      <c r="G373" s="13"/>
      <c r="H373" s="14"/>
      <c r="I373" s="15"/>
      <c r="J373" s="37">
        <v>0</v>
      </c>
      <c r="K373" s="37">
        <v>0</v>
      </c>
      <c r="L373" s="37">
        <v>0</v>
      </c>
      <c r="M373" s="37">
        <v>0</v>
      </c>
      <c r="N373" s="39">
        <v>0</v>
      </c>
      <c r="O373" s="37">
        <v>0</v>
      </c>
      <c r="P373" s="39">
        <v>0</v>
      </c>
      <c r="Q373" s="37">
        <v>400000</v>
      </c>
      <c r="R373" s="37">
        <v>0</v>
      </c>
      <c r="S373" s="37"/>
      <c r="T373" s="37"/>
      <c r="U373" s="37"/>
      <c r="V373" s="59">
        <f t="shared" si="48"/>
        <v>400000</v>
      </c>
      <c r="W373" s="60">
        <f t="shared" si="49"/>
        <v>1</v>
      </c>
      <c r="X373" s="60">
        <f t="shared" si="50"/>
        <v>1</v>
      </c>
      <c r="Y373" s="60">
        <f t="shared" si="51"/>
        <v>1</v>
      </c>
    </row>
    <row r="374" spans="1:25">
      <c r="A374" s="12">
        <v>372</v>
      </c>
      <c r="B374" s="16" t="s">
        <v>760</v>
      </c>
      <c r="C374" s="16"/>
      <c r="D374" s="16"/>
      <c r="E374" s="12" t="s">
        <v>729</v>
      </c>
      <c r="F374" s="12"/>
      <c r="G374" s="13"/>
      <c r="H374" s="14"/>
      <c r="I374" s="15"/>
      <c r="J374" s="37">
        <v>0</v>
      </c>
      <c r="K374" s="37">
        <v>0</v>
      </c>
      <c r="L374" s="37">
        <v>0</v>
      </c>
      <c r="M374" s="37">
        <v>0</v>
      </c>
      <c r="N374" s="39">
        <v>0</v>
      </c>
      <c r="O374" s="37">
        <v>0</v>
      </c>
      <c r="P374" s="37">
        <v>11081664</v>
      </c>
      <c r="Q374" s="37">
        <v>0</v>
      </c>
      <c r="R374" s="37">
        <v>0</v>
      </c>
      <c r="S374" s="37"/>
      <c r="T374" s="37"/>
      <c r="U374" s="37"/>
      <c r="V374" s="59">
        <f t="shared" si="48"/>
        <v>11081664</v>
      </c>
      <c r="W374" s="60">
        <f t="shared" si="49"/>
        <v>27.704160000000002</v>
      </c>
      <c r="X374" s="60">
        <f t="shared" si="50"/>
        <v>1</v>
      </c>
      <c r="Y374" s="60">
        <f t="shared" si="51"/>
        <v>28</v>
      </c>
    </row>
    <row r="375" spans="1:25">
      <c r="A375" s="12">
        <v>373</v>
      </c>
      <c r="B375" s="16" t="s">
        <v>766</v>
      </c>
      <c r="C375" s="16">
        <v>1030565501</v>
      </c>
      <c r="D375" s="16"/>
      <c r="E375" s="12" t="s">
        <v>257</v>
      </c>
      <c r="F375" s="12"/>
      <c r="G375" s="13"/>
      <c r="H375" s="14"/>
      <c r="I375" s="15"/>
      <c r="J375" s="37">
        <v>0</v>
      </c>
      <c r="K375" s="37">
        <v>0</v>
      </c>
      <c r="L375" s="37">
        <v>0</v>
      </c>
      <c r="M375" s="37">
        <v>0</v>
      </c>
      <c r="N375" s="39">
        <v>0</v>
      </c>
      <c r="O375" s="37">
        <v>0</v>
      </c>
      <c r="P375" s="39">
        <v>0</v>
      </c>
      <c r="Q375" s="37">
        <v>6000000</v>
      </c>
      <c r="R375" s="37">
        <v>0</v>
      </c>
      <c r="S375" s="37"/>
      <c r="T375" s="37"/>
      <c r="U375" s="37"/>
      <c r="V375" s="59">
        <f t="shared" si="48"/>
        <v>6000000</v>
      </c>
      <c r="W375" s="60">
        <f t="shared" si="49"/>
        <v>15</v>
      </c>
      <c r="X375" s="60">
        <f t="shared" si="50"/>
        <v>1</v>
      </c>
      <c r="Y375" s="60">
        <f t="shared" si="51"/>
        <v>15</v>
      </c>
    </row>
    <row r="376" spans="1:25">
      <c r="A376" s="12"/>
      <c r="B376" s="16" t="s">
        <v>767</v>
      </c>
      <c r="C376" s="16">
        <v>1057017303</v>
      </c>
      <c r="D376" s="16"/>
      <c r="E376" s="12" t="s">
        <v>479</v>
      </c>
      <c r="F376" s="12"/>
      <c r="G376" s="13"/>
      <c r="H376" s="14"/>
      <c r="I376" s="15"/>
      <c r="J376" s="37">
        <v>0</v>
      </c>
      <c r="K376" s="37">
        <v>0</v>
      </c>
      <c r="L376" s="37">
        <v>0</v>
      </c>
      <c r="M376" s="37">
        <v>0</v>
      </c>
      <c r="N376" s="39">
        <v>0</v>
      </c>
      <c r="O376" s="37">
        <v>0</v>
      </c>
      <c r="P376" s="39">
        <v>0</v>
      </c>
      <c r="Q376" s="37">
        <v>200000</v>
      </c>
      <c r="R376" s="37">
        <v>200000</v>
      </c>
      <c r="S376" s="37"/>
      <c r="T376" s="37"/>
      <c r="U376" s="37"/>
      <c r="V376" s="59">
        <f t="shared" ref="V376:V400" si="52">SUM(J376:U376)</f>
        <v>400000</v>
      </c>
      <c r="W376" s="60">
        <f t="shared" ref="W376:W400" si="53">V376/400000</f>
        <v>1</v>
      </c>
      <c r="X376" s="60">
        <f t="shared" ref="X376:X400" si="54">COUNTIF(J376:U376,"&gt;0")</f>
        <v>2</v>
      </c>
      <c r="Y376" s="60">
        <f t="shared" ref="Y376:Y400" si="55">ROUNDUP(W376,0)</f>
        <v>1</v>
      </c>
    </row>
    <row r="377" spans="1:25">
      <c r="A377" s="12"/>
      <c r="B377" s="16" t="s">
        <v>768</v>
      </c>
      <c r="C377" s="16">
        <v>80295901</v>
      </c>
      <c r="D377" s="16"/>
      <c r="E377" s="12" t="s">
        <v>479</v>
      </c>
      <c r="F377" s="12"/>
      <c r="G377" s="13"/>
      <c r="H377" s="14"/>
      <c r="I377" s="15"/>
      <c r="J377" s="37">
        <v>0</v>
      </c>
      <c r="K377" s="37">
        <v>0</v>
      </c>
      <c r="L377" s="37">
        <v>0</v>
      </c>
      <c r="M377" s="37">
        <v>0</v>
      </c>
      <c r="N377" s="39">
        <v>0</v>
      </c>
      <c r="O377" s="37">
        <v>0</v>
      </c>
      <c r="P377" s="39">
        <v>0</v>
      </c>
      <c r="Q377" s="37">
        <v>200000</v>
      </c>
      <c r="R377" s="37">
        <v>200000</v>
      </c>
      <c r="S377" s="37"/>
      <c r="T377" s="37"/>
      <c r="U377" s="37"/>
      <c r="V377" s="59">
        <f t="shared" si="52"/>
        <v>400000</v>
      </c>
      <c r="W377" s="60">
        <f t="shared" si="53"/>
        <v>1</v>
      </c>
      <c r="X377" s="60">
        <f t="shared" si="54"/>
        <v>2</v>
      </c>
      <c r="Y377" s="60">
        <f t="shared" si="55"/>
        <v>1</v>
      </c>
    </row>
    <row r="378" spans="1:25">
      <c r="A378" s="12"/>
      <c r="B378" s="16" t="s">
        <v>769</v>
      </c>
      <c r="C378" s="16">
        <v>79168468</v>
      </c>
      <c r="D378" s="16"/>
      <c r="E378" s="12" t="s">
        <v>479</v>
      </c>
      <c r="F378" s="12"/>
      <c r="G378" s="13"/>
      <c r="H378" s="14"/>
      <c r="I378" s="15"/>
      <c r="J378" s="37">
        <v>0</v>
      </c>
      <c r="K378" s="37">
        <v>0</v>
      </c>
      <c r="L378" s="37">
        <v>0</v>
      </c>
      <c r="M378" s="37">
        <v>0</v>
      </c>
      <c r="N378" s="39">
        <v>0</v>
      </c>
      <c r="O378" s="37">
        <v>0</v>
      </c>
      <c r="P378" s="39">
        <v>0</v>
      </c>
      <c r="Q378" s="37">
        <v>400000</v>
      </c>
      <c r="R378" s="37">
        <v>400000</v>
      </c>
      <c r="S378" s="37"/>
      <c r="T378" s="37"/>
      <c r="U378" s="37"/>
      <c r="V378" s="59">
        <f t="shared" si="52"/>
        <v>800000</v>
      </c>
      <c r="W378" s="60">
        <f t="shared" si="53"/>
        <v>2</v>
      </c>
      <c r="X378" s="60">
        <f t="shared" si="54"/>
        <v>2</v>
      </c>
      <c r="Y378" s="60">
        <f t="shared" si="55"/>
        <v>2</v>
      </c>
    </row>
    <row r="379" spans="1:25">
      <c r="A379" s="12"/>
      <c r="B379" s="16" t="s">
        <v>770</v>
      </c>
      <c r="C379" s="16">
        <v>30237011</v>
      </c>
      <c r="D379" s="16"/>
      <c r="E379" s="12" t="s">
        <v>257</v>
      </c>
      <c r="F379" s="12"/>
      <c r="G379" s="13"/>
      <c r="H379" s="14"/>
      <c r="I379" s="15"/>
      <c r="J379" s="37">
        <v>0</v>
      </c>
      <c r="K379" s="37">
        <v>0</v>
      </c>
      <c r="L379" s="37">
        <v>0</v>
      </c>
      <c r="M379" s="37">
        <v>0</v>
      </c>
      <c r="N379" s="39">
        <v>0</v>
      </c>
      <c r="O379" s="37">
        <v>0</v>
      </c>
      <c r="P379" s="39">
        <v>0</v>
      </c>
      <c r="Q379" s="37">
        <v>400000</v>
      </c>
      <c r="R379" s="37">
        <v>0</v>
      </c>
      <c r="S379" s="37"/>
      <c r="T379" s="37"/>
      <c r="U379" s="37"/>
      <c r="V379" s="59">
        <f t="shared" ref="V379:V394" si="56">SUM(J379:U379)</f>
        <v>400000</v>
      </c>
      <c r="W379" s="60">
        <f t="shared" ref="W379:W394" si="57">V379/400000</f>
        <v>1</v>
      </c>
      <c r="X379" s="60">
        <f t="shared" ref="X379:X394" si="58">COUNTIF(J379:U379,"&gt;0")</f>
        <v>1</v>
      </c>
      <c r="Y379" s="60">
        <f t="shared" ref="Y379:Y394" si="59">ROUNDUP(W379,0)</f>
        <v>1</v>
      </c>
    </row>
    <row r="380" spans="1:25">
      <c r="A380" s="12"/>
      <c r="B380" s="16" t="s">
        <v>771</v>
      </c>
      <c r="C380" s="16">
        <v>1007539660</v>
      </c>
      <c r="D380" s="16"/>
      <c r="E380" s="12" t="s">
        <v>772</v>
      </c>
      <c r="F380" s="12"/>
      <c r="G380" s="13"/>
      <c r="H380" s="14"/>
      <c r="I380" s="15"/>
      <c r="J380" s="37">
        <v>0</v>
      </c>
      <c r="K380" s="37">
        <v>0</v>
      </c>
      <c r="L380" s="37">
        <v>0</v>
      </c>
      <c r="M380" s="37">
        <v>0</v>
      </c>
      <c r="N380" s="39">
        <v>0</v>
      </c>
      <c r="O380" s="37">
        <v>0</v>
      </c>
      <c r="P380" s="39">
        <v>0</v>
      </c>
      <c r="Q380" s="37">
        <v>400000</v>
      </c>
      <c r="R380" s="37">
        <v>0</v>
      </c>
      <c r="S380" s="37"/>
      <c r="T380" s="37"/>
      <c r="U380" s="37"/>
      <c r="V380" s="59">
        <f t="shared" si="56"/>
        <v>400000</v>
      </c>
      <c r="W380" s="60">
        <f t="shared" si="57"/>
        <v>1</v>
      </c>
      <c r="X380" s="60">
        <f t="shared" si="58"/>
        <v>1</v>
      </c>
      <c r="Y380" s="60">
        <f t="shared" si="59"/>
        <v>1</v>
      </c>
    </row>
    <row r="381" spans="1:25">
      <c r="A381" s="12"/>
      <c r="B381" s="16" t="s">
        <v>778</v>
      </c>
      <c r="C381" s="16"/>
      <c r="D381" s="16"/>
      <c r="E381" s="12" t="s">
        <v>257</v>
      </c>
      <c r="F381" s="12"/>
      <c r="G381" s="13"/>
      <c r="H381" s="14"/>
      <c r="I381" s="15"/>
      <c r="J381" s="37">
        <v>0</v>
      </c>
      <c r="K381" s="37">
        <v>0</v>
      </c>
      <c r="L381" s="37">
        <v>0</v>
      </c>
      <c r="M381" s="37">
        <v>0</v>
      </c>
      <c r="N381" s="39">
        <v>0</v>
      </c>
      <c r="O381" s="37">
        <v>0</v>
      </c>
      <c r="P381" s="39">
        <v>0</v>
      </c>
      <c r="Q381" s="37">
        <v>400000</v>
      </c>
      <c r="R381" s="37">
        <v>400000</v>
      </c>
      <c r="S381" s="37"/>
      <c r="T381" s="37"/>
      <c r="U381" s="37"/>
      <c r="V381" s="59">
        <f t="shared" ref="V381" si="60">SUM(J381:U381)</f>
        <v>800000</v>
      </c>
      <c r="W381" s="60">
        <f t="shared" ref="W381" si="61">V381/400000</f>
        <v>2</v>
      </c>
      <c r="X381" s="60">
        <f t="shared" ref="X381" si="62">COUNTIF(J381:U381,"&gt;0")</f>
        <v>2</v>
      </c>
      <c r="Y381" s="60">
        <f t="shared" ref="Y381" si="63">ROUNDUP(W381,0)</f>
        <v>2</v>
      </c>
    </row>
    <row r="382" spans="1:25">
      <c r="A382" s="12"/>
      <c r="B382" s="16" t="s">
        <v>779</v>
      </c>
      <c r="C382" s="16">
        <v>1070944123</v>
      </c>
      <c r="D382" s="16">
        <v>3222381080</v>
      </c>
      <c r="E382" s="12" t="s">
        <v>780</v>
      </c>
      <c r="F382" s="12"/>
      <c r="G382" s="13"/>
      <c r="H382" s="14"/>
      <c r="I382" s="15"/>
      <c r="J382" s="37">
        <v>0</v>
      </c>
      <c r="K382" s="37">
        <v>0</v>
      </c>
      <c r="L382" s="37">
        <v>0</v>
      </c>
      <c r="M382" s="37">
        <v>0</v>
      </c>
      <c r="N382" s="39">
        <v>0</v>
      </c>
      <c r="O382" s="37">
        <v>0</v>
      </c>
      <c r="P382" s="39">
        <v>0</v>
      </c>
      <c r="Q382" s="37">
        <v>400000</v>
      </c>
      <c r="R382" s="37">
        <v>0</v>
      </c>
      <c r="S382" s="37"/>
      <c r="T382" s="37"/>
      <c r="U382" s="37"/>
      <c r="V382" s="59">
        <f t="shared" ref="V382:V390" si="64">SUM(J382:U382)</f>
        <v>400000</v>
      </c>
      <c r="W382" s="60">
        <f t="shared" ref="W382:W390" si="65">V382/400000</f>
        <v>1</v>
      </c>
      <c r="X382" s="60">
        <f t="shared" ref="X382:X390" si="66">COUNTIF(J382:U382,"&gt;0")</f>
        <v>1</v>
      </c>
      <c r="Y382" s="60">
        <f t="shared" ref="Y382:Y390" si="67">ROUNDUP(W382,0)</f>
        <v>1</v>
      </c>
    </row>
    <row r="383" spans="1:25">
      <c r="A383" s="12"/>
      <c r="B383" s="16" t="s">
        <v>781</v>
      </c>
      <c r="C383" s="16">
        <v>22515914</v>
      </c>
      <c r="D383" s="16">
        <v>30072249259</v>
      </c>
      <c r="E383" s="12" t="s">
        <v>442</v>
      </c>
      <c r="F383" s="12"/>
      <c r="G383" s="13"/>
      <c r="H383" s="14"/>
      <c r="I383" s="15"/>
      <c r="J383" s="37">
        <v>0</v>
      </c>
      <c r="K383" s="37">
        <v>0</v>
      </c>
      <c r="L383" s="37">
        <v>0</v>
      </c>
      <c r="M383" s="37">
        <v>0</v>
      </c>
      <c r="N383" s="39">
        <v>0</v>
      </c>
      <c r="O383" s="37">
        <v>0</v>
      </c>
      <c r="P383" s="39">
        <v>0</v>
      </c>
      <c r="Q383" s="37">
        <v>100000</v>
      </c>
      <c r="R383" s="37">
        <v>0</v>
      </c>
      <c r="S383" s="37"/>
      <c r="T383" s="37"/>
      <c r="U383" s="37"/>
      <c r="V383" s="59">
        <f t="shared" si="64"/>
        <v>100000</v>
      </c>
      <c r="W383" s="60">
        <f t="shared" si="65"/>
        <v>0.25</v>
      </c>
      <c r="X383" s="60">
        <f t="shared" si="66"/>
        <v>1</v>
      </c>
      <c r="Y383" s="60">
        <f t="shared" si="67"/>
        <v>1</v>
      </c>
    </row>
    <row r="384" spans="1:25">
      <c r="A384" s="12"/>
      <c r="B384" s="16" t="s">
        <v>782</v>
      </c>
      <c r="C384" s="16">
        <v>54252584</v>
      </c>
      <c r="D384" s="16">
        <v>3173861007</v>
      </c>
      <c r="E384" s="12" t="s">
        <v>347</v>
      </c>
      <c r="F384" s="12"/>
      <c r="G384" s="13"/>
      <c r="H384" s="14"/>
      <c r="I384" s="15"/>
      <c r="J384" s="37">
        <v>0</v>
      </c>
      <c r="K384" s="37">
        <v>0</v>
      </c>
      <c r="L384" s="37">
        <v>0</v>
      </c>
      <c r="M384" s="37">
        <v>0</v>
      </c>
      <c r="N384" s="39">
        <v>0</v>
      </c>
      <c r="O384" s="37">
        <v>0</v>
      </c>
      <c r="P384" s="39">
        <v>0</v>
      </c>
      <c r="Q384" s="37">
        <v>200000</v>
      </c>
      <c r="R384" s="37">
        <v>0</v>
      </c>
      <c r="S384" s="37"/>
      <c r="T384" s="37"/>
      <c r="U384" s="37"/>
      <c r="V384" s="59">
        <f t="shared" si="64"/>
        <v>200000</v>
      </c>
      <c r="W384" s="60">
        <f t="shared" si="65"/>
        <v>0.5</v>
      </c>
      <c r="X384" s="60">
        <f t="shared" si="66"/>
        <v>1</v>
      </c>
      <c r="Y384" s="60">
        <f t="shared" si="67"/>
        <v>1</v>
      </c>
    </row>
    <row r="385" spans="1:25">
      <c r="A385" s="12"/>
      <c r="B385" s="16" t="s">
        <v>783</v>
      </c>
      <c r="C385" s="16"/>
      <c r="D385" s="16"/>
      <c r="E385" s="12" t="s">
        <v>447</v>
      </c>
      <c r="F385" s="12"/>
      <c r="G385" s="13"/>
      <c r="H385" s="14"/>
      <c r="I385" s="15"/>
      <c r="J385" s="37">
        <v>0</v>
      </c>
      <c r="K385" s="37">
        <v>0</v>
      </c>
      <c r="L385" s="37">
        <v>0</v>
      </c>
      <c r="M385" s="37">
        <v>0</v>
      </c>
      <c r="N385" s="39">
        <v>0</v>
      </c>
      <c r="O385" s="37">
        <v>0</v>
      </c>
      <c r="P385" s="39">
        <v>0</v>
      </c>
      <c r="Q385" s="37">
        <v>400000</v>
      </c>
      <c r="R385" s="37">
        <v>0</v>
      </c>
      <c r="S385" s="37"/>
      <c r="T385" s="37"/>
      <c r="U385" s="37"/>
      <c r="V385" s="59">
        <f t="shared" si="64"/>
        <v>400000</v>
      </c>
      <c r="W385" s="60">
        <f t="shared" si="65"/>
        <v>1</v>
      </c>
      <c r="X385" s="60">
        <f t="shared" si="66"/>
        <v>1</v>
      </c>
      <c r="Y385" s="60">
        <f t="shared" si="67"/>
        <v>1</v>
      </c>
    </row>
    <row r="386" spans="1:25">
      <c r="A386" s="12"/>
      <c r="B386" s="16" t="s">
        <v>784</v>
      </c>
      <c r="C386" s="16"/>
      <c r="D386" s="16"/>
      <c r="E386" s="12"/>
      <c r="F386" s="12"/>
      <c r="G386" s="13"/>
      <c r="H386" s="14"/>
      <c r="I386" s="15"/>
      <c r="J386" s="37">
        <v>0</v>
      </c>
      <c r="K386" s="37">
        <v>0</v>
      </c>
      <c r="L386" s="37">
        <v>0</v>
      </c>
      <c r="M386" s="37">
        <v>0</v>
      </c>
      <c r="N386" s="39">
        <v>0</v>
      </c>
      <c r="O386" s="37">
        <v>0</v>
      </c>
      <c r="P386" s="39">
        <v>0</v>
      </c>
      <c r="Q386" s="37">
        <v>0</v>
      </c>
      <c r="R386" s="37">
        <v>200000</v>
      </c>
      <c r="S386" s="37"/>
      <c r="T386" s="37"/>
      <c r="U386" s="37"/>
      <c r="V386" s="59">
        <f t="shared" si="64"/>
        <v>200000</v>
      </c>
      <c r="W386" s="60">
        <f t="shared" si="65"/>
        <v>0.5</v>
      </c>
      <c r="X386" s="60">
        <f t="shared" si="66"/>
        <v>1</v>
      </c>
      <c r="Y386" s="60">
        <f t="shared" si="67"/>
        <v>1</v>
      </c>
    </row>
    <row r="387" spans="1:25">
      <c r="A387" s="12"/>
      <c r="B387" s="16" t="s">
        <v>785</v>
      </c>
      <c r="C387" s="16">
        <v>26257342</v>
      </c>
      <c r="D387" s="16">
        <v>3147785533</v>
      </c>
      <c r="E387" s="12" t="s">
        <v>347</v>
      </c>
      <c r="F387" s="12"/>
      <c r="G387" s="13"/>
      <c r="H387" s="14"/>
      <c r="I387" s="15"/>
      <c r="J387" s="37">
        <v>0</v>
      </c>
      <c r="K387" s="37">
        <v>0</v>
      </c>
      <c r="L387" s="37">
        <v>0</v>
      </c>
      <c r="M387" s="37">
        <v>0</v>
      </c>
      <c r="N387" s="39">
        <v>0</v>
      </c>
      <c r="O387" s="37">
        <v>0</v>
      </c>
      <c r="P387" s="39">
        <v>0</v>
      </c>
      <c r="Q387" s="37">
        <v>50000</v>
      </c>
      <c r="R387" s="37">
        <v>0</v>
      </c>
      <c r="S387" s="37"/>
      <c r="T387" s="37"/>
      <c r="U387" s="37"/>
      <c r="V387" s="59">
        <f t="shared" si="64"/>
        <v>50000</v>
      </c>
      <c r="W387" s="60">
        <f t="shared" si="65"/>
        <v>0.125</v>
      </c>
      <c r="X387" s="60">
        <f t="shared" si="66"/>
        <v>1</v>
      </c>
      <c r="Y387" s="60">
        <f t="shared" si="67"/>
        <v>1</v>
      </c>
    </row>
    <row r="388" spans="1:25">
      <c r="A388" s="12"/>
      <c r="B388" s="16" t="s">
        <v>786</v>
      </c>
      <c r="C388" s="16">
        <v>11522202241</v>
      </c>
      <c r="D388" s="16">
        <v>3234875701</v>
      </c>
      <c r="E388" s="12" t="s">
        <v>345</v>
      </c>
      <c r="F388" s="12"/>
      <c r="G388" s="13"/>
      <c r="H388" s="14"/>
      <c r="I388" s="15"/>
      <c r="J388" s="37">
        <v>0</v>
      </c>
      <c r="K388" s="37">
        <v>0</v>
      </c>
      <c r="L388" s="37">
        <v>0</v>
      </c>
      <c r="M388" s="37">
        <v>0</v>
      </c>
      <c r="N388" s="39">
        <v>0</v>
      </c>
      <c r="O388" s="37">
        <v>0</v>
      </c>
      <c r="P388" s="39">
        <v>0</v>
      </c>
      <c r="Q388" s="37">
        <v>0</v>
      </c>
      <c r="R388" s="37">
        <v>400000</v>
      </c>
      <c r="S388" s="37"/>
      <c r="T388" s="37"/>
      <c r="U388" s="37"/>
      <c r="V388" s="59">
        <f t="shared" si="64"/>
        <v>400000</v>
      </c>
      <c r="W388" s="60">
        <f t="shared" si="65"/>
        <v>1</v>
      </c>
      <c r="X388" s="60">
        <f t="shared" si="66"/>
        <v>1</v>
      </c>
      <c r="Y388" s="60">
        <f t="shared" si="67"/>
        <v>1</v>
      </c>
    </row>
    <row r="389" spans="1:25">
      <c r="A389" s="12"/>
      <c r="B389" s="16" t="s">
        <v>787</v>
      </c>
      <c r="C389" s="16">
        <v>34975350</v>
      </c>
      <c r="D389" s="16">
        <v>3103526689</v>
      </c>
      <c r="E389" s="12"/>
      <c r="F389" s="12"/>
      <c r="G389" s="13"/>
      <c r="H389" s="14"/>
      <c r="I389" s="15"/>
      <c r="J389" s="37">
        <v>0</v>
      </c>
      <c r="K389" s="37">
        <v>0</v>
      </c>
      <c r="L389" s="37">
        <v>0</v>
      </c>
      <c r="M389" s="37">
        <v>0</v>
      </c>
      <c r="N389" s="39">
        <v>0</v>
      </c>
      <c r="O389" s="37">
        <v>0</v>
      </c>
      <c r="P389" s="39">
        <v>0</v>
      </c>
      <c r="Q389" s="37">
        <v>0</v>
      </c>
      <c r="R389" s="37">
        <v>400000</v>
      </c>
      <c r="S389" s="37"/>
      <c r="T389" s="37"/>
      <c r="U389" s="37"/>
      <c r="V389" s="59">
        <f t="shared" si="64"/>
        <v>400000</v>
      </c>
      <c r="W389" s="60">
        <f t="shared" si="65"/>
        <v>1</v>
      </c>
      <c r="X389" s="60">
        <f t="shared" si="66"/>
        <v>1</v>
      </c>
      <c r="Y389" s="60">
        <f t="shared" si="67"/>
        <v>1</v>
      </c>
    </row>
    <row r="390" spans="1:25">
      <c r="A390" s="12"/>
      <c r="B390" s="16" t="s">
        <v>788</v>
      </c>
      <c r="C390" s="16">
        <v>1036518167</v>
      </c>
      <c r="D390" s="16">
        <v>3127382972</v>
      </c>
      <c r="E390" s="12"/>
      <c r="F390" s="12"/>
      <c r="G390" s="13"/>
      <c r="H390" s="14"/>
      <c r="I390" s="15"/>
      <c r="J390" s="37">
        <v>0</v>
      </c>
      <c r="K390" s="37">
        <v>0</v>
      </c>
      <c r="L390" s="37">
        <v>0</v>
      </c>
      <c r="M390" s="37">
        <v>0</v>
      </c>
      <c r="N390" s="39">
        <v>0</v>
      </c>
      <c r="O390" s="37">
        <v>0</v>
      </c>
      <c r="P390" s="39">
        <v>0</v>
      </c>
      <c r="Q390" s="37">
        <v>0</v>
      </c>
      <c r="R390" s="37">
        <v>400000</v>
      </c>
      <c r="S390" s="37"/>
      <c r="T390" s="37"/>
      <c r="U390" s="37"/>
      <c r="V390" s="59">
        <f t="shared" si="64"/>
        <v>400000</v>
      </c>
      <c r="W390" s="60">
        <f t="shared" si="65"/>
        <v>1</v>
      </c>
      <c r="X390" s="60">
        <f t="shared" si="66"/>
        <v>1</v>
      </c>
      <c r="Y390" s="60">
        <f t="shared" si="67"/>
        <v>1</v>
      </c>
    </row>
    <row r="391" spans="1:25">
      <c r="A391" s="12"/>
      <c r="B391" s="16" t="s">
        <v>789</v>
      </c>
      <c r="C391" s="16">
        <v>1007945800</v>
      </c>
      <c r="D391" s="16">
        <v>3117039633</v>
      </c>
      <c r="E391" s="12" t="s">
        <v>344</v>
      </c>
      <c r="F391" s="12"/>
      <c r="G391" s="13"/>
      <c r="H391" s="14"/>
      <c r="I391" s="15"/>
      <c r="J391" s="37">
        <v>0</v>
      </c>
      <c r="K391" s="37">
        <v>0</v>
      </c>
      <c r="L391" s="37">
        <v>0</v>
      </c>
      <c r="M391" s="37">
        <v>0</v>
      </c>
      <c r="N391" s="39">
        <v>0</v>
      </c>
      <c r="O391" s="37">
        <v>0</v>
      </c>
      <c r="P391" s="39">
        <v>0</v>
      </c>
      <c r="Q391" s="37">
        <v>0</v>
      </c>
      <c r="R391" s="37">
        <v>400000</v>
      </c>
      <c r="S391" s="37"/>
      <c r="T391" s="37"/>
      <c r="U391" s="37"/>
      <c r="V391" s="59">
        <f t="shared" si="56"/>
        <v>400000</v>
      </c>
      <c r="W391" s="60">
        <f t="shared" si="57"/>
        <v>1</v>
      </c>
      <c r="X391" s="60">
        <f t="shared" si="58"/>
        <v>1</v>
      </c>
      <c r="Y391" s="60">
        <f t="shared" si="59"/>
        <v>1</v>
      </c>
    </row>
    <row r="392" spans="1:25">
      <c r="A392" s="12"/>
      <c r="B392" s="16" t="s">
        <v>790</v>
      </c>
      <c r="C392" s="16">
        <v>1090386461</v>
      </c>
      <c r="D392" s="16">
        <v>3125897660</v>
      </c>
      <c r="E392" s="12" t="s">
        <v>344</v>
      </c>
      <c r="F392" s="12"/>
      <c r="G392" s="13"/>
      <c r="H392" s="14"/>
      <c r="I392" s="15"/>
      <c r="J392" s="37">
        <v>0</v>
      </c>
      <c r="K392" s="37">
        <v>0</v>
      </c>
      <c r="L392" s="37">
        <v>0</v>
      </c>
      <c r="M392" s="37">
        <v>0</v>
      </c>
      <c r="N392" s="39">
        <v>0</v>
      </c>
      <c r="O392" s="37">
        <v>0</v>
      </c>
      <c r="P392" s="39">
        <v>0</v>
      </c>
      <c r="Q392" s="37">
        <v>0</v>
      </c>
      <c r="R392" s="37">
        <v>400000</v>
      </c>
      <c r="S392" s="37"/>
      <c r="T392" s="37"/>
      <c r="U392" s="37"/>
      <c r="V392" s="59">
        <f t="shared" si="56"/>
        <v>400000</v>
      </c>
      <c r="W392" s="60">
        <f t="shared" si="57"/>
        <v>1</v>
      </c>
      <c r="X392" s="60">
        <f t="shared" si="58"/>
        <v>1</v>
      </c>
      <c r="Y392" s="60">
        <f t="shared" si="59"/>
        <v>1</v>
      </c>
    </row>
    <row r="393" spans="1:25">
      <c r="A393" s="12"/>
      <c r="B393" s="16" t="s">
        <v>791</v>
      </c>
      <c r="C393" s="16">
        <v>46678228</v>
      </c>
      <c r="D393" s="16">
        <v>3007722335</v>
      </c>
      <c r="E393" s="12" t="s">
        <v>792</v>
      </c>
      <c r="F393" s="12"/>
      <c r="G393" s="13"/>
      <c r="H393" s="14"/>
      <c r="I393" s="15"/>
      <c r="J393" s="37">
        <v>0</v>
      </c>
      <c r="K393" s="37">
        <v>0</v>
      </c>
      <c r="L393" s="37">
        <v>0</v>
      </c>
      <c r="M393" s="37">
        <v>0</v>
      </c>
      <c r="N393" s="39">
        <v>0</v>
      </c>
      <c r="O393" s="37">
        <v>0</v>
      </c>
      <c r="P393" s="39">
        <v>0</v>
      </c>
      <c r="Q393" s="37">
        <v>0</v>
      </c>
      <c r="R393" s="37">
        <v>400000</v>
      </c>
      <c r="S393" s="37"/>
      <c r="T393" s="37"/>
      <c r="U393" s="37"/>
      <c r="V393" s="59">
        <f t="shared" si="56"/>
        <v>400000</v>
      </c>
      <c r="W393" s="60">
        <f t="shared" si="57"/>
        <v>1</v>
      </c>
      <c r="X393" s="60">
        <f t="shared" si="58"/>
        <v>1</v>
      </c>
      <c r="Y393" s="60">
        <f t="shared" si="59"/>
        <v>1</v>
      </c>
    </row>
    <row r="394" spans="1:25">
      <c r="A394" s="12"/>
      <c r="B394" s="16" t="s">
        <v>793</v>
      </c>
      <c r="C394" s="16">
        <v>1090543586</v>
      </c>
      <c r="D394" s="16">
        <v>3016492753</v>
      </c>
      <c r="E394" s="12" t="s">
        <v>257</v>
      </c>
      <c r="F394" s="12"/>
      <c r="G394" s="13"/>
      <c r="H394" s="14"/>
      <c r="I394" s="15"/>
      <c r="J394" s="37">
        <v>0</v>
      </c>
      <c r="K394" s="37">
        <v>0</v>
      </c>
      <c r="L394" s="37">
        <v>0</v>
      </c>
      <c r="M394" s="37">
        <v>0</v>
      </c>
      <c r="N394" s="39">
        <v>0</v>
      </c>
      <c r="O394" s="37">
        <v>0</v>
      </c>
      <c r="P394" s="39">
        <v>0</v>
      </c>
      <c r="Q394" s="37">
        <v>0</v>
      </c>
      <c r="R394" s="37">
        <v>400000</v>
      </c>
      <c r="S394" s="37"/>
      <c r="T394" s="37"/>
      <c r="U394" s="37"/>
      <c r="V394" s="59">
        <f t="shared" si="56"/>
        <v>400000</v>
      </c>
      <c r="W394" s="60">
        <f t="shared" si="57"/>
        <v>1</v>
      </c>
      <c r="X394" s="60">
        <f t="shared" si="58"/>
        <v>1</v>
      </c>
      <c r="Y394" s="60">
        <f t="shared" si="59"/>
        <v>1</v>
      </c>
    </row>
    <row r="395" spans="1:25">
      <c r="A395" s="12"/>
      <c r="B395" s="16" t="s">
        <v>794</v>
      </c>
      <c r="C395" s="16">
        <v>37328637</v>
      </c>
      <c r="D395" s="16">
        <v>3158816309</v>
      </c>
      <c r="E395" s="12" t="s">
        <v>344</v>
      </c>
      <c r="F395" s="12"/>
      <c r="G395" s="13"/>
      <c r="H395" s="14"/>
      <c r="I395" s="15"/>
      <c r="J395" s="37">
        <v>0</v>
      </c>
      <c r="K395" s="37">
        <v>0</v>
      </c>
      <c r="L395" s="37">
        <v>0</v>
      </c>
      <c r="M395" s="37">
        <v>0</v>
      </c>
      <c r="N395" s="39">
        <v>0</v>
      </c>
      <c r="O395" s="37">
        <v>0</v>
      </c>
      <c r="P395" s="39">
        <v>0</v>
      </c>
      <c r="Q395" s="37">
        <v>0</v>
      </c>
      <c r="R395" s="37">
        <v>400000</v>
      </c>
      <c r="S395" s="37"/>
      <c r="T395" s="37"/>
      <c r="U395" s="37"/>
      <c r="V395" s="59">
        <f t="shared" si="52"/>
        <v>400000</v>
      </c>
      <c r="W395" s="60">
        <f t="shared" si="53"/>
        <v>1</v>
      </c>
      <c r="X395" s="60">
        <f t="shared" si="54"/>
        <v>1</v>
      </c>
      <c r="Y395" s="60">
        <f t="shared" si="55"/>
        <v>1</v>
      </c>
    </row>
    <row r="396" spans="1:25">
      <c r="A396" s="12"/>
      <c r="B396" s="16" t="s">
        <v>795</v>
      </c>
      <c r="C396" s="16">
        <v>79790651</v>
      </c>
      <c r="D396" s="16">
        <v>3212069469</v>
      </c>
      <c r="E396" s="12" t="s">
        <v>797</v>
      </c>
      <c r="F396" s="12"/>
      <c r="G396" s="13"/>
      <c r="H396" s="14"/>
      <c r="I396" s="15"/>
      <c r="J396" s="37">
        <v>0</v>
      </c>
      <c r="K396" s="37">
        <v>0</v>
      </c>
      <c r="L396" s="37">
        <v>0</v>
      </c>
      <c r="M396" s="37">
        <v>0</v>
      </c>
      <c r="N396" s="39">
        <v>0</v>
      </c>
      <c r="O396" s="37">
        <v>0</v>
      </c>
      <c r="P396" s="39">
        <v>0</v>
      </c>
      <c r="Q396" s="37">
        <v>0</v>
      </c>
      <c r="R396" s="37">
        <v>1800000</v>
      </c>
      <c r="S396" s="37"/>
      <c r="T396" s="37"/>
      <c r="U396" s="37"/>
      <c r="V396" s="59">
        <f t="shared" si="52"/>
        <v>1800000</v>
      </c>
      <c r="W396" s="60">
        <f t="shared" si="53"/>
        <v>4.5</v>
      </c>
      <c r="X396" s="60">
        <f t="shared" si="54"/>
        <v>1</v>
      </c>
      <c r="Y396" s="60">
        <f t="shared" si="55"/>
        <v>5</v>
      </c>
    </row>
    <row r="397" spans="1:25">
      <c r="A397" s="12"/>
      <c r="B397" s="16" t="s">
        <v>796</v>
      </c>
      <c r="C397" s="16"/>
      <c r="D397" s="16"/>
      <c r="E397" s="12" t="s">
        <v>729</v>
      </c>
      <c r="F397" s="12"/>
      <c r="G397" s="13"/>
      <c r="H397" s="14"/>
      <c r="I397" s="15"/>
      <c r="J397" s="37">
        <v>0</v>
      </c>
      <c r="K397" s="37">
        <v>0</v>
      </c>
      <c r="L397" s="37">
        <v>0</v>
      </c>
      <c r="M397" s="37">
        <v>0</v>
      </c>
      <c r="N397" s="39">
        <v>0</v>
      </c>
      <c r="O397" s="37">
        <v>0</v>
      </c>
      <c r="P397" s="39">
        <v>0</v>
      </c>
      <c r="Q397" s="37">
        <v>19311000</v>
      </c>
      <c r="R397" s="37">
        <v>0</v>
      </c>
      <c r="S397" s="37"/>
      <c r="T397" s="37"/>
      <c r="U397" s="37"/>
      <c r="V397" s="59">
        <f t="shared" si="52"/>
        <v>19311000</v>
      </c>
      <c r="W397" s="60">
        <f t="shared" si="53"/>
        <v>48.277500000000003</v>
      </c>
      <c r="X397" s="60">
        <f t="shared" si="54"/>
        <v>1</v>
      </c>
      <c r="Y397" s="60">
        <f t="shared" si="55"/>
        <v>49</v>
      </c>
    </row>
    <row r="398" spans="1:25">
      <c r="A398" s="12"/>
      <c r="B398" s="16"/>
      <c r="C398" s="16"/>
      <c r="D398" s="16"/>
      <c r="E398" s="12" t="s">
        <v>729</v>
      </c>
      <c r="F398" s="12"/>
      <c r="G398" s="13"/>
      <c r="H398" s="14"/>
      <c r="I398" s="15" t="s">
        <v>116</v>
      </c>
      <c r="J398" s="37">
        <v>0</v>
      </c>
      <c r="K398" s="37">
        <v>0</v>
      </c>
      <c r="L398" s="37">
        <v>0</v>
      </c>
      <c r="M398" s="37">
        <v>0</v>
      </c>
      <c r="N398" s="39">
        <v>0</v>
      </c>
      <c r="O398" s="37">
        <v>0</v>
      </c>
      <c r="P398" s="39">
        <v>0</v>
      </c>
      <c r="Q398" s="37">
        <v>0</v>
      </c>
      <c r="R398" s="37">
        <v>0</v>
      </c>
      <c r="S398" s="37"/>
      <c r="T398" s="37"/>
      <c r="U398" s="37"/>
      <c r="V398" s="59">
        <f t="shared" si="52"/>
        <v>0</v>
      </c>
      <c r="W398" s="60">
        <f t="shared" si="53"/>
        <v>0</v>
      </c>
      <c r="X398" s="60">
        <f t="shared" si="54"/>
        <v>0</v>
      </c>
      <c r="Y398" s="60">
        <f t="shared" si="55"/>
        <v>0</v>
      </c>
    </row>
    <row r="399" spans="1:25">
      <c r="A399" s="12">
        <v>374</v>
      </c>
      <c r="B399" s="16"/>
      <c r="C399" s="16"/>
      <c r="D399" s="16"/>
      <c r="E399" s="12" t="s">
        <v>729</v>
      </c>
      <c r="F399" s="12"/>
      <c r="G399" s="13"/>
      <c r="H399" s="14"/>
      <c r="I399" s="15" t="s">
        <v>116</v>
      </c>
      <c r="J399" s="37">
        <v>0</v>
      </c>
      <c r="K399" s="37">
        <v>0</v>
      </c>
      <c r="L399" s="37">
        <v>0</v>
      </c>
      <c r="M399" s="37">
        <v>0</v>
      </c>
      <c r="N399" s="39">
        <v>0</v>
      </c>
      <c r="O399" s="37">
        <v>0</v>
      </c>
      <c r="P399" s="39">
        <v>0</v>
      </c>
      <c r="Q399" s="37">
        <v>0</v>
      </c>
      <c r="R399" s="37">
        <v>0</v>
      </c>
      <c r="S399" s="37"/>
      <c r="T399" s="37"/>
      <c r="U399" s="37"/>
      <c r="V399" s="59">
        <f t="shared" si="52"/>
        <v>0</v>
      </c>
      <c r="W399" s="60">
        <f t="shared" si="53"/>
        <v>0</v>
      </c>
      <c r="X399" s="60">
        <f t="shared" si="54"/>
        <v>0</v>
      </c>
      <c r="Y399" s="60">
        <f t="shared" si="55"/>
        <v>0</v>
      </c>
    </row>
    <row r="400" spans="1:25">
      <c r="A400" s="12">
        <v>375</v>
      </c>
      <c r="B400" s="16"/>
      <c r="C400" s="16"/>
      <c r="D400" s="16"/>
      <c r="E400" s="12" t="s">
        <v>729</v>
      </c>
      <c r="F400" s="12"/>
      <c r="G400" s="13"/>
      <c r="H400" s="14"/>
      <c r="I400" s="15" t="s">
        <v>116</v>
      </c>
      <c r="J400" s="37">
        <v>0</v>
      </c>
      <c r="K400" s="37">
        <v>0</v>
      </c>
      <c r="L400" s="37">
        <v>0</v>
      </c>
      <c r="M400" s="37">
        <v>0</v>
      </c>
      <c r="N400" s="39">
        <v>0</v>
      </c>
      <c r="O400" s="37">
        <v>0</v>
      </c>
      <c r="P400" s="39">
        <v>0</v>
      </c>
      <c r="Q400" s="37">
        <v>0</v>
      </c>
      <c r="R400" s="37">
        <v>0</v>
      </c>
      <c r="S400" s="37"/>
      <c r="T400" s="37"/>
      <c r="U400" s="37"/>
      <c r="V400" s="59">
        <f t="shared" si="52"/>
        <v>0</v>
      </c>
      <c r="W400" s="60">
        <f t="shared" si="53"/>
        <v>0</v>
      </c>
      <c r="X400" s="60">
        <f t="shared" si="54"/>
        <v>0</v>
      </c>
      <c r="Y400" s="60">
        <f t="shared" si="55"/>
        <v>0</v>
      </c>
    </row>
    <row r="401" spans="1:25" s="52" customFormat="1" ht="12.75">
      <c r="A401" s="79"/>
      <c r="B401" s="80" t="s">
        <v>584</v>
      </c>
      <c r="C401" s="80"/>
      <c r="D401" s="80"/>
      <c r="E401" s="80"/>
      <c r="F401" s="80"/>
      <c r="G401" s="81">
        <f>SUM(G5:G268)</f>
        <v>734811909</v>
      </c>
      <c r="H401" s="82"/>
      <c r="I401" s="83"/>
      <c r="J401" s="84">
        <f>SUM(J5:J400)</f>
        <v>97408000</v>
      </c>
      <c r="K401" s="84">
        <f t="shared" ref="K401:U401" si="68">SUM(K5:K400)</f>
        <v>121440243</v>
      </c>
      <c r="L401" s="84">
        <f t="shared" si="68"/>
        <v>102625000</v>
      </c>
      <c r="M401" s="84">
        <f t="shared" si="68"/>
        <v>112685982</v>
      </c>
      <c r="N401" s="84">
        <f t="shared" si="68"/>
        <v>110994000</v>
      </c>
      <c r="O401" s="84">
        <f t="shared" si="68"/>
        <v>120764000</v>
      </c>
      <c r="P401" s="85">
        <f t="shared" si="68"/>
        <v>130541664</v>
      </c>
      <c r="Q401" s="84">
        <f t="shared" si="68"/>
        <v>127888500</v>
      </c>
      <c r="R401" s="84">
        <f t="shared" si="68"/>
        <v>60271000</v>
      </c>
      <c r="S401" s="84">
        <f t="shared" si="68"/>
        <v>0</v>
      </c>
      <c r="T401" s="84">
        <f t="shared" si="68"/>
        <v>0</v>
      </c>
      <c r="U401" s="84">
        <f t="shared" si="68"/>
        <v>0</v>
      </c>
      <c r="V401" s="79"/>
      <c r="W401" s="79"/>
      <c r="X401" s="79"/>
      <c r="Y401" s="79"/>
    </row>
    <row r="402" spans="1:25">
      <c r="A402" s="9"/>
      <c r="B402" s="9"/>
      <c r="C402" s="9"/>
      <c r="D402" s="9"/>
      <c r="E402" s="9"/>
      <c r="F402" s="9"/>
      <c r="G402" s="9"/>
      <c r="H402" s="9"/>
      <c r="I402" s="9"/>
      <c r="J402" s="10"/>
      <c r="K402" s="10"/>
      <c r="L402" s="10"/>
      <c r="M402" s="10"/>
      <c r="N402" s="10"/>
      <c r="O402" s="10"/>
      <c r="P402" s="2"/>
      <c r="Q402" s="10"/>
      <c r="R402" s="2"/>
      <c r="S402" s="10"/>
      <c r="T402" s="10"/>
      <c r="U402" s="10"/>
    </row>
    <row r="406" spans="1:25">
      <c r="J406" s="114"/>
    </row>
  </sheetData>
  <autoFilter ref="A4:Y401" xr:uid="{C6945147-255D-4DEE-A923-83C03D92F174}"/>
  <mergeCells count="1">
    <mergeCell ref="J3:U3"/>
  </mergeCells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699A-40DD-4DFB-9398-B93B524DECA8}">
  <sheetPr>
    <tabColor rgb="FFFF0000"/>
  </sheetPr>
  <dimension ref="A1:W124"/>
  <sheetViews>
    <sheetView zoomScale="80" zoomScaleNormal="80" workbookViewId="0">
      <pane ySplit="4" topLeftCell="A85" activePane="bottomLeft" state="frozen"/>
      <selection pane="bottomLeft" activeCell="C123" sqref="C123"/>
    </sheetView>
  </sheetViews>
  <sheetFormatPr baseColWidth="10" defaultColWidth="9.140625" defaultRowHeight="15"/>
  <cols>
    <col min="1" max="1" width="4.85546875" customWidth="1"/>
    <col min="2" max="2" width="15.7109375" customWidth="1"/>
    <col min="3" max="3" width="41.140625" customWidth="1"/>
    <col min="4" max="4" width="14.42578125" customWidth="1"/>
    <col min="5" max="5" width="14" customWidth="1"/>
    <col min="6" max="6" width="17.7109375" customWidth="1"/>
    <col min="7" max="7" width="8" customWidth="1"/>
    <col min="8" max="8" width="14.42578125" customWidth="1"/>
    <col min="9" max="9" width="12.7109375" customWidth="1"/>
    <col min="10" max="10" width="14.5703125" customWidth="1"/>
    <col min="11" max="11" width="15.28515625" customWidth="1"/>
    <col min="12" max="12" width="16.5703125" bestFit="1" customWidth="1"/>
    <col min="13" max="18" width="16.42578125" customWidth="1"/>
    <col min="19" max="19" width="19.28515625" customWidth="1"/>
    <col min="20" max="21" width="16.42578125" customWidth="1"/>
    <col min="22" max="23" width="19" customWidth="1"/>
  </cols>
  <sheetData>
    <row r="1" spans="1:23">
      <c r="I1" s="1"/>
    </row>
    <row r="3" spans="1:23">
      <c r="I3" s="1"/>
    </row>
    <row r="4" spans="1:23">
      <c r="A4" s="11" t="s">
        <v>0</v>
      </c>
      <c r="B4" s="11" t="s">
        <v>315</v>
      </c>
      <c r="C4" s="11" t="s">
        <v>1</v>
      </c>
      <c r="D4" s="11" t="s">
        <v>204</v>
      </c>
      <c r="E4" s="11" t="s">
        <v>205</v>
      </c>
      <c r="F4" s="11" t="s">
        <v>117</v>
      </c>
      <c r="G4" s="11" t="s">
        <v>2</v>
      </c>
      <c r="H4" s="11" t="s">
        <v>207</v>
      </c>
      <c r="I4" s="11" t="s">
        <v>3</v>
      </c>
      <c r="J4" s="11" t="s">
        <v>114</v>
      </c>
      <c r="K4" s="11" t="s">
        <v>118</v>
      </c>
      <c r="L4" s="11" t="s">
        <v>119</v>
      </c>
      <c r="M4" s="11" t="s">
        <v>120</v>
      </c>
      <c r="N4" s="11" t="s">
        <v>121</v>
      </c>
      <c r="O4" s="11" t="s">
        <v>185</v>
      </c>
      <c r="P4" s="11" t="s">
        <v>196</v>
      </c>
      <c r="Q4" s="11" t="s">
        <v>222</v>
      </c>
      <c r="R4" s="11" t="s">
        <v>244</v>
      </c>
      <c r="S4" s="11" t="s">
        <v>266</v>
      </c>
      <c r="T4" s="11" t="s">
        <v>277</v>
      </c>
      <c r="U4" s="11" t="s">
        <v>301</v>
      </c>
      <c r="V4" s="11" t="s">
        <v>302</v>
      </c>
      <c r="W4" s="11" t="s">
        <v>118</v>
      </c>
    </row>
    <row r="5" spans="1:23">
      <c r="A5" s="12">
        <v>1</v>
      </c>
      <c r="B5" s="12" t="s">
        <v>316</v>
      </c>
      <c r="C5" s="20" t="s">
        <v>243</v>
      </c>
      <c r="D5" s="16"/>
      <c r="E5" s="16"/>
      <c r="F5" s="12"/>
      <c r="G5" s="12"/>
      <c r="H5" s="13"/>
      <c r="I5" s="14"/>
      <c r="J5" s="29" t="s">
        <v>115</v>
      </c>
      <c r="K5" s="37"/>
      <c r="L5" s="37"/>
      <c r="M5" s="37"/>
      <c r="N5" s="37"/>
      <c r="O5" s="38"/>
      <c r="P5" s="41"/>
      <c r="Q5" s="40"/>
      <c r="R5" s="40"/>
      <c r="S5" s="37"/>
      <c r="T5" s="37"/>
      <c r="U5" s="37"/>
      <c r="V5" s="37"/>
      <c r="W5" s="37"/>
    </row>
    <row r="6" spans="1:23">
      <c r="A6" s="12">
        <f>A5+1</f>
        <v>2</v>
      </c>
      <c r="B6" s="12" t="s">
        <v>317</v>
      </c>
      <c r="C6" s="20" t="s">
        <v>64</v>
      </c>
      <c r="D6" s="16"/>
      <c r="E6" s="16"/>
      <c r="F6" s="12"/>
      <c r="G6" s="12"/>
      <c r="H6" s="13"/>
      <c r="I6" s="14"/>
      <c r="J6" s="29" t="s">
        <v>115</v>
      </c>
      <c r="K6" s="40">
        <v>-6498740</v>
      </c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</row>
    <row r="7" spans="1:23">
      <c r="A7" s="12">
        <f>A6+1</f>
        <v>3</v>
      </c>
      <c r="B7" s="12" t="s">
        <v>318</v>
      </c>
      <c r="C7" s="26" t="s">
        <v>93</v>
      </c>
      <c r="D7" s="26"/>
      <c r="E7" s="26"/>
      <c r="F7" s="26"/>
      <c r="G7" s="26"/>
      <c r="H7" s="27">
        <v>-12000000</v>
      </c>
      <c r="I7" s="28"/>
      <c r="J7" s="29" t="s">
        <v>115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37"/>
      <c r="W7" s="37"/>
    </row>
    <row r="8" spans="1:23">
      <c r="A8" s="12">
        <f t="shared" ref="A8:A54" si="0">A7+1</f>
        <v>4</v>
      </c>
      <c r="B8" s="12" t="s">
        <v>318</v>
      </c>
      <c r="C8" s="26" t="s">
        <v>93</v>
      </c>
      <c r="D8" s="26"/>
      <c r="E8" s="26"/>
      <c r="F8" s="26"/>
      <c r="G8" s="26"/>
      <c r="H8" s="27">
        <v>-5231807</v>
      </c>
      <c r="I8" s="28" t="s">
        <v>4</v>
      </c>
      <c r="J8" s="29" t="s">
        <v>115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37"/>
      <c r="W8" s="37"/>
    </row>
    <row r="9" spans="1:23">
      <c r="A9" s="12">
        <f t="shared" si="0"/>
        <v>5</v>
      </c>
      <c r="B9" s="12" t="s">
        <v>318</v>
      </c>
      <c r="C9" s="26" t="s">
        <v>93</v>
      </c>
      <c r="D9" s="26"/>
      <c r="E9" s="26"/>
      <c r="F9" s="26"/>
      <c r="G9" s="26"/>
      <c r="H9" s="27">
        <v>-3500000</v>
      </c>
      <c r="I9" s="28" t="s">
        <v>11</v>
      </c>
      <c r="J9" s="29" t="s">
        <v>115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37"/>
      <c r="W9" s="37"/>
    </row>
    <row r="10" spans="1:23">
      <c r="A10" s="12">
        <f t="shared" si="0"/>
        <v>6</v>
      </c>
      <c r="B10" s="12" t="s">
        <v>324</v>
      </c>
      <c r="C10" s="26" t="s">
        <v>50</v>
      </c>
      <c r="D10" s="26"/>
      <c r="E10" s="26"/>
      <c r="F10" s="26"/>
      <c r="G10" s="26"/>
      <c r="H10" s="27">
        <v>0</v>
      </c>
      <c r="I10" s="28" t="s">
        <v>4</v>
      </c>
      <c r="J10" s="29" t="s">
        <v>115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37"/>
      <c r="W10" s="37"/>
    </row>
    <row r="11" spans="1:23">
      <c r="A11" s="12">
        <f t="shared" si="0"/>
        <v>7</v>
      </c>
      <c r="B11" s="12" t="s">
        <v>319</v>
      </c>
      <c r="C11" s="26" t="s">
        <v>186</v>
      </c>
      <c r="D11" s="26"/>
      <c r="E11" s="26"/>
      <c r="F11" s="26"/>
      <c r="G11" s="26"/>
      <c r="H11" s="27">
        <v>-20000000</v>
      </c>
      <c r="I11" s="28" t="s">
        <v>4</v>
      </c>
      <c r="J11" s="29" t="s">
        <v>115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37"/>
      <c r="W11" s="37"/>
    </row>
    <row r="12" spans="1:23">
      <c r="A12" s="12">
        <f t="shared" si="0"/>
        <v>8</v>
      </c>
      <c r="B12" s="12" t="s">
        <v>318</v>
      </c>
      <c r="C12" s="26" t="s">
        <v>109</v>
      </c>
      <c r="D12" s="26"/>
      <c r="E12" s="26"/>
      <c r="F12" s="26"/>
      <c r="G12" s="26"/>
      <c r="H12" s="27"/>
      <c r="I12" s="28"/>
      <c r="J12" s="29" t="s">
        <v>115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37"/>
      <c r="W12" s="37"/>
    </row>
    <row r="13" spans="1:23">
      <c r="A13" s="12">
        <f t="shared" si="0"/>
        <v>9</v>
      </c>
      <c r="B13" s="12" t="s">
        <v>318</v>
      </c>
      <c r="C13" s="26" t="s">
        <v>65</v>
      </c>
      <c r="D13" s="26"/>
      <c r="E13" s="26"/>
      <c r="F13" s="26"/>
      <c r="G13" s="26"/>
      <c r="H13" s="27">
        <v>0</v>
      </c>
      <c r="I13" s="28" t="s">
        <v>12</v>
      </c>
      <c r="J13" s="29" t="s">
        <v>115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37"/>
      <c r="W13" s="37"/>
    </row>
    <row r="14" spans="1:23">
      <c r="A14" s="12">
        <f t="shared" si="0"/>
        <v>10</v>
      </c>
      <c r="B14" s="12" t="s">
        <v>318</v>
      </c>
      <c r="C14" s="26" t="s">
        <v>65</v>
      </c>
      <c r="D14" s="26"/>
      <c r="E14" s="26"/>
      <c r="F14" s="26"/>
      <c r="G14" s="26"/>
      <c r="H14" s="27">
        <v>0</v>
      </c>
      <c r="I14" s="28"/>
      <c r="J14" s="29" t="s">
        <v>115</v>
      </c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37"/>
      <c r="W14" s="37"/>
    </row>
    <row r="15" spans="1:23">
      <c r="A15" s="12">
        <f t="shared" si="0"/>
        <v>11</v>
      </c>
      <c r="B15" s="12" t="s">
        <v>325</v>
      </c>
      <c r="C15" s="26" t="s">
        <v>146</v>
      </c>
      <c r="D15" s="26"/>
      <c r="E15" s="26"/>
      <c r="F15" s="26"/>
      <c r="G15" s="26"/>
      <c r="H15" s="27">
        <v>-6700000</v>
      </c>
      <c r="I15" s="28" t="s">
        <v>4</v>
      </c>
      <c r="J15" s="29" t="s">
        <v>115</v>
      </c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37"/>
      <c r="W15" s="37"/>
    </row>
    <row r="16" spans="1:23">
      <c r="A16" s="12">
        <f t="shared" si="0"/>
        <v>12</v>
      </c>
      <c r="B16" s="12" t="s">
        <v>326</v>
      </c>
      <c r="C16" s="26" t="s">
        <v>209</v>
      </c>
      <c r="D16" s="26"/>
      <c r="E16" s="26"/>
      <c r="F16" s="26"/>
      <c r="G16" s="26"/>
      <c r="H16" s="27"/>
      <c r="I16" s="28"/>
      <c r="J16" s="29" t="s">
        <v>115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37"/>
      <c r="W16" s="37"/>
    </row>
    <row r="17" spans="1:23">
      <c r="A17" s="12">
        <f t="shared" si="0"/>
        <v>13</v>
      </c>
      <c r="B17" s="12" t="s">
        <v>320</v>
      </c>
      <c r="C17" s="26" t="s">
        <v>153</v>
      </c>
      <c r="D17" s="26"/>
      <c r="E17" s="26"/>
      <c r="F17" s="26"/>
      <c r="G17" s="26"/>
      <c r="H17" s="27">
        <v>-12300000</v>
      </c>
      <c r="I17" s="28"/>
      <c r="J17" s="29" t="s">
        <v>115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37"/>
      <c r="W17" s="37"/>
    </row>
    <row r="18" spans="1:23">
      <c r="A18" s="12">
        <f t="shared" si="0"/>
        <v>14</v>
      </c>
      <c r="B18" s="12" t="s">
        <v>327</v>
      </c>
      <c r="C18" s="26" t="s">
        <v>104</v>
      </c>
      <c r="D18" s="26"/>
      <c r="E18" s="26"/>
      <c r="F18" s="26"/>
      <c r="G18" s="26"/>
      <c r="H18" s="27"/>
      <c r="I18" s="28"/>
      <c r="J18" s="29" t="s">
        <v>115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37"/>
      <c r="W18" s="37"/>
    </row>
    <row r="19" spans="1:23">
      <c r="A19" s="12">
        <f t="shared" si="0"/>
        <v>15</v>
      </c>
      <c r="B19" s="12" t="s">
        <v>316</v>
      </c>
      <c r="C19" s="26" t="s">
        <v>135</v>
      </c>
      <c r="D19" s="26"/>
      <c r="E19" s="26"/>
      <c r="F19" s="26"/>
      <c r="G19" s="26"/>
      <c r="H19" s="27">
        <v>-400000</v>
      </c>
      <c r="I19" s="28" t="s">
        <v>4</v>
      </c>
      <c r="J19" s="29" t="s">
        <v>115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37"/>
      <c r="W19" s="37"/>
    </row>
    <row r="20" spans="1:23">
      <c r="A20" s="12">
        <f t="shared" si="0"/>
        <v>16</v>
      </c>
      <c r="B20" s="12" t="s">
        <v>318</v>
      </c>
      <c r="C20" s="26" t="s">
        <v>70</v>
      </c>
      <c r="D20" s="26"/>
      <c r="E20" s="26"/>
      <c r="F20" s="26"/>
      <c r="G20" s="26"/>
      <c r="H20" s="27">
        <v>0</v>
      </c>
      <c r="I20" s="28" t="s">
        <v>4</v>
      </c>
      <c r="J20" s="29" t="s">
        <v>115</v>
      </c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37"/>
      <c r="W20" s="37"/>
    </row>
    <row r="21" spans="1:23">
      <c r="A21" s="12">
        <f t="shared" si="0"/>
        <v>17</v>
      </c>
      <c r="B21" s="12" t="s">
        <v>321</v>
      </c>
      <c r="C21" s="26" t="s">
        <v>99</v>
      </c>
      <c r="D21" s="26"/>
      <c r="E21" s="26"/>
      <c r="F21" s="26"/>
      <c r="G21" s="26"/>
      <c r="H21" s="27"/>
      <c r="I21" s="28" t="s">
        <v>4</v>
      </c>
      <c r="J21" s="29" t="s">
        <v>115</v>
      </c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37"/>
      <c r="W21" s="37"/>
    </row>
    <row r="22" spans="1:23">
      <c r="A22" s="12">
        <f t="shared" si="0"/>
        <v>18</v>
      </c>
      <c r="B22" s="12" t="s">
        <v>316</v>
      </c>
      <c r="C22" s="26" t="s">
        <v>144</v>
      </c>
      <c r="D22" s="26"/>
      <c r="E22" s="26"/>
      <c r="F22" s="26"/>
      <c r="G22" s="26"/>
      <c r="H22" s="27">
        <v>-6413915</v>
      </c>
      <c r="I22" s="28"/>
      <c r="J22" s="29" t="s">
        <v>115</v>
      </c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37"/>
      <c r="W22" s="37"/>
    </row>
    <row r="23" spans="1:23">
      <c r="A23" s="12">
        <f t="shared" si="0"/>
        <v>19</v>
      </c>
      <c r="B23" s="12" t="s">
        <v>316</v>
      </c>
      <c r="C23" s="26" t="s">
        <v>113</v>
      </c>
      <c r="D23" s="26"/>
      <c r="E23" s="26"/>
      <c r="F23" s="26"/>
      <c r="G23" s="26"/>
      <c r="H23" s="27">
        <v>0</v>
      </c>
      <c r="I23" s="28" t="s">
        <v>5</v>
      </c>
      <c r="J23" s="29" t="s">
        <v>115</v>
      </c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37"/>
      <c r="W23" s="37"/>
    </row>
    <row r="24" spans="1:23">
      <c r="A24" s="12">
        <f t="shared" si="0"/>
        <v>20</v>
      </c>
      <c r="B24" s="12" t="s">
        <v>320</v>
      </c>
      <c r="C24" s="26" t="s">
        <v>200</v>
      </c>
      <c r="D24" s="26"/>
      <c r="E24" s="26"/>
      <c r="F24" s="26"/>
      <c r="G24" s="26"/>
      <c r="H24" s="27"/>
      <c r="I24" s="28" t="s">
        <v>4</v>
      </c>
      <c r="J24" s="29" t="s">
        <v>115</v>
      </c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37"/>
      <c r="W24" s="37"/>
    </row>
    <row r="25" spans="1:23">
      <c r="A25" s="12">
        <f t="shared" si="0"/>
        <v>21</v>
      </c>
      <c r="B25" s="12" t="s">
        <v>322</v>
      </c>
      <c r="C25" s="26" t="s">
        <v>202</v>
      </c>
      <c r="D25" s="26"/>
      <c r="E25" s="26"/>
      <c r="F25" s="26"/>
      <c r="G25" s="26"/>
      <c r="H25" s="27">
        <v>0</v>
      </c>
      <c r="I25" s="28" t="s">
        <v>4</v>
      </c>
      <c r="J25" s="29" t="s">
        <v>115</v>
      </c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37"/>
      <c r="W25" s="37"/>
    </row>
    <row r="26" spans="1:23">
      <c r="A26" s="12">
        <f t="shared" si="0"/>
        <v>22</v>
      </c>
      <c r="B26" s="12" t="s">
        <v>323</v>
      </c>
      <c r="C26" s="26" t="s">
        <v>206</v>
      </c>
      <c r="D26" s="26"/>
      <c r="E26" s="26"/>
      <c r="F26" s="26"/>
      <c r="G26" s="26"/>
      <c r="H26" s="27"/>
      <c r="I26" s="28"/>
      <c r="J26" s="29" t="s">
        <v>115</v>
      </c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37"/>
      <c r="W26" s="37"/>
    </row>
    <row r="27" spans="1:23">
      <c r="A27" s="12">
        <f t="shared" si="0"/>
        <v>23</v>
      </c>
      <c r="B27" s="12" t="s">
        <v>328</v>
      </c>
      <c r="C27" s="26" t="s">
        <v>208</v>
      </c>
      <c r="D27" s="26"/>
      <c r="E27" s="26"/>
      <c r="F27" s="26"/>
      <c r="G27" s="26"/>
      <c r="H27" s="27"/>
      <c r="I27" s="28"/>
      <c r="J27" s="29" t="s">
        <v>115</v>
      </c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37"/>
      <c r="W27" s="37"/>
    </row>
    <row r="28" spans="1:23">
      <c r="A28" s="12">
        <f t="shared" si="0"/>
        <v>24</v>
      </c>
      <c r="B28" s="12" t="s">
        <v>324</v>
      </c>
      <c r="C28" s="26" t="s">
        <v>224</v>
      </c>
      <c r="D28" s="26"/>
      <c r="E28" s="26"/>
      <c r="F28" s="26"/>
      <c r="G28" s="26"/>
      <c r="H28" s="27"/>
      <c r="I28" s="28"/>
      <c r="J28" s="29" t="s">
        <v>115</v>
      </c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37"/>
      <c r="W28" s="37"/>
    </row>
    <row r="29" spans="1:23">
      <c r="A29" s="12">
        <f t="shared" si="0"/>
        <v>25</v>
      </c>
      <c r="B29" s="12" t="s">
        <v>326</v>
      </c>
      <c r="C29" s="26" t="s">
        <v>209</v>
      </c>
      <c r="D29" s="26"/>
      <c r="E29" s="26"/>
      <c r="F29" s="26"/>
      <c r="G29" s="26"/>
      <c r="H29" s="27"/>
      <c r="I29" s="28"/>
      <c r="J29" s="29" t="s">
        <v>115</v>
      </c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37"/>
      <c r="W29" s="37"/>
    </row>
    <row r="30" spans="1:23">
      <c r="A30" s="12">
        <f t="shared" si="0"/>
        <v>26</v>
      </c>
      <c r="B30" s="12" t="s">
        <v>323</v>
      </c>
      <c r="C30" s="26" t="s">
        <v>225</v>
      </c>
      <c r="D30" s="26"/>
      <c r="E30" s="26"/>
      <c r="F30" s="26"/>
      <c r="G30" s="26"/>
      <c r="H30" s="27"/>
      <c r="I30" s="28"/>
      <c r="J30" s="29" t="s">
        <v>115</v>
      </c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37"/>
      <c r="W30" s="37"/>
    </row>
    <row r="31" spans="1:23">
      <c r="A31" s="12">
        <f t="shared" si="0"/>
        <v>27</v>
      </c>
      <c r="B31" s="12" t="s">
        <v>328</v>
      </c>
      <c r="C31" s="26" t="s">
        <v>226</v>
      </c>
      <c r="D31" s="26"/>
      <c r="E31" s="26"/>
      <c r="F31" s="26"/>
      <c r="G31" s="26"/>
      <c r="H31" s="27"/>
      <c r="I31" s="28"/>
      <c r="J31" s="29" t="s">
        <v>115</v>
      </c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37"/>
      <c r="W31" s="37"/>
    </row>
    <row r="32" spans="1:23">
      <c r="A32" s="12">
        <f t="shared" si="0"/>
        <v>28</v>
      </c>
      <c r="B32" s="12" t="s">
        <v>328</v>
      </c>
      <c r="C32" s="26" t="s">
        <v>226</v>
      </c>
      <c r="D32" s="26"/>
      <c r="E32" s="26"/>
      <c r="F32" s="26"/>
      <c r="G32" s="26"/>
      <c r="H32" s="27"/>
      <c r="I32" s="28"/>
      <c r="J32" s="29" t="s">
        <v>115</v>
      </c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37"/>
      <c r="W32" s="37"/>
    </row>
    <row r="33" spans="1:23">
      <c r="A33" s="12">
        <f t="shared" si="0"/>
        <v>29</v>
      </c>
      <c r="B33" s="12" t="s">
        <v>323</v>
      </c>
      <c r="C33" s="26" t="s">
        <v>225</v>
      </c>
      <c r="D33" s="26"/>
      <c r="E33" s="26"/>
      <c r="F33" s="26"/>
      <c r="G33" s="26"/>
      <c r="H33" s="27"/>
      <c r="I33" s="28"/>
      <c r="J33" s="29" t="s">
        <v>115</v>
      </c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37"/>
      <c r="W33" s="37"/>
    </row>
    <row r="34" spans="1:23">
      <c r="A34" s="12">
        <f t="shared" si="0"/>
        <v>30</v>
      </c>
      <c r="B34" s="12" t="s">
        <v>326</v>
      </c>
      <c r="C34" s="26" t="s">
        <v>209</v>
      </c>
      <c r="D34" s="26"/>
      <c r="E34" s="26"/>
      <c r="F34" s="26"/>
      <c r="G34" s="26"/>
      <c r="H34" s="27"/>
      <c r="I34" s="28"/>
      <c r="J34" s="29" t="s">
        <v>115</v>
      </c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37"/>
      <c r="W34" s="37"/>
    </row>
    <row r="35" spans="1:23">
      <c r="A35" s="12">
        <f t="shared" si="0"/>
        <v>31</v>
      </c>
      <c r="B35" s="12" t="s">
        <v>323</v>
      </c>
      <c r="C35" s="26" t="s">
        <v>251</v>
      </c>
      <c r="D35" s="26"/>
      <c r="E35" s="26"/>
      <c r="F35" s="26"/>
      <c r="G35" s="26"/>
      <c r="H35" s="27"/>
      <c r="I35" s="28"/>
      <c r="J35" s="29" t="s">
        <v>115</v>
      </c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37"/>
      <c r="W35" s="37"/>
    </row>
    <row r="36" spans="1:23">
      <c r="A36" s="12">
        <f t="shared" si="0"/>
        <v>32</v>
      </c>
      <c r="B36" s="12" t="s">
        <v>328</v>
      </c>
      <c r="C36" s="26" t="s">
        <v>260</v>
      </c>
      <c r="D36" s="26"/>
      <c r="E36" s="26"/>
      <c r="F36" s="26"/>
      <c r="G36" s="26"/>
      <c r="H36" s="27"/>
      <c r="I36" s="28"/>
      <c r="J36" s="29" t="s">
        <v>115</v>
      </c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37"/>
      <c r="W36" s="37"/>
    </row>
    <row r="37" spans="1:23">
      <c r="A37" s="12">
        <f t="shared" si="0"/>
        <v>33</v>
      </c>
      <c r="B37" s="12" t="s">
        <v>316</v>
      </c>
      <c r="C37" s="26" t="s">
        <v>262</v>
      </c>
      <c r="D37" s="26"/>
      <c r="E37" s="26"/>
      <c r="F37" s="26"/>
      <c r="G37" s="26"/>
      <c r="H37" s="27"/>
      <c r="I37" s="28"/>
      <c r="J37" s="29" t="s">
        <v>115</v>
      </c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37"/>
      <c r="W37" s="37"/>
    </row>
    <row r="38" spans="1:23">
      <c r="A38" s="12">
        <f t="shared" si="0"/>
        <v>34</v>
      </c>
      <c r="B38" s="12" t="s">
        <v>329</v>
      </c>
      <c r="C38" s="26" t="s">
        <v>264</v>
      </c>
      <c r="D38" s="26"/>
      <c r="E38" s="26"/>
      <c r="F38" s="26"/>
      <c r="G38" s="26"/>
      <c r="H38" s="27"/>
      <c r="I38" s="28"/>
      <c r="J38" s="29" t="s">
        <v>115</v>
      </c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37"/>
      <c r="W38" s="37"/>
    </row>
    <row r="39" spans="1:23">
      <c r="A39" s="12">
        <f t="shared" si="0"/>
        <v>35</v>
      </c>
      <c r="B39" s="12" t="s">
        <v>326</v>
      </c>
      <c r="C39" s="26" t="s">
        <v>270</v>
      </c>
      <c r="D39" s="26"/>
      <c r="E39" s="26"/>
      <c r="F39" s="26"/>
      <c r="G39" s="26"/>
      <c r="H39" s="27"/>
      <c r="I39" s="28"/>
      <c r="J39" s="29" t="s">
        <v>115</v>
      </c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37"/>
      <c r="W39" s="37"/>
    </row>
    <row r="40" spans="1:23">
      <c r="A40" s="12">
        <f t="shared" si="0"/>
        <v>36</v>
      </c>
      <c r="B40" s="12" t="s">
        <v>320</v>
      </c>
      <c r="C40" s="26" t="s">
        <v>265</v>
      </c>
      <c r="D40" s="26"/>
      <c r="E40" s="26"/>
      <c r="F40" s="26"/>
      <c r="G40" s="26"/>
      <c r="H40" s="27"/>
      <c r="I40" s="28"/>
      <c r="J40" s="29" t="s">
        <v>115</v>
      </c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37"/>
      <c r="W40" s="37"/>
    </row>
    <row r="41" spans="1:23">
      <c r="A41" s="12">
        <f t="shared" si="0"/>
        <v>37</v>
      </c>
      <c r="B41" s="12" t="s">
        <v>323</v>
      </c>
      <c r="C41" s="26" t="s">
        <v>225</v>
      </c>
      <c r="D41" s="26"/>
      <c r="E41" s="26"/>
      <c r="F41" s="26"/>
      <c r="G41" s="26"/>
      <c r="H41" s="27"/>
      <c r="I41" s="28"/>
      <c r="J41" s="29" t="s">
        <v>115</v>
      </c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37"/>
      <c r="W41" s="37"/>
    </row>
    <row r="42" spans="1:23">
      <c r="A42" s="12">
        <f t="shared" si="0"/>
        <v>38</v>
      </c>
      <c r="B42" s="12" t="s">
        <v>329</v>
      </c>
      <c r="C42" s="26" t="s">
        <v>267</v>
      </c>
      <c r="D42" s="26"/>
      <c r="E42" s="26"/>
      <c r="F42" s="26"/>
      <c r="G42" s="26"/>
      <c r="H42" s="27"/>
      <c r="I42" s="28"/>
      <c r="J42" s="29" t="s">
        <v>115</v>
      </c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37"/>
      <c r="W42" s="37"/>
    </row>
    <row r="43" spans="1:23">
      <c r="A43" s="12">
        <f t="shared" si="0"/>
        <v>39</v>
      </c>
      <c r="B43" s="12" t="s">
        <v>324</v>
      </c>
      <c r="C43" s="26" t="s">
        <v>274</v>
      </c>
      <c r="D43" s="26"/>
      <c r="E43" s="26"/>
      <c r="F43" s="26"/>
      <c r="G43" s="26"/>
      <c r="H43" s="27"/>
      <c r="I43" s="28"/>
      <c r="J43" s="29" t="s">
        <v>115</v>
      </c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37"/>
      <c r="W43" s="37"/>
    </row>
    <row r="44" spans="1:23">
      <c r="A44" s="12">
        <f t="shared" si="0"/>
        <v>40</v>
      </c>
      <c r="B44" s="12" t="s">
        <v>328</v>
      </c>
      <c r="C44" s="26" t="s">
        <v>275</v>
      </c>
      <c r="D44" s="26"/>
      <c r="E44" s="26"/>
      <c r="F44" s="26"/>
      <c r="G44" s="26"/>
      <c r="H44" s="27"/>
      <c r="I44" s="28"/>
      <c r="J44" s="29" t="s">
        <v>115</v>
      </c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37"/>
      <c r="W44" s="37"/>
    </row>
    <row r="45" spans="1:23">
      <c r="A45" s="12">
        <f t="shared" si="0"/>
        <v>41</v>
      </c>
      <c r="B45" s="12" t="s">
        <v>328</v>
      </c>
      <c r="C45" s="26" t="s">
        <v>278</v>
      </c>
      <c r="D45" s="26"/>
      <c r="E45" s="26"/>
      <c r="F45" s="26"/>
      <c r="G45" s="26"/>
      <c r="H45" s="27"/>
      <c r="I45" s="28"/>
      <c r="J45" s="29" t="s">
        <v>115</v>
      </c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37"/>
      <c r="W45" s="37"/>
    </row>
    <row r="46" spans="1:23">
      <c r="A46" s="12">
        <f t="shared" si="0"/>
        <v>42</v>
      </c>
      <c r="B46" s="12" t="s">
        <v>323</v>
      </c>
      <c r="C46" s="26" t="s">
        <v>251</v>
      </c>
      <c r="D46" s="26"/>
      <c r="E46" s="26"/>
      <c r="F46" s="26"/>
      <c r="G46" s="26"/>
      <c r="H46" s="27"/>
      <c r="I46" s="28"/>
      <c r="J46" s="29" t="s">
        <v>115</v>
      </c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37"/>
      <c r="W46" s="37"/>
    </row>
    <row r="47" spans="1:23">
      <c r="A47" s="12">
        <f t="shared" si="0"/>
        <v>43</v>
      </c>
      <c r="B47" s="12" t="s">
        <v>324</v>
      </c>
      <c r="C47" s="26" t="s">
        <v>287</v>
      </c>
      <c r="D47" s="26"/>
      <c r="E47" s="26"/>
      <c r="F47" s="26"/>
      <c r="G47" s="26"/>
      <c r="H47" s="27"/>
      <c r="I47" s="28"/>
      <c r="J47" s="29" t="s">
        <v>115</v>
      </c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37"/>
      <c r="W47" s="37"/>
    </row>
    <row r="48" spans="1:23">
      <c r="A48" s="12">
        <f t="shared" si="0"/>
        <v>44</v>
      </c>
      <c r="B48" s="12" t="s">
        <v>316</v>
      </c>
      <c r="C48" s="26" t="s">
        <v>291</v>
      </c>
      <c r="D48" s="26"/>
      <c r="E48" s="26"/>
      <c r="F48" s="26"/>
      <c r="G48" s="26"/>
      <c r="H48" s="27"/>
      <c r="I48" s="28"/>
      <c r="J48" s="29" t="s">
        <v>115</v>
      </c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37"/>
      <c r="W48" s="37"/>
    </row>
    <row r="49" spans="1:23">
      <c r="A49" s="12">
        <f t="shared" si="0"/>
        <v>45</v>
      </c>
      <c r="B49" s="12" t="s">
        <v>326</v>
      </c>
      <c r="C49" s="26" t="s">
        <v>209</v>
      </c>
      <c r="D49" s="26"/>
      <c r="E49" s="26"/>
      <c r="F49" s="26"/>
      <c r="G49" s="26"/>
      <c r="H49" s="27"/>
      <c r="I49" s="28"/>
      <c r="J49" s="29" t="s">
        <v>115</v>
      </c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37"/>
      <c r="W49" s="37"/>
    </row>
    <row r="50" spans="1:23">
      <c r="A50" s="12">
        <f t="shared" si="0"/>
        <v>46</v>
      </c>
      <c r="B50" s="12" t="s">
        <v>328</v>
      </c>
      <c r="C50" s="26" t="s">
        <v>312</v>
      </c>
      <c r="D50" s="26"/>
      <c r="E50" s="26"/>
      <c r="F50" s="26"/>
      <c r="G50" s="26"/>
      <c r="H50" s="27"/>
      <c r="I50" s="28"/>
      <c r="J50" s="29" t="s">
        <v>115</v>
      </c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37"/>
      <c r="W50" s="37"/>
    </row>
    <row r="51" spans="1:23">
      <c r="A51" s="12">
        <f t="shared" si="0"/>
        <v>47</v>
      </c>
      <c r="B51" s="12" t="s">
        <v>328</v>
      </c>
      <c r="C51" s="26" t="s">
        <v>313</v>
      </c>
      <c r="D51" s="7"/>
      <c r="E51" s="7"/>
      <c r="F51" s="3"/>
      <c r="G51" s="3"/>
      <c r="H51" s="5"/>
      <c r="I51" s="6"/>
      <c r="J51" s="29" t="s">
        <v>115</v>
      </c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37"/>
      <c r="W51" s="37"/>
    </row>
    <row r="52" spans="1:23">
      <c r="A52" s="12">
        <f t="shared" si="0"/>
        <v>48</v>
      </c>
      <c r="B52" s="12" t="s">
        <v>324</v>
      </c>
      <c r="C52" s="26" t="s">
        <v>314</v>
      </c>
      <c r="D52" s="7"/>
      <c r="E52" s="7"/>
      <c r="F52" s="3"/>
      <c r="G52" s="3"/>
      <c r="H52" s="5"/>
      <c r="I52" s="6"/>
      <c r="J52" s="29" t="s">
        <v>115</v>
      </c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37"/>
      <c r="W52" s="37"/>
    </row>
    <row r="53" spans="1:23">
      <c r="A53" s="12">
        <f t="shared" si="0"/>
        <v>49</v>
      </c>
      <c r="B53" s="12" t="s">
        <v>323</v>
      </c>
      <c r="C53" s="26" t="s">
        <v>251</v>
      </c>
      <c r="D53" s="7"/>
      <c r="E53" s="7"/>
      <c r="F53" s="3"/>
      <c r="G53" s="3"/>
      <c r="H53" s="5"/>
      <c r="I53" s="6"/>
      <c r="J53" s="29" t="s">
        <v>115</v>
      </c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37"/>
      <c r="W53" s="37"/>
    </row>
    <row r="54" spans="1:23">
      <c r="A54" s="12">
        <f t="shared" si="0"/>
        <v>50</v>
      </c>
      <c r="B54" s="12" t="s">
        <v>323</v>
      </c>
      <c r="C54" s="26" t="s">
        <v>251</v>
      </c>
      <c r="D54" s="7"/>
      <c r="E54" s="7"/>
      <c r="F54" s="3"/>
      <c r="G54" s="3"/>
      <c r="H54" s="5"/>
      <c r="I54" s="6"/>
      <c r="J54" s="29" t="s">
        <v>115</v>
      </c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37"/>
      <c r="W54" s="37"/>
    </row>
    <row r="55" spans="1:23">
      <c r="A55" s="12">
        <v>51</v>
      </c>
      <c r="B55" s="12" t="s">
        <v>321</v>
      </c>
      <c r="C55" s="26" t="s">
        <v>469</v>
      </c>
      <c r="D55" s="7"/>
      <c r="E55" s="7"/>
      <c r="F55" s="3"/>
      <c r="G55" s="3"/>
      <c r="H55" s="5"/>
      <c r="I55" s="6"/>
      <c r="J55" s="29" t="s">
        <v>115</v>
      </c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37"/>
      <c r="W55" s="37"/>
    </row>
    <row r="56" spans="1:23">
      <c r="A56" s="12">
        <v>52</v>
      </c>
      <c r="B56" s="12" t="s">
        <v>325</v>
      </c>
      <c r="C56" s="26" t="s">
        <v>470</v>
      </c>
      <c r="D56" s="7"/>
      <c r="E56" s="7"/>
      <c r="F56" s="3"/>
      <c r="G56" s="3"/>
      <c r="H56" s="5"/>
      <c r="I56" s="6"/>
      <c r="J56" s="29" t="s">
        <v>115</v>
      </c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37"/>
      <c r="W56" s="37"/>
    </row>
    <row r="57" spans="1:23">
      <c r="A57" s="12">
        <v>53</v>
      </c>
      <c r="B57" s="12" t="s">
        <v>328</v>
      </c>
      <c r="C57" s="26" t="s">
        <v>312</v>
      </c>
      <c r="D57" s="7"/>
      <c r="E57" s="7"/>
      <c r="F57" s="3"/>
      <c r="G57" s="3"/>
      <c r="H57" s="5"/>
      <c r="I57" s="6"/>
      <c r="J57" s="29" t="s">
        <v>115</v>
      </c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37"/>
      <c r="W57" s="37"/>
    </row>
    <row r="58" spans="1:23">
      <c r="A58" s="12">
        <v>54</v>
      </c>
      <c r="B58" s="12" t="s">
        <v>325</v>
      </c>
      <c r="C58" s="26" t="s">
        <v>470</v>
      </c>
      <c r="D58" s="7"/>
      <c r="E58" s="7"/>
      <c r="F58" s="3"/>
      <c r="G58" s="3"/>
      <c r="H58" s="5"/>
      <c r="I58" s="6"/>
      <c r="J58" s="29" t="s">
        <v>115</v>
      </c>
      <c r="K58" s="40">
        <v>-100800</v>
      </c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</row>
    <row r="59" spans="1:23">
      <c r="A59" s="12">
        <v>55</v>
      </c>
      <c r="B59" s="12" t="s">
        <v>323</v>
      </c>
      <c r="C59" s="26" t="s">
        <v>251</v>
      </c>
      <c r="D59" s="7"/>
      <c r="E59" s="7"/>
      <c r="F59" s="3"/>
      <c r="G59" s="3"/>
      <c r="H59" s="5"/>
      <c r="I59" s="6"/>
      <c r="J59" s="29" t="s">
        <v>115</v>
      </c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</row>
    <row r="60" spans="1:23">
      <c r="A60" s="12">
        <v>56</v>
      </c>
      <c r="B60" s="12" t="s">
        <v>348</v>
      </c>
      <c r="C60" s="103" t="s">
        <v>585</v>
      </c>
      <c r="D60" s="104"/>
      <c r="E60" s="104"/>
      <c r="F60" s="104"/>
      <c r="G60" s="104"/>
      <c r="H60" s="105"/>
      <c r="I60" s="106"/>
      <c r="J60" s="107" t="s">
        <v>115</v>
      </c>
      <c r="K60" s="108"/>
      <c r="L60" s="108"/>
      <c r="M60" s="108"/>
      <c r="N60" s="108"/>
      <c r="O60" s="109"/>
      <c r="P60" s="110"/>
      <c r="Q60" s="111"/>
      <c r="R60" s="111"/>
      <c r="S60" s="112"/>
      <c r="T60" s="111"/>
      <c r="U60" s="111"/>
      <c r="V60" s="40"/>
      <c r="W60" s="40"/>
    </row>
    <row r="61" spans="1:23">
      <c r="A61" s="12">
        <v>57</v>
      </c>
      <c r="B61" s="12" t="s">
        <v>324</v>
      </c>
      <c r="C61" s="103" t="s">
        <v>593</v>
      </c>
      <c r="D61" s="113"/>
      <c r="E61" s="113"/>
      <c r="F61" s="104"/>
      <c r="G61" s="104"/>
      <c r="H61" s="105"/>
      <c r="I61" s="106"/>
      <c r="J61" s="107" t="s">
        <v>115</v>
      </c>
      <c r="K61" s="108"/>
      <c r="L61" s="108"/>
      <c r="M61" s="108"/>
      <c r="N61" s="108"/>
      <c r="O61" s="109"/>
      <c r="P61" s="110"/>
      <c r="Q61" s="111"/>
      <c r="R61" s="111"/>
      <c r="S61" s="112"/>
      <c r="T61" s="111"/>
      <c r="U61" s="111"/>
      <c r="V61" s="40"/>
      <c r="W61" s="40"/>
    </row>
    <row r="62" spans="1:23">
      <c r="A62" s="12">
        <v>58</v>
      </c>
      <c r="B62" s="12" t="s">
        <v>326</v>
      </c>
      <c r="C62" s="103" t="s">
        <v>270</v>
      </c>
      <c r="D62" s="113"/>
      <c r="E62" s="113"/>
      <c r="F62" s="104"/>
      <c r="G62" s="104"/>
      <c r="H62" s="105"/>
      <c r="I62" s="106"/>
      <c r="J62" s="107" t="s">
        <v>115</v>
      </c>
      <c r="K62" s="40"/>
      <c r="L62" s="108"/>
      <c r="M62" s="108"/>
      <c r="N62" s="108"/>
      <c r="O62" s="109"/>
      <c r="P62" s="110"/>
      <c r="Q62" s="111"/>
      <c r="R62" s="111"/>
      <c r="S62" s="112"/>
      <c r="T62" s="111"/>
      <c r="U62" s="111"/>
      <c r="V62" s="40"/>
      <c r="W62" s="40"/>
    </row>
    <row r="63" spans="1:23">
      <c r="A63" s="12">
        <v>59</v>
      </c>
      <c r="B63" s="12" t="s">
        <v>323</v>
      </c>
      <c r="C63" s="103" t="s">
        <v>632</v>
      </c>
      <c r="D63" s="113"/>
      <c r="E63" s="113"/>
      <c r="F63" s="104"/>
      <c r="G63" s="104"/>
      <c r="H63" s="105"/>
      <c r="I63" s="106"/>
      <c r="J63" s="107" t="s">
        <v>115</v>
      </c>
      <c r="K63" s="40">
        <v>-7624000</v>
      </c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</row>
    <row r="64" spans="1:23">
      <c r="A64" s="12">
        <v>60</v>
      </c>
      <c r="B64" s="12" t="s">
        <v>635</v>
      </c>
      <c r="C64" s="103" t="s">
        <v>633</v>
      </c>
      <c r="D64" s="113"/>
      <c r="E64" s="113"/>
      <c r="F64" s="104"/>
      <c r="G64" s="104"/>
      <c r="H64" s="105"/>
      <c r="I64" s="106"/>
      <c r="J64" s="107" t="s">
        <v>115</v>
      </c>
      <c r="K64" s="40">
        <v>0</v>
      </c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</row>
    <row r="65" spans="1:23">
      <c r="A65" s="12">
        <v>61</v>
      </c>
      <c r="B65" s="12" t="s">
        <v>321</v>
      </c>
      <c r="C65" s="103" t="s">
        <v>634</v>
      </c>
      <c r="D65" s="113"/>
      <c r="E65" s="113"/>
      <c r="F65" s="104"/>
      <c r="G65" s="104"/>
      <c r="H65" s="105"/>
      <c r="I65" s="106"/>
      <c r="J65" s="107" t="s">
        <v>115</v>
      </c>
      <c r="K65" s="40">
        <v>0</v>
      </c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</row>
    <row r="66" spans="1:23">
      <c r="A66" s="12">
        <v>62</v>
      </c>
      <c r="B66" s="12" t="s">
        <v>328</v>
      </c>
      <c r="C66" s="103" t="s">
        <v>662</v>
      </c>
      <c r="D66" s="113"/>
      <c r="E66" s="113"/>
      <c r="F66" s="104"/>
      <c r="G66" s="104"/>
      <c r="H66" s="105"/>
      <c r="I66" s="106"/>
      <c r="J66" s="107" t="s">
        <v>115</v>
      </c>
      <c r="K66" s="40"/>
      <c r="L66" s="40">
        <v>-4568732</v>
      </c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</row>
    <row r="67" spans="1:23">
      <c r="A67" s="12">
        <v>63</v>
      </c>
      <c r="B67" s="12" t="s">
        <v>323</v>
      </c>
      <c r="C67" s="103" t="s">
        <v>663</v>
      </c>
      <c r="D67" s="113"/>
      <c r="E67" s="113"/>
      <c r="F67" s="104"/>
      <c r="G67" s="104"/>
      <c r="H67" s="105"/>
      <c r="I67" s="106"/>
      <c r="J67" s="107" t="s">
        <v>115</v>
      </c>
      <c r="K67" s="40"/>
      <c r="L67" s="40">
        <v>-6176000</v>
      </c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</row>
    <row r="68" spans="1:23">
      <c r="A68" s="12">
        <v>64</v>
      </c>
      <c r="B68" s="12" t="s">
        <v>326</v>
      </c>
      <c r="C68" s="103" t="s">
        <v>209</v>
      </c>
      <c r="D68" s="113"/>
      <c r="E68" s="113"/>
      <c r="F68" s="104"/>
      <c r="G68" s="104"/>
      <c r="H68" s="105"/>
      <c r="I68" s="106"/>
      <c r="J68" s="107" t="s">
        <v>115</v>
      </c>
      <c r="K68" s="40"/>
      <c r="L68" s="40">
        <v>-60897000</v>
      </c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</row>
    <row r="69" spans="1:23">
      <c r="A69" s="12">
        <v>65</v>
      </c>
      <c r="B69" s="12" t="s">
        <v>328</v>
      </c>
      <c r="C69" s="103" t="s">
        <v>664</v>
      </c>
      <c r="D69" s="113"/>
      <c r="E69" s="113"/>
      <c r="F69" s="104"/>
      <c r="G69" s="104"/>
      <c r="H69" s="105"/>
      <c r="I69" s="106"/>
      <c r="J69" s="107" t="s">
        <v>115</v>
      </c>
      <c r="K69" s="40"/>
      <c r="L69" s="40">
        <v>-19035649</v>
      </c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</row>
    <row r="70" spans="1:23">
      <c r="A70" s="12">
        <v>66</v>
      </c>
      <c r="B70" s="12" t="s">
        <v>329</v>
      </c>
      <c r="C70" s="103" t="s">
        <v>665</v>
      </c>
      <c r="D70" s="113"/>
      <c r="E70" s="113"/>
      <c r="F70" s="104"/>
      <c r="G70" s="104"/>
      <c r="H70" s="105"/>
      <c r="I70" s="106"/>
      <c r="J70" s="107" t="s">
        <v>115</v>
      </c>
      <c r="K70" s="40"/>
      <c r="L70" s="40" t="s">
        <v>670</v>
      </c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</row>
    <row r="71" spans="1:23">
      <c r="A71" s="12">
        <v>67</v>
      </c>
      <c r="B71" s="12" t="s">
        <v>325</v>
      </c>
      <c r="C71" s="103" t="s">
        <v>666</v>
      </c>
      <c r="D71" s="113"/>
      <c r="E71" s="113"/>
      <c r="F71" s="104"/>
      <c r="G71" s="104"/>
      <c r="H71" s="105"/>
      <c r="I71" s="106"/>
      <c r="J71" s="107" t="s">
        <v>115</v>
      </c>
      <c r="K71" s="40"/>
      <c r="L71" s="40">
        <v>0</v>
      </c>
      <c r="M71" s="40">
        <v>-55800</v>
      </c>
      <c r="N71" s="40"/>
      <c r="O71" s="40"/>
      <c r="P71" s="40"/>
      <c r="Q71" s="40"/>
      <c r="R71" s="40"/>
      <c r="S71" s="40"/>
      <c r="T71" s="40"/>
      <c r="U71" s="40"/>
      <c r="V71" s="40"/>
      <c r="W71" s="40"/>
    </row>
    <row r="72" spans="1:23">
      <c r="A72" s="12">
        <v>68</v>
      </c>
      <c r="B72" s="12" t="s">
        <v>323</v>
      </c>
      <c r="C72" s="103" t="s">
        <v>251</v>
      </c>
      <c r="D72" s="113"/>
      <c r="E72" s="113"/>
      <c r="F72" s="104"/>
      <c r="G72" s="104"/>
      <c r="H72" s="105"/>
      <c r="I72" s="106"/>
      <c r="J72" s="107" t="s">
        <v>115</v>
      </c>
      <c r="K72" s="40"/>
      <c r="L72" s="40"/>
      <c r="M72" s="40">
        <v>-1000000</v>
      </c>
      <c r="N72" s="40"/>
      <c r="O72" s="40"/>
      <c r="P72" s="40"/>
      <c r="Q72" s="40"/>
      <c r="R72" s="40"/>
      <c r="S72" s="40"/>
      <c r="T72" s="40"/>
      <c r="U72" s="40"/>
      <c r="V72" s="40"/>
      <c r="W72" s="40"/>
    </row>
    <row r="73" spans="1:23">
      <c r="A73" s="12">
        <v>69</v>
      </c>
      <c r="B73" s="12" t="s">
        <v>328</v>
      </c>
      <c r="C73" s="103" t="s">
        <v>664</v>
      </c>
      <c r="D73" s="7"/>
      <c r="E73" s="7"/>
      <c r="F73" s="3"/>
      <c r="G73" s="3"/>
      <c r="H73" s="5"/>
      <c r="I73" s="6"/>
      <c r="J73" s="107" t="s">
        <v>115</v>
      </c>
      <c r="K73" s="40"/>
      <c r="L73" s="40"/>
      <c r="M73" s="40">
        <v>-6843223</v>
      </c>
      <c r="N73" s="40"/>
      <c r="O73" s="40"/>
      <c r="P73" s="40"/>
      <c r="Q73" s="40"/>
      <c r="R73" s="40"/>
      <c r="S73" s="40"/>
      <c r="T73" s="40"/>
      <c r="U73" s="40"/>
      <c r="V73" s="40"/>
      <c r="W73" s="40"/>
    </row>
    <row r="74" spans="1:23">
      <c r="A74" s="3">
        <v>70</v>
      </c>
      <c r="B74" s="12" t="s">
        <v>323</v>
      </c>
      <c r="C74" s="103" t="s">
        <v>672</v>
      </c>
      <c r="D74" s="7"/>
      <c r="E74" s="7"/>
      <c r="F74" s="3"/>
      <c r="G74" s="3"/>
      <c r="H74" s="5"/>
      <c r="I74" s="6"/>
      <c r="J74" s="107" t="s">
        <v>115</v>
      </c>
      <c r="K74" s="40"/>
      <c r="L74" s="40"/>
      <c r="M74" s="40">
        <v>-6858000</v>
      </c>
      <c r="N74" s="42"/>
      <c r="O74" s="43"/>
      <c r="P74" s="44"/>
      <c r="Q74" s="45"/>
      <c r="R74" s="45"/>
      <c r="S74" s="46"/>
      <c r="T74" s="42"/>
      <c r="U74" s="42"/>
      <c r="V74" s="40"/>
      <c r="W74" s="40"/>
    </row>
    <row r="75" spans="1:23">
      <c r="A75" s="30">
        <v>71</v>
      </c>
      <c r="B75" s="12" t="s">
        <v>318</v>
      </c>
      <c r="C75" s="103" t="s">
        <v>673</v>
      </c>
      <c r="D75" s="7"/>
      <c r="E75" s="7"/>
      <c r="F75" s="3"/>
      <c r="G75" s="3"/>
      <c r="H75" s="5"/>
      <c r="I75" s="6"/>
      <c r="J75" s="107" t="s">
        <v>115</v>
      </c>
      <c r="K75" s="40"/>
      <c r="L75" s="40"/>
      <c r="M75" s="40">
        <v>-40000000</v>
      </c>
      <c r="N75" s="47"/>
      <c r="O75" s="48"/>
      <c r="P75" s="49"/>
      <c r="Q75" s="50"/>
      <c r="R75" s="50"/>
      <c r="S75" s="51"/>
      <c r="T75" s="47"/>
      <c r="U75" s="47"/>
      <c r="V75" s="40"/>
      <c r="W75" s="40"/>
    </row>
    <row r="76" spans="1:23">
      <c r="A76" s="3">
        <v>72</v>
      </c>
      <c r="B76" s="12" t="s">
        <v>323</v>
      </c>
      <c r="C76" s="103" t="s">
        <v>251</v>
      </c>
      <c r="D76" s="7"/>
      <c r="E76" s="7"/>
      <c r="F76" s="3"/>
      <c r="G76" s="3"/>
      <c r="H76" s="5"/>
      <c r="I76" s="6"/>
      <c r="J76" s="107" t="s">
        <v>115</v>
      </c>
      <c r="K76" s="40"/>
      <c r="L76" s="42"/>
      <c r="M76" s="40">
        <v>1000000</v>
      </c>
      <c r="N76" s="42"/>
      <c r="O76" s="43"/>
      <c r="P76" s="44"/>
      <c r="Q76" s="45"/>
      <c r="R76" s="45"/>
      <c r="S76" s="46"/>
      <c r="T76" s="42"/>
      <c r="U76" s="42"/>
      <c r="V76" s="40"/>
      <c r="W76" s="40"/>
    </row>
    <row r="77" spans="1:23">
      <c r="A77" s="3">
        <v>73</v>
      </c>
      <c r="B77" s="12" t="s">
        <v>323</v>
      </c>
      <c r="C77" s="103" t="s">
        <v>251</v>
      </c>
      <c r="D77" s="103"/>
      <c r="E77" s="103"/>
      <c r="F77" s="103"/>
      <c r="G77" s="103"/>
      <c r="H77" s="103"/>
      <c r="I77" s="103"/>
      <c r="J77" s="107" t="s">
        <v>115</v>
      </c>
      <c r="K77" s="40"/>
      <c r="L77" s="40"/>
      <c r="M77" s="40"/>
      <c r="N77" s="40">
        <v>-1000000</v>
      </c>
      <c r="O77" s="40"/>
      <c r="P77" s="44"/>
      <c r="Q77" s="45"/>
      <c r="R77" s="45"/>
      <c r="S77" s="46"/>
      <c r="T77" s="42"/>
      <c r="U77" s="42"/>
      <c r="V77" s="40"/>
      <c r="W77" s="40"/>
    </row>
    <row r="78" spans="1:23">
      <c r="A78" s="30">
        <v>74</v>
      </c>
      <c r="B78" s="3" t="s">
        <v>328</v>
      </c>
      <c r="C78" s="103" t="s">
        <v>678</v>
      </c>
      <c r="D78" s="103"/>
      <c r="E78" s="103"/>
      <c r="F78" s="103"/>
      <c r="G78" s="103"/>
      <c r="H78" s="103"/>
      <c r="I78" s="103"/>
      <c r="J78" s="107" t="s">
        <v>115</v>
      </c>
      <c r="K78" s="40"/>
      <c r="L78" s="40"/>
      <c r="M78" s="40"/>
      <c r="N78" s="40">
        <v>-18289360</v>
      </c>
      <c r="O78" s="40"/>
      <c r="P78" s="44"/>
      <c r="Q78" s="45"/>
      <c r="R78" s="45"/>
      <c r="S78" s="46"/>
      <c r="T78" s="42"/>
      <c r="U78" s="42"/>
      <c r="V78" s="40"/>
      <c r="W78" s="40"/>
    </row>
    <row r="79" spans="1:23">
      <c r="A79" s="3">
        <v>75</v>
      </c>
      <c r="B79" s="3" t="s">
        <v>680</v>
      </c>
      <c r="C79" s="103" t="s">
        <v>679</v>
      </c>
      <c r="D79" s="103"/>
      <c r="E79" s="103"/>
      <c r="F79" s="103"/>
      <c r="G79" s="103"/>
      <c r="H79" s="103"/>
      <c r="I79" s="103"/>
      <c r="J79" s="107" t="s">
        <v>115</v>
      </c>
      <c r="K79" s="40"/>
      <c r="L79" s="40"/>
      <c r="M79" s="40"/>
      <c r="N79" s="40">
        <v>-5535000</v>
      </c>
      <c r="O79" s="40"/>
      <c r="P79" s="44"/>
      <c r="Q79" s="45"/>
      <c r="R79" s="45"/>
      <c r="S79" s="46"/>
      <c r="T79" s="42"/>
      <c r="U79" s="42"/>
      <c r="V79" s="40"/>
      <c r="W79" s="40"/>
    </row>
    <row r="80" spans="1:23">
      <c r="A80" s="3">
        <v>76</v>
      </c>
      <c r="B80" s="3" t="s">
        <v>326</v>
      </c>
      <c r="C80" s="103" t="s">
        <v>209</v>
      </c>
      <c r="D80" s="103"/>
      <c r="E80" s="103"/>
      <c r="F80" s="103"/>
      <c r="G80" s="103"/>
      <c r="H80" s="103"/>
      <c r="I80" s="103"/>
      <c r="J80" s="107" t="s">
        <v>115</v>
      </c>
      <c r="K80" s="40"/>
      <c r="L80" s="40"/>
      <c r="M80" s="40"/>
      <c r="N80" s="40">
        <v>-33600000</v>
      </c>
      <c r="O80" s="40"/>
      <c r="P80" s="44"/>
      <c r="Q80" s="45"/>
      <c r="R80" s="45"/>
      <c r="S80" s="46"/>
      <c r="T80" s="42"/>
      <c r="U80" s="42"/>
      <c r="V80" s="40"/>
      <c r="W80" s="40"/>
    </row>
    <row r="81" spans="1:23">
      <c r="A81" s="30">
        <v>77</v>
      </c>
      <c r="B81" s="3" t="s">
        <v>325</v>
      </c>
      <c r="C81" s="103" t="s">
        <v>470</v>
      </c>
      <c r="D81" s="103"/>
      <c r="E81" s="103"/>
      <c r="F81" s="103"/>
      <c r="G81" s="103"/>
      <c r="H81" s="103"/>
      <c r="I81" s="103"/>
      <c r="J81" s="107" t="s">
        <v>115</v>
      </c>
      <c r="K81" s="40"/>
      <c r="L81" s="40"/>
      <c r="M81" s="40"/>
      <c r="N81" s="40">
        <v>-46300</v>
      </c>
      <c r="O81" s="40"/>
      <c r="P81" s="44"/>
      <c r="Q81" s="45"/>
      <c r="R81" s="45"/>
      <c r="S81" s="46"/>
      <c r="T81" s="42"/>
      <c r="U81" s="42"/>
      <c r="V81" s="40"/>
      <c r="W81" s="40"/>
    </row>
    <row r="82" spans="1:23">
      <c r="A82" s="3">
        <v>78</v>
      </c>
      <c r="B82" s="3" t="s">
        <v>328</v>
      </c>
      <c r="C82" s="103" t="s">
        <v>689</v>
      </c>
      <c r="D82" s="103"/>
      <c r="E82" s="103"/>
      <c r="F82" s="103"/>
      <c r="G82" s="103"/>
      <c r="H82" s="103"/>
      <c r="I82" s="103"/>
      <c r="J82" s="107" t="s">
        <v>115</v>
      </c>
      <c r="K82" s="40"/>
      <c r="L82" s="40"/>
      <c r="M82" s="40"/>
      <c r="N82" s="40">
        <v>-6886290</v>
      </c>
      <c r="O82" s="40"/>
      <c r="P82" s="44"/>
      <c r="Q82" s="45"/>
      <c r="R82" s="45"/>
      <c r="S82" s="46"/>
      <c r="T82" s="42"/>
      <c r="U82" s="42"/>
      <c r="V82" s="40"/>
      <c r="W82" s="40"/>
    </row>
    <row r="83" spans="1:23">
      <c r="A83" s="3">
        <v>79</v>
      </c>
      <c r="B83" s="3" t="s">
        <v>328</v>
      </c>
      <c r="C83" s="103" t="s">
        <v>707</v>
      </c>
      <c r="D83" s="103"/>
      <c r="E83" s="103"/>
      <c r="F83" s="103"/>
      <c r="G83" s="103"/>
      <c r="H83" s="103"/>
      <c r="I83" s="103"/>
      <c r="J83" s="107" t="s">
        <v>115</v>
      </c>
      <c r="K83" s="40"/>
      <c r="L83" s="40"/>
      <c r="M83" s="40"/>
      <c r="N83" s="40">
        <v>-3460000</v>
      </c>
      <c r="O83" s="40"/>
      <c r="P83" s="44"/>
      <c r="Q83" s="45"/>
      <c r="R83" s="45"/>
      <c r="S83" s="46"/>
      <c r="T83" s="42"/>
      <c r="U83" s="42"/>
      <c r="V83" s="40"/>
      <c r="W83" s="40"/>
    </row>
    <row r="84" spans="1:23">
      <c r="A84" s="30">
        <v>80</v>
      </c>
      <c r="B84" s="3" t="s">
        <v>323</v>
      </c>
      <c r="C84" s="103" t="s">
        <v>251</v>
      </c>
      <c r="D84" s="103"/>
      <c r="E84" s="103"/>
      <c r="F84" s="103"/>
      <c r="G84" s="103"/>
      <c r="H84" s="103"/>
      <c r="I84" s="103"/>
      <c r="J84" s="107" t="s">
        <v>115</v>
      </c>
      <c r="K84" s="40"/>
      <c r="L84" s="40"/>
      <c r="M84" s="40"/>
      <c r="N84" s="40">
        <v>-1000000</v>
      </c>
      <c r="O84" s="40"/>
      <c r="P84" s="40"/>
      <c r="Q84" s="40"/>
      <c r="R84" s="45"/>
      <c r="S84" s="46"/>
      <c r="T84" s="42"/>
      <c r="U84" s="42"/>
      <c r="V84" s="40"/>
      <c r="W84" s="40"/>
    </row>
    <row r="85" spans="1:23">
      <c r="A85" s="3">
        <v>81</v>
      </c>
      <c r="B85" s="3" t="s">
        <v>325</v>
      </c>
      <c r="C85" s="103" t="s">
        <v>470</v>
      </c>
      <c r="D85" s="103"/>
      <c r="E85" s="103"/>
      <c r="F85" s="103"/>
      <c r="G85" s="103"/>
      <c r="H85" s="103"/>
      <c r="I85" s="103"/>
      <c r="J85" s="107" t="s">
        <v>115</v>
      </c>
      <c r="K85" s="40"/>
      <c r="L85" s="40"/>
      <c r="M85" s="40"/>
      <c r="N85" s="40"/>
      <c r="O85" s="40">
        <v>-55300</v>
      </c>
      <c r="P85" s="40"/>
      <c r="Q85" s="40"/>
      <c r="R85" s="45"/>
      <c r="S85" s="46"/>
      <c r="T85" s="42"/>
      <c r="U85" s="42"/>
      <c r="V85" s="40"/>
      <c r="W85" s="40"/>
    </row>
    <row r="86" spans="1:23">
      <c r="A86" s="3">
        <v>82</v>
      </c>
      <c r="B86" s="3" t="s">
        <v>326</v>
      </c>
      <c r="C86" s="103" t="s">
        <v>209</v>
      </c>
      <c r="D86" s="103"/>
      <c r="E86" s="103"/>
      <c r="F86" s="103"/>
      <c r="G86" s="103"/>
      <c r="H86" s="103"/>
      <c r="I86" s="103"/>
      <c r="J86" s="107" t="s">
        <v>115</v>
      </c>
      <c r="K86" s="40"/>
      <c r="L86" s="40"/>
      <c r="M86" s="40"/>
      <c r="N86" s="40"/>
      <c r="O86" s="40">
        <v>-67327516</v>
      </c>
      <c r="P86" s="40"/>
      <c r="Q86" s="40"/>
      <c r="R86" s="45"/>
      <c r="S86" s="46"/>
      <c r="T86" s="42"/>
      <c r="U86" s="42"/>
      <c r="V86" s="40"/>
      <c r="W86" s="40"/>
    </row>
    <row r="87" spans="1:23">
      <c r="A87" s="30">
        <v>83</v>
      </c>
      <c r="B87" s="3" t="s">
        <v>323</v>
      </c>
      <c r="C87" s="103" t="s">
        <v>251</v>
      </c>
      <c r="D87" s="103"/>
      <c r="E87" s="103"/>
      <c r="F87" s="103"/>
      <c r="G87" s="103"/>
      <c r="H87" s="103"/>
      <c r="I87" s="103"/>
      <c r="J87" s="107" t="s">
        <v>115</v>
      </c>
      <c r="K87" s="40"/>
      <c r="L87" s="40"/>
      <c r="M87" s="40"/>
      <c r="N87" s="40"/>
      <c r="O87" s="40"/>
      <c r="P87" s="40">
        <v>-1000000</v>
      </c>
      <c r="Q87" s="40"/>
      <c r="R87" s="45"/>
      <c r="S87" s="46"/>
      <c r="T87" s="42"/>
      <c r="U87" s="42"/>
      <c r="V87" s="40"/>
      <c r="W87" s="40"/>
    </row>
    <row r="88" spans="1:23">
      <c r="A88" s="3">
        <v>84</v>
      </c>
      <c r="B88" s="3" t="s">
        <v>325</v>
      </c>
      <c r="C88" s="103" t="s">
        <v>470</v>
      </c>
      <c r="D88" s="103"/>
      <c r="E88" s="103"/>
      <c r="F88" s="103"/>
      <c r="G88" s="103"/>
      <c r="H88" s="103"/>
      <c r="I88" s="103"/>
      <c r="J88" s="107" t="s">
        <v>115</v>
      </c>
      <c r="K88" s="40"/>
      <c r="L88" s="40"/>
      <c r="M88" s="40"/>
      <c r="N88" s="40"/>
      <c r="O88" s="40"/>
      <c r="P88" s="40">
        <v>-46300</v>
      </c>
      <c r="Q88" s="40"/>
      <c r="R88" s="45"/>
      <c r="S88" s="46"/>
      <c r="T88" s="42"/>
      <c r="U88" s="42"/>
      <c r="V88" s="40"/>
      <c r="W88" s="40"/>
    </row>
    <row r="89" spans="1:23">
      <c r="A89" s="3">
        <v>85</v>
      </c>
      <c r="B89" s="3" t="s">
        <v>328</v>
      </c>
      <c r="C89" s="103" t="s">
        <v>719</v>
      </c>
      <c r="D89" s="103"/>
      <c r="E89" s="103"/>
      <c r="F89" s="103"/>
      <c r="G89" s="103"/>
      <c r="H89" s="103"/>
      <c r="I89" s="103"/>
      <c r="J89" s="107" t="s">
        <v>115</v>
      </c>
      <c r="K89" s="40"/>
      <c r="L89" s="40"/>
      <c r="M89" s="40"/>
      <c r="N89" s="40"/>
      <c r="O89" s="40"/>
      <c r="P89" s="40">
        <v>-9219069</v>
      </c>
      <c r="Q89" s="40"/>
      <c r="R89" s="45"/>
      <c r="S89" s="46"/>
      <c r="T89" s="42"/>
      <c r="U89" s="42"/>
      <c r="V89" s="40"/>
      <c r="W89" s="40"/>
    </row>
    <row r="90" spans="1:23">
      <c r="A90" s="3">
        <v>86</v>
      </c>
      <c r="B90" s="3" t="s">
        <v>323</v>
      </c>
      <c r="C90" s="103" t="s">
        <v>251</v>
      </c>
      <c r="D90" s="103"/>
      <c r="E90" s="103"/>
      <c r="F90" s="103"/>
      <c r="G90" s="103"/>
      <c r="H90" s="103"/>
      <c r="I90" s="103"/>
      <c r="J90" s="107" t="s">
        <v>115</v>
      </c>
      <c r="K90" s="40"/>
      <c r="L90" s="40"/>
      <c r="M90" s="40"/>
      <c r="N90" s="40"/>
      <c r="O90" s="40"/>
      <c r="P90" s="126">
        <v>-17920422</v>
      </c>
      <c r="Q90" s="40"/>
      <c r="R90" s="45"/>
      <c r="S90" s="46"/>
      <c r="T90" s="42"/>
      <c r="U90" s="42"/>
      <c r="V90" s="40"/>
      <c r="W90" s="40"/>
    </row>
    <row r="91" spans="1:23">
      <c r="A91" s="30">
        <v>87</v>
      </c>
      <c r="B91" s="3" t="s">
        <v>326</v>
      </c>
      <c r="C91" s="103" t="s">
        <v>209</v>
      </c>
      <c r="D91" s="103"/>
      <c r="E91" s="103"/>
      <c r="F91" s="103"/>
      <c r="G91" s="103"/>
      <c r="H91" s="103"/>
      <c r="I91" s="103"/>
      <c r="J91" s="107" t="s">
        <v>115</v>
      </c>
      <c r="K91" s="40"/>
      <c r="L91" s="40"/>
      <c r="M91" s="40"/>
      <c r="N91" s="40"/>
      <c r="O91" s="40"/>
      <c r="P91" s="40">
        <v>-37882873</v>
      </c>
      <c r="Q91" s="40"/>
      <c r="R91" s="45"/>
      <c r="S91" s="46"/>
      <c r="T91" s="42"/>
      <c r="U91" s="42"/>
      <c r="V91" s="40"/>
      <c r="W91" s="40"/>
    </row>
    <row r="92" spans="1:23">
      <c r="A92" s="3">
        <v>88</v>
      </c>
      <c r="B92" s="3" t="s">
        <v>323</v>
      </c>
      <c r="C92" s="103" t="s">
        <v>721</v>
      </c>
      <c r="D92" s="103"/>
      <c r="E92" s="103"/>
      <c r="F92" s="103"/>
      <c r="G92" s="103"/>
      <c r="H92" s="103"/>
      <c r="I92" s="103"/>
      <c r="J92" s="107" t="s">
        <v>115</v>
      </c>
      <c r="K92" s="40"/>
      <c r="L92" s="40"/>
      <c r="M92" s="40"/>
      <c r="N92" s="40"/>
      <c r="O92" s="40"/>
      <c r="P92" s="40">
        <v>-5699280</v>
      </c>
      <c r="Q92" s="40"/>
      <c r="R92" s="45"/>
      <c r="S92" s="46"/>
      <c r="T92" s="42"/>
      <c r="U92" s="42"/>
      <c r="V92" s="40"/>
      <c r="W92" s="40"/>
    </row>
    <row r="93" spans="1:23">
      <c r="A93" s="3">
        <v>89</v>
      </c>
      <c r="B93" s="3" t="s">
        <v>323</v>
      </c>
      <c r="C93" s="103" t="s">
        <v>251</v>
      </c>
      <c r="D93" s="103"/>
      <c r="E93" s="103"/>
      <c r="F93" s="103"/>
      <c r="G93" s="103"/>
      <c r="H93" s="103"/>
      <c r="I93" s="103"/>
      <c r="J93" s="107" t="s">
        <v>115</v>
      </c>
      <c r="K93" s="40"/>
      <c r="L93" s="40"/>
      <c r="M93" s="40"/>
      <c r="N93" s="40"/>
      <c r="O93" s="40"/>
      <c r="P93" s="40">
        <v>-3475000</v>
      </c>
      <c r="Q93" s="40"/>
      <c r="R93" s="45"/>
      <c r="S93" s="46"/>
      <c r="T93" s="42"/>
      <c r="U93" s="42"/>
      <c r="V93" s="40"/>
      <c r="W93" s="40"/>
    </row>
    <row r="94" spans="1:23">
      <c r="A94" s="3"/>
      <c r="B94" s="3" t="s">
        <v>323</v>
      </c>
      <c r="C94" s="103" t="s">
        <v>732</v>
      </c>
      <c r="D94" s="103"/>
      <c r="E94" s="103"/>
      <c r="F94" s="103"/>
      <c r="G94" s="103"/>
      <c r="H94" s="103"/>
      <c r="I94" s="103"/>
      <c r="J94" s="107" t="s">
        <v>115</v>
      </c>
      <c r="K94" s="40"/>
      <c r="L94" s="40"/>
      <c r="M94" s="40"/>
      <c r="N94" s="40"/>
      <c r="O94" s="40"/>
      <c r="P94" s="40"/>
      <c r="Q94" s="40">
        <v>-1000000</v>
      </c>
      <c r="R94" s="45"/>
      <c r="S94" s="46"/>
      <c r="T94" s="42"/>
      <c r="U94" s="42"/>
      <c r="V94" s="40"/>
      <c r="W94" s="40"/>
    </row>
    <row r="95" spans="1:23">
      <c r="A95" s="3"/>
      <c r="B95" s="3" t="s">
        <v>319</v>
      </c>
      <c r="C95" s="103" t="s">
        <v>733</v>
      </c>
      <c r="D95" s="103"/>
      <c r="E95" s="103"/>
      <c r="F95" s="103"/>
      <c r="G95" s="103"/>
      <c r="H95" s="103"/>
      <c r="I95" s="103"/>
      <c r="J95" s="107" t="s">
        <v>115</v>
      </c>
      <c r="K95" s="40"/>
      <c r="L95" s="40"/>
      <c r="M95" s="40"/>
      <c r="N95" s="40"/>
      <c r="O95" s="40"/>
      <c r="P95" s="40"/>
      <c r="Q95" s="40">
        <v>-15487675</v>
      </c>
      <c r="R95" s="45"/>
      <c r="S95" s="46"/>
      <c r="T95" s="42"/>
      <c r="U95" s="42"/>
      <c r="V95" s="40"/>
      <c r="W95" s="40"/>
    </row>
    <row r="96" spans="1:23">
      <c r="A96" s="3"/>
      <c r="B96" s="3" t="s">
        <v>326</v>
      </c>
      <c r="C96" s="103" t="s">
        <v>209</v>
      </c>
      <c r="D96" s="103"/>
      <c r="E96" s="103"/>
      <c r="F96" s="103"/>
      <c r="G96" s="103"/>
      <c r="H96" s="103"/>
      <c r="I96" s="103"/>
      <c r="J96" s="107" t="s">
        <v>115</v>
      </c>
      <c r="K96" s="40"/>
      <c r="L96" s="40"/>
      <c r="M96" s="40"/>
      <c r="N96" s="40"/>
      <c r="O96" s="40"/>
      <c r="P96" s="40"/>
      <c r="Q96" s="40">
        <v>-41493250</v>
      </c>
      <c r="R96" s="45"/>
      <c r="S96" s="46"/>
      <c r="T96" s="42"/>
      <c r="U96" s="42"/>
      <c r="V96" s="40"/>
      <c r="W96" s="40"/>
    </row>
    <row r="97" spans="1:23">
      <c r="A97" s="3"/>
      <c r="B97" s="3" t="s">
        <v>328</v>
      </c>
      <c r="C97" s="103" t="s">
        <v>734</v>
      </c>
      <c r="D97" s="103"/>
      <c r="E97" s="103"/>
      <c r="F97" s="103"/>
      <c r="G97" s="103"/>
      <c r="H97" s="103"/>
      <c r="I97" s="103"/>
      <c r="J97" s="107" t="s">
        <v>115</v>
      </c>
      <c r="K97" s="40"/>
      <c r="L97" s="40"/>
      <c r="M97" s="40"/>
      <c r="N97" s="40"/>
      <c r="O97" s="40"/>
      <c r="P97" s="40"/>
      <c r="Q97" s="40">
        <v>-1879708</v>
      </c>
      <c r="R97" s="45"/>
      <c r="S97" s="46"/>
      <c r="T97" s="42"/>
      <c r="U97" s="42"/>
      <c r="V97" s="40"/>
      <c r="W97" s="40"/>
    </row>
    <row r="98" spans="1:23">
      <c r="A98" s="3"/>
      <c r="B98" s="3" t="s">
        <v>325</v>
      </c>
      <c r="C98" s="103" t="s">
        <v>470</v>
      </c>
      <c r="D98" s="103"/>
      <c r="E98" s="103"/>
      <c r="F98" s="103"/>
      <c r="G98" s="103"/>
      <c r="H98" s="103"/>
      <c r="I98" s="103"/>
      <c r="J98" s="107" t="s">
        <v>115</v>
      </c>
      <c r="K98" s="40"/>
      <c r="L98" s="40"/>
      <c r="M98" s="40"/>
      <c r="N98" s="40"/>
      <c r="O98" s="40"/>
      <c r="P98" s="40"/>
      <c r="Q98" s="40">
        <v>-55300</v>
      </c>
      <c r="R98" s="45"/>
      <c r="S98" s="46"/>
      <c r="T98" s="42"/>
      <c r="U98" s="42"/>
      <c r="V98" s="40"/>
      <c r="W98" s="40"/>
    </row>
    <row r="99" spans="1:23">
      <c r="A99" s="3"/>
      <c r="B99" s="3" t="s">
        <v>743</v>
      </c>
      <c r="C99" s="103" t="s">
        <v>742</v>
      </c>
      <c r="D99" s="103"/>
      <c r="E99" s="103"/>
      <c r="F99" s="103"/>
      <c r="G99" s="103"/>
      <c r="H99" s="103"/>
      <c r="I99" s="103"/>
      <c r="J99" s="107" t="s">
        <v>115</v>
      </c>
      <c r="K99" s="40"/>
      <c r="L99" s="40"/>
      <c r="M99" s="40"/>
      <c r="N99" s="40"/>
      <c r="O99" s="40"/>
      <c r="P99" s="40"/>
      <c r="Q99" s="40">
        <v>-5000000</v>
      </c>
      <c r="R99" s="40"/>
      <c r="S99" s="46"/>
      <c r="T99" s="42"/>
      <c r="U99" s="42"/>
      <c r="V99" s="40"/>
      <c r="W99" s="40"/>
    </row>
    <row r="100" spans="1:23">
      <c r="A100" s="3"/>
      <c r="B100" s="3" t="s">
        <v>743</v>
      </c>
      <c r="C100" s="103" t="s">
        <v>750</v>
      </c>
      <c r="D100" s="103"/>
      <c r="E100" s="103"/>
      <c r="F100" s="103"/>
      <c r="G100" s="103"/>
      <c r="H100" s="103"/>
      <c r="I100" s="103"/>
      <c r="J100" s="107" t="s">
        <v>115</v>
      </c>
      <c r="K100" s="40"/>
      <c r="L100" s="40"/>
      <c r="M100" s="40"/>
      <c r="N100" s="40"/>
      <c r="O100" s="40"/>
      <c r="P100" s="40"/>
      <c r="Q100" s="40"/>
      <c r="R100" s="40">
        <v>-4000000</v>
      </c>
      <c r="S100" s="46"/>
      <c r="T100" s="42"/>
      <c r="U100" s="42"/>
      <c r="V100" s="40"/>
      <c r="W100" s="40"/>
    </row>
    <row r="101" spans="1:23">
      <c r="A101" s="3"/>
      <c r="B101" s="3" t="s">
        <v>323</v>
      </c>
      <c r="C101" s="103" t="s">
        <v>251</v>
      </c>
      <c r="D101" s="103"/>
      <c r="E101" s="103"/>
      <c r="F101" s="103"/>
      <c r="G101" s="103"/>
      <c r="H101" s="103"/>
      <c r="I101" s="103"/>
      <c r="J101" s="107" t="s">
        <v>115</v>
      </c>
      <c r="K101" s="40"/>
      <c r="L101" s="40"/>
      <c r="M101" s="40"/>
      <c r="N101" s="40"/>
      <c r="O101" s="40"/>
      <c r="P101" s="40"/>
      <c r="Q101" s="40"/>
      <c r="R101" s="40">
        <v>-9661190</v>
      </c>
      <c r="S101" s="46"/>
      <c r="T101" s="42"/>
      <c r="U101" s="42"/>
      <c r="V101" s="40"/>
      <c r="W101" s="40"/>
    </row>
    <row r="102" spans="1:23">
      <c r="A102" s="3"/>
      <c r="B102" s="3" t="s">
        <v>328</v>
      </c>
      <c r="C102" s="103" t="s">
        <v>751</v>
      </c>
      <c r="D102" s="103"/>
      <c r="E102" s="103"/>
      <c r="F102" s="103"/>
      <c r="G102" s="103"/>
      <c r="H102" s="103"/>
      <c r="I102" s="103"/>
      <c r="J102" s="107" t="s">
        <v>115</v>
      </c>
      <c r="K102" s="40"/>
      <c r="L102" s="40"/>
      <c r="M102" s="40"/>
      <c r="N102" s="40"/>
      <c r="O102" s="40"/>
      <c r="P102" s="40"/>
      <c r="Q102" s="40"/>
      <c r="R102" s="40">
        <v>-1861000</v>
      </c>
      <c r="S102" s="46"/>
      <c r="T102" s="42"/>
      <c r="U102" s="42"/>
      <c r="V102" s="40"/>
      <c r="W102" s="40"/>
    </row>
    <row r="103" spans="1:23">
      <c r="A103" s="3"/>
      <c r="B103" s="3" t="s">
        <v>326</v>
      </c>
      <c r="C103" s="103" t="s">
        <v>761</v>
      </c>
      <c r="D103" s="103"/>
      <c r="E103" s="103"/>
      <c r="F103" s="103"/>
      <c r="G103" s="103"/>
      <c r="H103" s="103"/>
      <c r="I103" s="103"/>
      <c r="J103" s="107" t="s">
        <v>115</v>
      </c>
      <c r="K103" s="40"/>
      <c r="L103" s="40"/>
      <c r="M103" s="40"/>
      <c r="N103" s="40"/>
      <c r="O103" s="40"/>
      <c r="P103" s="40"/>
      <c r="Q103" s="40"/>
      <c r="R103" s="40">
        <v>-39128787</v>
      </c>
      <c r="S103" s="46"/>
      <c r="T103" s="42"/>
      <c r="U103" s="42"/>
      <c r="V103" s="40"/>
      <c r="W103" s="40"/>
    </row>
    <row r="104" spans="1:23">
      <c r="A104" s="3"/>
      <c r="B104" s="3" t="s">
        <v>319</v>
      </c>
      <c r="C104" s="103" t="s">
        <v>762</v>
      </c>
      <c r="D104" s="103"/>
      <c r="E104" s="103"/>
      <c r="F104" s="103"/>
      <c r="G104" s="103"/>
      <c r="H104" s="103"/>
      <c r="I104" s="103"/>
      <c r="J104" s="107" t="s">
        <v>115</v>
      </c>
      <c r="K104" s="40"/>
      <c r="L104" s="40"/>
      <c r="M104" s="40"/>
      <c r="N104" s="40"/>
      <c r="O104" s="40"/>
      <c r="P104" s="40"/>
      <c r="Q104" s="40"/>
      <c r="R104" s="40">
        <v>-5718695</v>
      </c>
      <c r="S104" s="46"/>
      <c r="T104" s="42"/>
      <c r="U104" s="42"/>
      <c r="V104" s="40"/>
      <c r="W104" s="40"/>
    </row>
    <row r="105" spans="1:23">
      <c r="A105" s="3"/>
      <c r="B105" s="3" t="s">
        <v>764</v>
      </c>
      <c r="C105" s="103" t="s">
        <v>763</v>
      </c>
      <c r="D105" s="103"/>
      <c r="E105" s="103"/>
      <c r="F105" s="103"/>
      <c r="G105" s="103"/>
      <c r="H105" s="103"/>
      <c r="I105" s="103"/>
      <c r="J105" s="107" t="s">
        <v>115</v>
      </c>
      <c r="K105" s="40"/>
      <c r="L105" s="40"/>
      <c r="M105" s="40"/>
      <c r="N105" s="40"/>
      <c r="O105" s="40"/>
      <c r="P105" s="40"/>
      <c r="Q105" s="40"/>
      <c r="R105" s="40">
        <v>-9000000</v>
      </c>
      <c r="S105" s="46"/>
      <c r="T105" s="42"/>
      <c r="U105" s="42"/>
      <c r="V105" s="40"/>
      <c r="W105" s="40"/>
    </row>
    <row r="106" spans="1:23">
      <c r="A106" s="3"/>
      <c r="B106" s="3" t="s">
        <v>325</v>
      </c>
      <c r="C106" s="103" t="s">
        <v>470</v>
      </c>
      <c r="D106" s="103"/>
      <c r="E106" s="103"/>
      <c r="F106" s="103"/>
      <c r="G106" s="103"/>
      <c r="H106" s="103"/>
      <c r="I106" s="103"/>
      <c r="J106" s="107" t="s">
        <v>115</v>
      </c>
      <c r="K106" s="40"/>
      <c r="L106" s="40"/>
      <c r="M106" s="40"/>
      <c r="N106" s="40"/>
      <c r="O106" s="40"/>
      <c r="P106" s="40"/>
      <c r="Q106" s="40"/>
      <c r="R106" s="40">
        <v>-46300</v>
      </c>
      <c r="S106" s="46"/>
      <c r="T106" s="42"/>
      <c r="U106" s="42"/>
      <c r="V106" s="40"/>
      <c r="W106" s="40"/>
    </row>
    <row r="107" spans="1:23">
      <c r="A107" s="3"/>
      <c r="B107" s="3" t="s">
        <v>324</v>
      </c>
      <c r="C107" s="103" t="s">
        <v>773</v>
      </c>
      <c r="D107" s="103"/>
      <c r="E107" s="103"/>
      <c r="F107" s="103"/>
      <c r="G107" s="103"/>
      <c r="H107" s="103"/>
      <c r="I107" s="103"/>
      <c r="J107" s="107" t="s">
        <v>115</v>
      </c>
      <c r="K107" s="40"/>
      <c r="L107" s="40"/>
      <c r="M107" s="40"/>
      <c r="N107" s="40"/>
      <c r="O107" s="40"/>
      <c r="P107" s="40"/>
      <c r="Q107" s="40"/>
      <c r="R107" s="40">
        <v>-15000000</v>
      </c>
      <c r="S107" s="46"/>
      <c r="T107" s="42"/>
      <c r="U107" s="42"/>
      <c r="V107" s="40"/>
      <c r="W107" s="40"/>
    </row>
    <row r="108" spans="1:23">
      <c r="A108" s="3"/>
      <c r="B108" s="3" t="s">
        <v>323</v>
      </c>
      <c r="C108" s="103" t="s">
        <v>774</v>
      </c>
      <c r="D108" s="103"/>
      <c r="E108" s="103"/>
      <c r="F108" s="103"/>
      <c r="G108" s="103"/>
      <c r="H108" s="103"/>
      <c r="I108" s="103"/>
      <c r="J108" s="107" t="s">
        <v>115</v>
      </c>
      <c r="K108" s="40"/>
      <c r="L108" s="40"/>
      <c r="M108" s="40"/>
      <c r="N108" s="40"/>
      <c r="O108" s="40"/>
      <c r="P108" s="40"/>
      <c r="Q108" s="40"/>
      <c r="R108" s="40">
        <v>-5137100</v>
      </c>
      <c r="S108" s="46"/>
      <c r="T108" s="42"/>
      <c r="U108" s="42"/>
      <c r="V108" s="40"/>
      <c r="W108" s="40"/>
    </row>
    <row r="109" spans="1:23">
      <c r="A109" s="3"/>
      <c r="B109" s="3" t="s">
        <v>324</v>
      </c>
      <c r="C109" s="103" t="s">
        <v>775</v>
      </c>
      <c r="D109" s="103"/>
      <c r="E109" s="103"/>
      <c r="F109" s="103"/>
      <c r="G109" s="103"/>
      <c r="H109" s="103"/>
      <c r="I109" s="103"/>
      <c r="J109" s="107" t="s">
        <v>115</v>
      </c>
      <c r="K109" s="40"/>
      <c r="L109" s="40"/>
      <c r="M109" s="40"/>
      <c r="N109" s="40"/>
      <c r="O109" s="40"/>
      <c r="P109" s="40"/>
      <c r="Q109" s="40"/>
      <c r="R109" s="40">
        <v>-5000000</v>
      </c>
      <c r="S109" s="46"/>
      <c r="T109" s="42"/>
      <c r="U109" s="42"/>
      <c r="V109" s="40"/>
      <c r="W109" s="40"/>
    </row>
    <row r="110" spans="1:23">
      <c r="A110" s="3"/>
      <c r="B110" s="3" t="s">
        <v>323</v>
      </c>
      <c r="C110" s="103" t="s">
        <v>251</v>
      </c>
      <c r="D110" s="103"/>
      <c r="E110" s="103"/>
      <c r="F110" s="103"/>
      <c r="G110" s="103"/>
      <c r="H110" s="103"/>
      <c r="I110" s="103"/>
      <c r="J110" s="107" t="s">
        <v>115</v>
      </c>
      <c r="K110" s="40"/>
      <c r="L110" s="40"/>
      <c r="M110" s="40"/>
      <c r="N110" s="40"/>
      <c r="O110" s="40"/>
      <c r="P110" s="40"/>
      <c r="Q110" s="40"/>
      <c r="R110" s="40">
        <v>-12400000</v>
      </c>
      <c r="S110" s="46"/>
      <c r="T110" s="42"/>
      <c r="U110" s="42"/>
      <c r="V110" s="40"/>
      <c r="W110" s="40"/>
    </row>
    <row r="111" spans="1:23">
      <c r="A111" s="3"/>
      <c r="B111" s="3" t="s">
        <v>324</v>
      </c>
      <c r="C111" s="103" t="s">
        <v>776</v>
      </c>
      <c r="D111" s="103"/>
      <c r="E111" s="103"/>
      <c r="F111" s="103"/>
      <c r="G111" s="103"/>
      <c r="H111" s="103"/>
      <c r="I111" s="103"/>
      <c r="J111" s="107" t="s">
        <v>115</v>
      </c>
      <c r="K111" s="40"/>
      <c r="L111" s="40"/>
      <c r="M111" s="40"/>
      <c r="N111" s="40"/>
      <c r="O111" s="40"/>
      <c r="P111" s="40"/>
      <c r="Q111" s="40"/>
      <c r="R111" s="40">
        <v>-3000000</v>
      </c>
      <c r="S111" s="46"/>
      <c r="T111" s="42"/>
      <c r="U111" s="42"/>
      <c r="V111" s="40"/>
      <c r="W111" s="40"/>
    </row>
    <row r="112" spans="1:23">
      <c r="A112" s="3"/>
      <c r="B112" s="3" t="s">
        <v>323</v>
      </c>
      <c r="C112" s="103" t="s">
        <v>251</v>
      </c>
      <c r="D112" s="103"/>
      <c r="E112" s="103"/>
      <c r="F112" s="103"/>
      <c r="G112" s="103"/>
      <c r="H112" s="103"/>
      <c r="I112" s="103"/>
      <c r="J112" s="107" t="s">
        <v>115</v>
      </c>
      <c r="K112" s="40"/>
      <c r="L112" s="40"/>
      <c r="M112" s="40"/>
      <c r="N112" s="40"/>
      <c r="O112" s="40"/>
      <c r="P112" s="40"/>
      <c r="Q112" s="40"/>
      <c r="R112" s="40"/>
      <c r="S112" s="40">
        <v>-2000000</v>
      </c>
      <c r="T112" s="42"/>
      <c r="U112" s="42"/>
      <c r="V112" s="40"/>
      <c r="W112" s="40"/>
    </row>
    <row r="113" spans="1:23">
      <c r="A113" s="3"/>
      <c r="B113" s="3" t="s">
        <v>764</v>
      </c>
      <c r="C113" s="103" t="s">
        <v>799</v>
      </c>
      <c r="D113" s="103"/>
      <c r="E113" s="103"/>
      <c r="F113" s="103"/>
      <c r="G113" s="103"/>
      <c r="H113" s="103"/>
      <c r="I113" s="103"/>
      <c r="J113" s="107" t="s">
        <v>115</v>
      </c>
      <c r="K113" s="40"/>
      <c r="L113" s="40"/>
      <c r="M113" s="40"/>
      <c r="N113" s="40"/>
      <c r="O113" s="40"/>
      <c r="P113" s="40"/>
      <c r="Q113" s="40"/>
      <c r="R113" s="40"/>
      <c r="S113" s="40">
        <v>-12000000</v>
      </c>
      <c r="T113" s="42"/>
      <c r="U113" s="42"/>
      <c r="V113" s="40"/>
      <c r="W113" s="40"/>
    </row>
    <row r="114" spans="1:23">
      <c r="A114" s="3"/>
      <c r="B114" s="3" t="s">
        <v>328</v>
      </c>
      <c r="C114" s="103" t="s">
        <v>800</v>
      </c>
      <c r="D114" s="103"/>
      <c r="E114" s="103"/>
      <c r="F114" s="103"/>
      <c r="G114" s="103"/>
      <c r="H114" s="103"/>
      <c r="I114" s="103"/>
      <c r="J114" s="107" t="s">
        <v>115</v>
      </c>
      <c r="K114" s="40"/>
      <c r="L114" s="40"/>
      <c r="M114" s="40"/>
      <c r="N114" s="40"/>
      <c r="O114" s="40"/>
      <c r="P114" s="40"/>
      <c r="Q114" s="40"/>
      <c r="R114" s="40"/>
      <c r="S114" s="40">
        <v>-10786093</v>
      </c>
      <c r="T114" s="42"/>
      <c r="U114" s="42"/>
      <c r="V114" s="40"/>
      <c r="W114" s="40"/>
    </row>
    <row r="115" spans="1:23">
      <c r="A115" s="3"/>
      <c r="B115" s="3" t="s">
        <v>319</v>
      </c>
      <c r="C115" s="103" t="s">
        <v>801</v>
      </c>
      <c r="D115" s="103"/>
      <c r="E115" s="103"/>
      <c r="F115" s="103"/>
      <c r="G115" s="103"/>
      <c r="H115" s="103"/>
      <c r="I115" s="103"/>
      <c r="J115" s="107" t="s">
        <v>115</v>
      </c>
      <c r="K115" s="40"/>
      <c r="L115" s="40"/>
      <c r="M115" s="40"/>
      <c r="N115" s="40"/>
      <c r="O115" s="40"/>
      <c r="P115" s="40"/>
      <c r="Q115" s="40"/>
      <c r="R115" s="40"/>
      <c r="S115" s="40">
        <v>-6194294</v>
      </c>
      <c r="T115" s="42"/>
      <c r="U115" s="42"/>
      <c r="V115" s="40"/>
      <c r="W115" s="40"/>
    </row>
    <row r="116" spans="1:23">
      <c r="A116" s="3"/>
      <c r="B116" s="3" t="s">
        <v>326</v>
      </c>
      <c r="C116" s="103" t="s">
        <v>802</v>
      </c>
      <c r="D116" s="103"/>
      <c r="E116" s="103"/>
      <c r="F116" s="103"/>
      <c r="G116" s="103"/>
      <c r="H116" s="103"/>
      <c r="I116" s="103"/>
      <c r="J116" s="107" t="s">
        <v>115</v>
      </c>
      <c r="K116" s="40"/>
      <c r="L116" s="40"/>
      <c r="M116" s="40"/>
      <c r="N116" s="40"/>
      <c r="O116" s="40"/>
      <c r="P116" s="40"/>
      <c r="Q116" s="40"/>
      <c r="R116" s="40"/>
      <c r="S116" s="40">
        <v>-46779164</v>
      </c>
      <c r="T116" s="42"/>
      <c r="U116" s="42"/>
      <c r="V116" s="40"/>
      <c r="W116" s="40"/>
    </row>
    <row r="117" spans="1:23">
      <c r="A117" s="3"/>
      <c r="B117" s="3" t="s">
        <v>325</v>
      </c>
      <c r="C117" s="103" t="s">
        <v>470</v>
      </c>
      <c r="D117" s="103"/>
      <c r="E117" s="103"/>
      <c r="F117" s="103"/>
      <c r="G117" s="103"/>
      <c r="H117" s="103"/>
      <c r="I117" s="103"/>
      <c r="J117" s="107" t="s">
        <v>115</v>
      </c>
      <c r="K117" s="40"/>
      <c r="L117" s="40"/>
      <c r="M117" s="40"/>
      <c r="N117" s="40"/>
      <c r="O117" s="40"/>
      <c r="P117" s="40"/>
      <c r="Q117" s="40"/>
      <c r="R117" s="40"/>
      <c r="S117" s="40">
        <v>-57302</v>
      </c>
      <c r="T117" s="42"/>
      <c r="U117" s="42"/>
      <c r="V117" s="40"/>
      <c r="W117" s="40"/>
    </row>
    <row r="118" spans="1:23">
      <c r="A118" s="3"/>
      <c r="B118" s="3" t="s">
        <v>743</v>
      </c>
      <c r="C118" s="103" t="s">
        <v>803</v>
      </c>
      <c r="D118" s="103"/>
      <c r="E118" s="103"/>
      <c r="F118" s="103"/>
      <c r="G118" s="103"/>
      <c r="H118" s="103"/>
      <c r="I118" s="103"/>
      <c r="J118" s="107" t="s">
        <v>115</v>
      </c>
      <c r="K118" s="40"/>
      <c r="L118" s="40"/>
      <c r="M118" s="40"/>
      <c r="N118" s="40"/>
      <c r="O118" s="40"/>
      <c r="P118" s="40"/>
      <c r="Q118" s="40"/>
      <c r="R118" s="40"/>
      <c r="S118" s="40">
        <v>-2500000</v>
      </c>
      <c r="T118" s="42"/>
      <c r="U118" s="42"/>
      <c r="V118" s="40"/>
      <c r="W118" s="40"/>
    </row>
    <row r="119" spans="1:23">
      <c r="A119" s="3"/>
      <c r="B119" s="3" t="s">
        <v>319</v>
      </c>
      <c r="C119" s="103" t="s">
        <v>804</v>
      </c>
      <c r="D119" s="103"/>
      <c r="E119" s="103"/>
      <c r="F119" s="103"/>
      <c r="G119" s="103"/>
      <c r="H119" s="103"/>
      <c r="I119" s="103"/>
      <c r="J119" s="107" t="s">
        <v>115</v>
      </c>
      <c r="K119" s="40"/>
      <c r="L119" s="40"/>
      <c r="M119" s="40"/>
      <c r="N119" s="40"/>
      <c r="O119" s="40"/>
      <c r="P119" s="40"/>
      <c r="Q119" s="40"/>
      <c r="R119" s="40"/>
      <c r="S119" s="40">
        <v>-932000</v>
      </c>
      <c r="T119" s="42"/>
      <c r="U119" s="42"/>
      <c r="V119" s="40"/>
      <c r="W119" s="40"/>
    </row>
    <row r="120" spans="1:23">
      <c r="A120" s="3"/>
      <c r="B120" s="3"/>
      <c r="C120" s="103"/>
      <c r="D120" s="103"/>
      <c r="E120" s="103"/>
      <c r="F120" s="103"/>
      <c r="G120" s="103"/>
      <c r="H120" s="103"/>
      <c r="I120" s="103"/>
      <c r="J120" s="107" t="s">
        <v>115</v>
      </c>
      <c r="K120" s="40"/>
      <c r="L120" s="40"/>
      <c r="M120" s="40"/>
      <c r="N120" s="40"/>
      <c r="O120" s="40"/>
      <c r="P120" s="40"/>
      <c r="Q120" s="40"/>
      <c r="R120" s="45"/>
      <c r="S120" s="46"/>
      <c r="T120" s="42"/>
      <c r="U120" s="42"/>
      <c r="V120" s="40"/>
      <c r="W120" s="40"/>
    </row>
    <row r="121" spans="1:23">
      <c r="A121" s="3"/>
      <c r="B121" s="3"/>
      <c r="C121" s="103"/>
      <c r="D121" s="103"/>
      <c r="E121" s="103"/>
      <c r="F121" s="103"/>
      <c r="G121" s="103"/>
      <c r="H121" s="103"/>
      <c r="I121" s="103"/>
      <c r="J121" s="107" t="s">
        <v>115</v>
      </c>
      <c r="K121" s="40"/>
      <c r="L121" s="40"/>
      <c r="M121" s="40"/>
      <c r="N121" s="40"/>
      <c r="O121" s="40"/>
      <c r="P121" s="40"/>
      <c r="Q121" s="40"/>
      <c r="R121" s="45"/>
      <c r="S121" s="46"/>
      <c r="T121" s="42"/>
      <c r="U121" s="42"/>
      <c r="V121" s="40"/>
      <c r="W121" s="40"/>
    </row>
    <row r="122" spans="1:23">
      <c r="A122" s="3"/>
      <c r="B122" s="3"/>
      <c r="C122" s="103"/>
      <c r="D122" s="103"/>
      <c r="E122" s="103"/>
      <c r="F122" s="103"/>
      <c r="G122" s="103"/>
      <c r="H122" s="103"/>
      <c r="I122" s="103"/>
      <c r="J122" s="107" t="s">
        <v>115</v>
      </c>
      <c r="K122" s="40"/>
      <c r="L122" s="40"/>
      <c r="M122" s="40"/>
      <c r="N122" s="40"/>
      <c r="O122" s="40"/>
      <c r="P122" s="40"/>
      <c r="Q122" s="40"/>
      <c r="R122" s="45"/>
      <c r="S122" s="45"/>
      <c r="T122" s="42"/>
      <c r="U122" s="42"/>
      <c r="V122" s="40"/>
      <c r="W122" s="40"/>
    </row>
    <row r="123" spans="1:23">
      <c r="A123" s="9"/>
      <c r="B123" s="9"/>
      <c r="C123" s="53" t="s">
        <v>296</v>
      </c>
      <c r="D123" s="53"/>
      <c r="E123" s="53"/>
      <c r="F123" s="53"/>
      <c r="G123" s="53"/>
      <c r="H123" s="54">
        <f>SUM(H5:H122)</f>
        <v>-66545722</v>
      </c>
      <c r="I123" s="55"/>
      <c r="J123" s="56"/>
      <c r="K123" s="57">
        <f t="shared" ref="K123:V123" si="1">SUM(K5:K122)</f>
        <v>-14223540</v>
      </c>
      <c r="L123" s="57">
        <f t="shared" si="1"/>
        <v>-90677381</v>
      </c>
      <c r="M123" s="57">
        <f t="shared" si="1"/>
        <v>-53757023</v>
      </c>
      <c r="N123" s="57">
        <f t="shared" si="1"/>
        <v>-69816950</v>
      </c>
      <c r="O123" s="57">
        <f t="shared" si="1"/>
        <v>-67382816</v>
      </c>
      <c r="P123" s="57">
        <f t="shared" si="1"/>
        <v>-75242944</v>
      </c>
      <c r="Q123" s="58">
        <f t="shared" si="1"/>
        <v>-64915933</v>
      </c>
      <c r="R123" s="58">
        <f t="shared" si="1"/>
        <v>-109953072</v>
      </c>
      <c r="S123" s="58">
        <f t="shared" si="1"/>
        <v>-81248853</v>
      </c>
      <c r="T123" s="57">
        <f t="shared" si="1"/>
        <v>0</v>
      </c>
      <c r="U123" s="57">
        <f t="shared" si="1"/>
        <v>0</v>
      </c>
      <c r="V123" s="57">
        <f t="shared" si="1"/>
        <v>0</v>
      </c>
      <c r="W123" s="57">
        <f t="shared" ref="W123" si="2">SUM(W5:W122)</f>
        <v>0</v>
      </c>
    </row>
    <row r="124" spans="1:2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10"/>
      <c r="L124" s="10"/>
      <c r="M124" s="10"/>
      <c r="N124" s="10"/>
      <c r="O124" s="10"/>
      <c r="P124" s="10"/>
      <c r="Q124" s="2"/>
      <c r="R124" s="2"/>
      <c r="S124" s="2"/>
      <c r="T124" s="10"/>
      <c r="U124" s="10"/>
    </row>
  </sheetData>
  <pageMargins left="0.11811023622047245" right="0.11811023622047245" top="0.15748031496062992" bottom="0.15748031496062992" header="0.31496062992125984" footer="0.31496062992125984"/>
  <pageSetup paperSize="286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63A5-2B90-4D75-9BF4-2ABBF73D7C66}">
  <sheetPr>
    <tabColor rgb="FFFFFF00"/>
  </sheetPr>
  <dimension ref="A1:U99"/>
  <sheetViews>
    <sheetView showGridLines="0" tabSelected="1" zoomScale="80" zoomScaleNormal="80" workbookViewId="0">
      <selection activeCell="E5" sqref="E5"/>
    </sheetView>
  </sheetViews>
  <sheetFormatPr baseColWidth="10" defaultRowHeight="15"/>
  <cols>
    <col min="1" max="1" width="18.42578125" bestFit="1" customWidth="1"/>
    <col min="2" max="2" width="26.28515625" bestFit="1" customWidth="1"/>
    <col min="3" max="3" width="18" bestFit="1" customWidth="1"/>
    <col min="4" max="4" width="16.5703125" bestFit="1" customWidth="1"/>
    <col min="5" max="5" width="12.7109375" bestFit="1" customWidth="1"/>
    <col min="6" max="6" width="15" bestFit="1" customWidth="1"/>
    <col min="7" max="7" width="7.7109375" bestFit="1" customWidth="1"/>
    <col min="8" max="8" width="17.28515625" bestFit="1" customWidth="1"/>
    <col min="9" max="9" width="15.7109375" bestFit="1" customWidth="1"/>
    <col min="10" max="10" width="18" bestFit="1" customWidth="1"/>
    <col min="11" max="11" width="16.28515625" bestFit="1" customWidth="1"/>
    <col min="12" max="12" width="15.140625" bestFit="1" customWidth="1"/>
    <col min="13" max="14" width="15" bestFit="1" customWidth="1"/>
    <col min="15" max="15" width="14.42578125" bestFit="1" customWidth="1"/>
    <col min="16" max="16" width="17.140625" bestFit="1" customWidth="1"/>
    <col min="17" max="17" width="20.85546875" bestFit="1" customWidth="1"/>
    <col min="18" max="18" width="18.140625" bestFit="1" customWidth="1"/>
    <col min="19" max="19" width="20.7109375" bestFit="1" customWidth="1"/>
    <col min="20" max="20" width="19.5703125" bestFit="1" customWidth="1"/>
    <col min="21" max="21" width="15" bestFit="1" customWidth="1"/>
    <col min="22" max="24" width="8.7109375" bestFit="1" customWidth="1"/>
    <col min="25" max="25" width="9.85546875" bestFit="1" customWidth="1"/>
    <col min="26" max="26" width="12.85546875" bestFit="1" customWidth="1"/>
    <col min="27" max="149" width="22.42578125" bestFit="1" customWidth="1"/>
    <col min="150" max="150" width="20.140625" bestFit="1" customWidth="1"/>
    <col min="151" max="151" width="22.28515625" bestFit="1" customWidth="1"/>
    <col min="152" max="152" width="20.85546875" bestFit="1" customWidth="1"/>
    <col min="153" max="155" width="19.7109375" bestFit="1" customWidth="1"/>
    <col min="156" max="156" width="19.140625" bestFit="1" customWidth="1"/>
    <col min="157" max="157" width="21.5703125" bestFit="1" customWidth="1"/>
    <col min="158" max="158" width="25.28515625" bestFit="1" customWidth="1"/>
    <col min="159" max="159" width="22.42578125" bestFit="1" customWidth="1"/>
  </cols>
  <sheetData>
    <row r="1" spans="1:21">
      <c r="A1" s="61" t="s">
        <v>297</v>
      </c>
    </row>
    <row r="2" spans="1:21">
      <c r="I2" s="63" t="s">
        <v>306</v>
      </c>
      <c r="J2" s="63" t="s">
        <v>307</v>
      </c>
      <c r="K2" s="63" t="s">
        <v>308</v>
      </c>
      <c r="L2" s="63" t="s">
        <v>594</v>
      </c>
      <c r="M2" s="63" t="s">
        <v>667</v>
      </c>
      <c r="N2" s="63" t="s">
        <v>668</v>
      </c>
      <c r="O2" s="63" t="s">
        <v>708</v>
      </c>
      <c r="P2" s="63" t="s">
        <v>709</v>
      </c>
    </row>
    <row r="3" spans="1:21" ht="30">
      <c r="A3" s="62" t="s">
        <v>298</v>
      </c>
      <c r="B3" s="62" t="s">
        <v>299</v>
      </c>
      <c r="C3" s="63" t="s">
        <v>303</v>
      </c>
      <c r="E3" s="62" t="s">
        <v>298</v>
      </c>
      <c r="F3" s="62" t="s">
        <v>309</v>
      </c>
      <c r="H3" s="63" t="s">
        <v>304</v>
      </c>
      <c r="I3" s="35">
        <f>COUNTIFS('Base Inversionistas'!R4:R267, "=0", 'Base Inversionistas'!S4:S267, "&gt;0")</f>
        <v>34</v>
      </c>
      <c r="J3" s="35">
        <f>COUNTIFS('Base Inversionistas'!S5:S296, "=0", 'Base Inversionistas'!T5:T296, "&gt;0")</f>
        <v>81</v>
      </c>
      <c r="K3" s="35">
        <f>COUNTIFS('Base Inversionistas'!T5:T296, "=0", 'Base Inversionistas'!U5:U296, "&gt;0")</f>
        <v>39</v>
      </c>
      <c r="L3" s="35" t="e">
        <f>COUNTIFS('Base Inversionistas'!U5:U296, "= 0", 'Base Inversionistas 26'!J5:J400, "&gt;0")</f>
        <v>#VALUE!</v>
      </c>
      <c r="M3" s="35">
        <f>COUNTIFS('Base Inversionistas 26'!J5:J400, "=0", 'Base Inversionistas 26'!K5:K400, "&gt;0")</f>
        <v>45</v>
      </c>
      <c r="N3" s="35">
        <f>COUNTIFS('Base Inversionistas 26'!K5:K400, "=0", 'Base Inversionistas 26'!L5:L400, "&gt;0")</f>
        <v>31</v>
      </c>
      <c r="O3" s="35">
        <f>COUNTIFS('Base Inversionistas 26'!L5:L400, "=0", 'Base Inversionistas 26'!M5:M400, "&gt;0")</f>
        <v>53</v>
      </c>
      <c r="P3" s="35">
        <f>COUNTIFS('Base Inversionistas 26'!M5:M400, "=0", 'Base Inversionistas 26'!N5:N400, "&gt;0")</f>
        <v>41</v>
      </c>
      <c r="Q3" s="35">
        <f>COUNTIFS('Base Inversionistas 26'!N5:N400, "=0", 'Base Inversionistas 26'!O5:O400, "&gt;0")</f>
        <v>55</v>
      </c>
      <c r="R3" s="35">
        <f>COUNTIFS('Base Inversionistas 26'!O5:O400, "=0", 'Base Inversionistas 26'!P5:P400, "&gt;0")</f>
        <v>41</v>
      </c>
      <c r="S3" s="35"/>
    </row>
    <row r="4" spans="1:21">
      <c r="A4" s="67">
        <v>2025</v>
      </c>
      <c r="B4" s="36">
        <f>'Resumen 2025'!B17</f>
        <v>740341909</v>
      </c>
      <c r="C4" s="63"/>
      <c r="E4" s="67">
        <v>2025</v>
      </c>
      <c r="F4" s="64">
        <f>'Resumen 2025'!F17</f>
        <v>-531593755</v>
      </c>
      <c r="H4" s="63" t="s">
        <v>305</v>
      </c>
      <c r="I4" s="35">
        <f>COUNTIFS('Base Inversionistas'!R4:R267, "&gt;0", 'Base Inversionistas'!S4:S267, "=0")</f>
        <v>24</v>
      </c>
      <c r="J4" s="35">
        <f>COUNTIFS('Base Inversionistas'!S4:S296, "&gt;0", 'Base Inversionistas'!T4:T296, "=0")</f>
        <v>31</v>
      </c>
      <c r="K4" s="35">
        <f>COUNTIFS('Base Inversionistas'!T4:T296, "&gt;0", 'Base Inversionistas'!U4:U296, "=0")</f>
        <v>29</v>
      </c>
      <c r="L4" s="35">
        <f>COUNTIFS('Base Inversionistas'!U4:U296, "&gt;0", 'Base Inversionistas'!V4:V296, "=0")</f>
        <v>90</v>
      </c>
      <c r="M4" s="35">
        <f>COUNTIFS('Base Inversionistas 26'!J5:J400, "&gt; 0", 'Base Inversionistas 26'!K5:K400, "=0")</f>
        <v>33</v>
      </c>
      <c r="N4" s="35">
        <f>COUNTIFS('Base Inversionistas 26'!K5:K400, "&gt; 0", 'Base Inversionistas 26'!L5:L400, "=0")</f>
        <v>35</v>
      </c>
      <c r="O4" s="35">
        <f>COUNTIFS('Base Inversionistas 26'!L5:L400, "&gt; 0", 'Base Inversionistas 26'!M5:M400, "=0")</f>
        <v>38</v>
      </c>
      <c r="P4" s="35">
        <f>COUNTIFS('Base Inversionistas 26'!M5:M400, "&gt; 0", 'Base Inversionistas 26'!N5:N400, "=0")</f>
        <v>68</v>
      </c>
      <c r="Q4" s="35">
        <f>COUNTIFS('Base Inversionistas 26'!N5:N400, "&gt; 0", 'Base Inversionistas 26'!O5:O400, "=0")</f>
        <v>35</v>
      </c>
      <c r="R4" s="35">
        <f>COUNTIFS('Base Inversionistas 26'!O5:O400, "&gt; 0", 'Base Inversionistas 26'!P5:P400, "=0")</f>
        <v>46</v>
      </c>
    </row>
    <row r="5" spans="1:21">
      <c r="A5" s="35" t="s">
        <v>118</v>
      </c>
      <c r="B5" s="36">
        <f>'Base Inversionistas 26'!J401</f>
        <v>97408000</v>
      </c>
      <c r="C5" s="71">
        <f>COUNTIF('Base Inversionistas 26'!J5:J400,"&gt;0")</f>
        <v>107</v>
      </c>
      <c r="E5" s="35" t="s">
        <v>118</v>
      </c>
      <c r="F5" s="64">
        <f>'Gastos 26'!K123</f>
        <v>-14223540</v>
      </c>
    </row>
    <row r="6" spans="1:21">
      <c r="A6" s="35" t="s">
        <v>119</v>
      </c>
      <c r="B6" s="36">
        <f>'Base Inversionistas 26'!K401</f>
        <v>121440243</v>
      </c>
      <c r="C6" s="71">
        <f>COUNTIF('Base Inversionistas 26'!J5:K400,"&gt;0")</f>
        <v>226</v>
      </c>
      <c r="E6" s="35" t="s">
        <v>119</v>
      </c>
      <c r="F6" s="64">
        <f>'Gastos 26'!L123</f>
        <v>-90677381</v>
      </c>
    </row>
    <row r="7" spans="1:21" ht="30">
      <c r="A7" s="35" t="s">
        <v>120</v>
      </c>
      <c r="B7" s="36">
        <f>'Base Inversionistas 26'!L401</f>
        <v>102625000</v>
      </c>
      <c r="C7" s="71">
        <f>COUNTIF('Base Inversionistas 26'!L5:L400,"&gt;0")</f>
        <v>115</v>
      </c>
      <c r="E7" s="35" t="s">
        <v>120</v>
      </c>
      <c r="F7" s="64">
        <f>'Gastos 26'!M123</f>
        <v>-53757023</v>
      </c>
      <c r="H7" s="77" t="s">
        <v>342</v>
      </c>
      <c r="I7" s="78" t="s">
        <v>331</v>
      </c>
      <c r="J7" s="78" t="s">
        <v>332</v>
      </c>
      <c r="K7" s="78" t="s">
        <v>333</v>
      </c>
      <c r="L7" s="78" t="s">
        <v>334</v>
      </c>
      <c r="M7" s="78" t="s">
        <v>335</v>
      </c>
      <c r="N7" s="78" t="s">
        <v>336</v>
      </c>
      <c r="O7" s="78" t="s">
        <v>337</v>
      </c>
      <c r="P7" s="78" t="s">
        <v>338</v>
      </c>
      <c r="Q7" s="78" t="s">
        <v>339</v>
      </c>
      <c r="R7" s="78" t="s">
        <v>340</v>
      </c>
      <c r="S7" s="78" t="s">
        <v>471</v>
      </c>
      <c r="T7" s="78" t="s">
        <v>560</v>
      </c>
      <c r="U7" s="73" t="s">
        <v>341</v>
      </c>
    </row>
    <row r="8" spans="1:21">
      <c r="A8" s="35" t="s">
        <v>300</v>
      </c>
      <c r="B8" s="36">
        <f>'Base Inversionistas 26'!M401</f>
        <v>112685982</v>
      </c>
      <c r="C8" s="71">
        <f>COUNTIF('Base Inversionistas 26'!M5:M400,"&gt;0")</f>
        <v>130</v>
      </c>
      <c r="E8" s="35" t="s">
        <v>300</v>
      </c>
      <c r="F8" s="64">
        <f>'Gastos 26'!N123</f>
        <v>-69816950</v>
      </c>
      <c r="H8" s="76" t="s">
        <v>319</v>
      </c>
      <c r="I8" s="72"/>
      <c r="J8" s="72"/>
      <c r="K8" s="72"/>
      <c r="L8" s="72"/>
      <c r="M8" s="72"/>
      <c r="N8" s="72"/>
      <c r="O8" s="72">
        <v>-15487675</v>
      </c>
      <c r="P8" s="72">
        <v>-5718695</v>
      </c>
      <c r="Q8" s="72"/>
      <c r="R8" s="72"/>
      <c r="S8" s="72"/>
      <c r="T8" s="72"/>
      <c r="U8" s="74">
        <f>SUM(I8:S8)</f>
        <v>-21206370</v>
      </c>
    </row>
    <row r="9" spans="1:21">
      <c r="A9" s="35" t="s">
        <v>185</v>
      </c>
      <c r="B9" s="36">
        <f>'Base Inversionistas 26'!N401</f>
        <v>110994000</v>
      </c>
      <c r="C9" s="71">
        <f>COUNTIF('Base Inversionistas 26'!N6:N401,"&gt;0")</f>
        <v>104</v>
      </c>
      <c r="E9" s="35" t="s">
        <v>185</v>
      </c>
      <c r="F9" s="64">
        <f>'Gastos 26'!O123</f>
        <v>-67382816</v>
      </c>
      <c r="H9" s="76" t="s">
        <v>324</v>
      </c>
      <c r="I9" s="72"/>
      <c r="J9" s="72"/>
      <c r="K9" s="72"/>
      <c r="L9" s="72"/>
      <c r="M9" s="72"/>
      <c r="N9" s="72"/>
      <c r="O9" s="72"/>
      <c r="P9" s="72">
        <v>-5000000</v>
      </c>
      <c r="Q9" s="72"/>
      <c r="R9" s="72"/>
      <c r="S9" s="72"/>
      <c r="T9" s="72"/>
      <c r="U9" s="74">
        <f t="shared" ref="U9:U21" si="0">SUM(I9:S9)</f>
        <v>-5000000</v>
      </c>
    </row>
    <row r="10" spans="1:21">
      <c r="A10" s="35" t="s">
        <v>196</v>
      </c>
      <c r="B10" s="36">
        <f>'Base Inversionistas 26'!O401</f>
        <v>120764000</v>
      </c>
      <c r="C10" s="71">
        <f>COUNTIF('Base Inversionistas 26'!O6:O400,"&gt;0")</f>
        <v>123</v>
      </c>
      <c r="E10" s="35" t="s">
        <v>196</v>
      </c>
      <c r="F10" s="64">
        <f>'Gastos 26'!P123</f>
        <v>-75242944</v>
      </c>
      <c r="H10" s="76" t="s">
        <v>327</v>
      </c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4">
        <f t="shared" si="0"/>
        <v>0</v>
      </c>
    </row>
    <row r="11" spans="1:21">
      <c r="A11" s="35" t="s">
        <v>222</v>
      </c>
      <c r="B11" s="36">
        <f>'Base Inversionistas 26'!P401</f>
        <v>130541664</v>
      </c>
      <c r="C11" s="71">
        <f>COUNTIF('Base Inversionistas 26'!P7:P400,"&gt;0")</f>
        <v>118</v>
      </c>
      <c r="E11" s="35" t="s">
        <v>222</v>
      </c>
      <c r="F11" s="64">
        <f>'Gastos 26'!Q123</f>
        <v>-64915933</v>
      </c>
      <c r="H11" s="76" t="s">
        <v>321</v>
      </c>
      <c r="I11" s="72">
        <v>0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4">
        <f t="shared" si="0"/>
        <v>0</v>
      </c>
    </row>
    <row r="12" spans="1:21">
      <c r="A12" s="35" t="s">
        <v>244</v>
      </c>
      <c r="B12" s="36">
        <f>'Base Inversionistas 26'!Q401</f>
        <v>127888500</v>
      </c>
      <c r="C12" s="71"/>
      <c r="E12" s="35" t="s">
        <v>244</v>
      </c>
      <c r="F12" s="64">
        <f>'Gastos 26'!R123</f>
        <v>-109953072</v>
      </c>
      <c r="H12" s="76" t="s">
        <v>317</v>
      </c>
      <c r="I12" s="72">
        <v>-6498740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4">
        <f t="shared" si="0"/>
        <v>-6498740</v>
      </c>
    </row>
    <row r="13" spans="1:21">
      <c r="A13" s="35" t="s">
        <v>266</v>
      </c>
      <c r="B13" s="36">
        <f>'Base Inversionistas 26'!R401</f>
        <v>60271000</v>
      </c>
      <c r="C13" s="71"/>
      <c r="E13" s="35" t="s">
        <v>266</v>
      </c>
      <c r="F13" s="64">
        <f>'Gastos 26'!S123</f>
        <v>-81248853</v>
      </c>
      <c r="H13" s="76" t="s">
        <v>320</v>
      </c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4">
        <f t="shared" si="0"/>
        <v>0</v>
      </c>
    </row>
    <row r="14" spans="1:21">
      <c r="A14" s="35" t="s">
        <v>277</v>
      </c>
      <c r="B14" s="36"/>
      <c r="C14" s="71"/>
      <c r="E14" s="35" t="s">
        <v>277</v>
      </c>
      <c r="F14" s="64"/>
      <c r="H14" s="76" t="s">
        <v>325</v>
      </c>
      <c r="I14" s="72">
        <v>-100800</v>
      </c>
      <c r="J14" s="72">
        <v>0</v>
      </c>
      <c r="K14" s="72">
        <v>-55800</v>
      </c>
      <c r="L14" s="72">
        <v>-46300</v>
      </c>
      <c r="M14" s="72">
        <v>-55300</v>
      </c>
      <c r="N14" s="72">
        <v>-46300</v>
      </c>
      <c r="O14" s="72">
        <v>-55300</v>
      </c>
      <c r="P14" s="72">
        <v>-46300</v>
      </c>
      <c r="Q14" s="72"/>
      <c r="R14" s="72"/>
      <c r="S14" s="72"/>
      <c r="T14" s="72"/>
      <c r="U14" s="74">
        <f t="shared" si="0"/>
        <v>-406100</v>
      </c>
    </row>
    <row r="15" spans="1:21">
      <c r="A15" s="35" t="s">
        <v>301</v>
      </c>
      <c r="B15" s="36"/>
      <c r="C15" s="71"/>
      <c r="E15" s="35" t="s">
        <v>301</v>
      </c>
      <c r="F15" s="64"/>
      <c r="H15" s="76" t="s">
        <v>322</v>
      </c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4">
        <f t="shared" si="0"/>
        <v>0</v>
      </c>
    </row>
    <row r="16" spans="1:21">
      <c r="A16" s="35" t="s">
        <v>302</v>
      </c>
      <c r="B16" s="36"/>
      <c r="C16" s="71"/>
      <c r="E16" s="35" t="s">
        <v>302</v>
      </c>
      <c r="F16" s="64"/>
      <c r="H16" s="76" t="s">
        <v>329</v>
      </c>
      <c r="I16" s="72"/>
      <c r="J16" s="72">
        <v>0</v>
      </c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4">
        <f t="shared" si="0"/>
        <v>0</v>
      </c>
    </row>
    <row r="17" spans="1:21">
      <c r="A17" s="65" t="s">
        <v>310</v>
      </c>
      <c r="B17" s="66">
        <f>SUM(B4:B16)</f>
        <v>1724960298</v>
      </c>
      <c r="C17" s="68"/>
      <c r="E17" s="65" t="s">
        <v>310</v>
      </c>
      <c r="F17" s="66">
        <f>SUM(F4:F16)</f>
        <v>-1158812267</v>
      </c>
      <c r="H17" s="76" t="s">
        <v>316</v>
      </c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4">
        <f t="shared" si="0"/>
        <v>0</v>
      </c>
    </row>
    <row r="18" spans="1:21" ht="15.6" customHeight="1">
      <c r="A18" s="69" t="s">
        <v>311</v>
      </c>
      <c r="B18" s="70">
        <f>B17+F17</f>
        <v>566148031</v>
      </c>
      <c r="H18" s="76" t="s">
        <v>318</v>
      </c>
      <c r="I18" s="72"/>
      <c r="J18" s="72"/>
      <c r="K18" s="72">
        <v>-40000000</v>
      </c>
      <c r="L18" s="72"/>
      <c r="M18" s="72"/>
      <c r="N18" s="72"/>
      <c r="O18" s="72"/>
      <c r="P18" s="72"/>
      <c r="Q18" s="72"/>
      <c r="R18" s="72"/>
      <c r="S18" s="72"/>
      <c r="T18" s="72"/>
      <c r="U18" s="74">
        <f t="shared" si="0"/>
        <v>-40000000</v>
      </c>
    </row>
    <row r="19" spans="1:21">
      <c r="H19" s="76" t="s">
        <v>323</v>
      </c>
      <c r="I19" s="72">
        <v>-7624000</v>
      </c>
      <c r="J19" s="72">
        <v>-6176000</v>
      </c>
      <c r="K19" s="72">
        <v>-6858000</v>
      </c>
      <c r="L19" s="72">
        <v>-2000000</v>
      </c>
      <c r="M19" s="72"/>
      <c r="N19" s="72">
        <v>-28094702</v>
      </c>
      <c r="O19" s="72">
        <v>-1000000</v>
      </c>
      <c r="P19" s="72">
        <v>-9661190</v>
      </c>
      <c r="Q19" s="72"/>
      <c r="R19" s="72"/>
      <c r="S19" s="72"/>
      <c r="T19" s="72"/>
      <c r="U19" s="74">
        <f t="shared" si="0"/>
        <v>-61413892</v>
      </c>
    </row>
    <row r="20" spans="1:21">
      <c r="B20" s="72"/>
      <c r="H20" s="76" t="s">
        <v>326</v>
      </c>
      <c r="I20" s="72"/>
      <c r="J20" s="72">
        <v>-60897000</v>
      </c>
      <c r="K20" s="72"/>
      <c r="L20" s="72">
        <v>-33600000</v>
      </c>
      <c r="M20" s="72">
        <v>-67327516</v>
      </c>
      <c r="N20" s="72">
        <v>-37882873</v>
      </c>
      <c r="O20" s="72">
        <v>-41493250</v>
      </c>
      <c r="P20" s="72">
        <v>-39128787</v>
      </c>
      <c r="Q20" s="72"/>
      <c r="R20" s="72"/>
      <c r="S20" s="72"/>
      <c r="T20" s="72"/>
      <c r="U20" s="74">
        <f t="shared" si="0"/>
        <v>-280329426</v>
      </c>
    </row>
    <row r="21" spans="1:21">
      <c r="H21" s="76" t="s">
        <v>328</v>
      </c>
      <c r="I21" s="72"/>
      <c r="J21" s="72">
        <v>-23604381</v>
      </c>
      <c r="K21" s="72">
        <v>-6843223</v>
      </c>
      <c r="L21" s="72">
        <v>-28635650</v>
      </c>
      <c r="M21" s="72"/>
      <c r="N21" s="72">
        <v>-9219069</v>
      </c>
      <c r="O21" s="72">
        <v>-1879708</v>
      </c>
      <c r="P21" s="72">
        <v>-1861000</v>
      </c>
      <c r="Q21" s="72"/>
      <c r="R21" s="72"/>
      <c r="S21" s="72"/>
      <c r="T21" s="72"/>
      <c r="U21" s="74">
        <f t="shared" si="0"/>
        <v>-72043031</v>
      </c>
    </row>
    <row r="22" spans="1:21">
      <c r="H22" s="76" t="s">
        <v>348</v>
      </c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5">
        <f>SUM(I22:T22)</f>
        <v>0</v>
      </c>
    </row>
    <row r="23" spans="1:21">
      <c r="H23" s="1" t="s">
        <v>330</v>
      </c>
      <c r="I23" s="72">
        <v>-14223540</v>
      </c>
      <c r="J23" s="72">
        <v>-90677381</v>
      </c>
      <c r="K23" s="72">
        <v>-53757023</v>
      </c>
      <c r="L23" s="72">
        <v>-64281950</v>
      </c>
      <c r="M23" s="72">
        <v>-67382816</v>
      </c>
      <c r="N23" s="72">
        <v>-75242944</v>
      </c>
      <c r="O23" s="72">
        <v>-59915933</v>
      </c>
      <c r="P23" s="72">
        <v>-61415972</v>
      </c>
      <c r="Q23" s="72"/>
      <c r="R23" s="72"/>
      <c r="S23" s="72"/>
      <c r="T23" s="72"/>
    </row>
    <row r="25" spans="1:21">
      <c r="A25">
        <v>400000</v>
      </c>
    </row>
    <row r="26" spans="1:21">
      <c r="A26" s="93" t="s">
        <v>548</v>
      </c>
      <c r="B26" t="s">
        <v>550</v>
      </c>
      <c r="C26" t="s">
        <v>334</v>
      </c>
      <c r="D26" t="s">
        <v>335</v>
      </c>
    </row>
    <row r="27" spans="1:21">
      <c r="A27" s="1" t="s">
        <v>571</v>
      </c>
      <c r="B27" s="97">
        <v>1</v>
      </c>
      <c r="C27" s="96">
        <v>50000</v>
      </c>
      <c r="D27" s="96">
        <v>50000</v>
      </c>
    </row>
    <row r="28" spans="1:21">
      <c r="A28" s="1" t="s">
        <v>237</v>
      </c>
      <c r="B28" s="97">
        <v>0</v>
      </c>
      <c r="C28" s="72">
        <v>0</v>
      </c>
      <c r="D28" s="72">
        <v>0</v>
      </c>
    </row>
    <row r="29" spans="1:21">
      <c r="A29" s="1" t="s">
        <v>159</v>
      </c>
      <c r="B29" s="97">
        <v>23</v>
      </c>
      <c r="C29" s="72">
        <v>0</v>
      </c>
      <c r="D29" s="72">
        <v>2540000</v>
      </c>
    </row>
    <row r="30" spans="1:21">
      <c r="A30" s="1" t="s">
        <v>183</v>
      </c>
      <c r="B30" s="97">
        <v>4</v>
      </c>
      <c r="C30" s="72">
        <v>0</v>
      </c>
      <c r="D30" s="72">
        <v>400000</v>
      </c>
    </row>
    <row r="31" spans="1:21">
      <c r="A31" s="1" t="s">
        <v>257</v>
      </c>
      <c r="B31" s="97">
        <v>186</v>
      </c>
      <c r="C31" s="72">
        <v>16720000</v>
      </c>
      <c r="D31" s="72">
        <v>9760000</v>
      </c>
    </row>
    <row r="32" spans="1:21">
      <c r="A32" s="1" t="s">
        <v>160</v>
      </c>
      <c r="B32" s="97">
        <v>6</v>
      </c>
      <c r="C32" s="72">
        <v>800000</v>
      </c>
      <c r="D32" s="72">
        <v>400000</v>
      </c>
    </row>
    <row r="33" spans="1:8">
      <c r="A33" s="1" t="s">
        <v>547</v>
      </c>
      <c r="B33" s="97">
        <v>91</v>
      </c>
      <c r="C33" s="72">
        <v>6000000</v>
      </c>
      <c r="D33" s="72">
        <v>400000</v>
      </c>
      <c r="H33" s="72"/>
    </row>
    <row r="34" spans="1:8">
      <c r="A34" s="1" t="s">
        <v>358</v>
      </c>
      <c r="B34" s="97">
        <v>8</v>
      </c>
      <c r="C34" s="96">
        <v>400000</v>
      </c>
      <c r="D34" s="96">
        <v>0</v>
      </c>
    </row>
    <row r="35" spans="1:8">
      <c r="A35" s="1" t="s">
        <v>539</v>
      </c>
      <c r="B35" s="97">
        <v>8</v>
      </c>
      <c r="C35" s="72">
        <v>0</v>
      </c>
      <c r="D35" s="72">
        <v>400000</v>
      </c>
      <c r="H35" s="72"/>
    </row>
    <row r="36" spans="1:8">
      <c r="A36" s="1" t="s">
        <v>162</v>
      </c>
      <c r="B36" s="97">
        <v>18</v>
      </c>
      <c r="C36" s="96">
        <v>2400000</v>
      </c>
      <c r="D36" s="96">
        <v>500000</v>
      </c>
    </row>
    <row r="37" spans="1:8">
      <c r="A37" s="1" t="s">
        <v>512</v>
      </c>
      <c r="B37" s="97">
        <v>0</v>
      </c>
      <c r="C37" s="72">
        <v>0</v>
      </c>
      <c r="D37" s="72">
        <v>0</v>
      </c>
    </row>
    <row r="38" spans="1:8">
      <c r="A38" s="1" t="s">
        <v>529</v>
      </c>
      <c r="B38" s="97">
        <v>1</v>
      </c>
      <c r="C38" s="72">
        <v>400000</v>
      </c>
      <c r="D38" s="72">
        <v>0</v>
      </c>
    </row>
    <row r="39" spans="1:8">
      <c r="A39" s="1" t="s">
        <v>445</v>
      </c>
      <c r="B39" s="97">
        <v>25</v>
      </c>
      <c r="C39" s="72">
        <v>2000000</v>
      </c>
      <c r="D39" s="72">
        <v>2000000</v>
      </c>
    </row>
    <row r="40" spans="1:8">
      <c r="A40" s="1" t="s">
        <v>180</v>
      </c>
      <c r="B40" s="97">
        <v>74</v>
      </c>
      <c r="C40" s="96">
        <v>7200000</v>
      </c>
      <c r="D40" s="96">
        <v>8400000</v>
      </c>
    </row>
    <row r="41" spans="1:8">
      <c r="A41" s="1" t="s">
        <v>496</v>
      </c>
      <c r="B41" s="97">
        <v>0</v>
      </c>
      <c r="C41" s="72">
        <v>0</v>
      </c>
      <c r="D41" s="72">
        <v>0</v>
      </c>
    </row>
    <row r="42" spans="1:8">
      <c r="A42" s="1" t="s">
        <v>346</v>
      </c>
      <c r="B42" s="97">
        <v>48</v>
      </c>
      <c r="C42" s="72">
        <v>5200000</v>
      </c>
      <c r="D42" s="72">
        <v>1200000</v>
      </c>
    </row>
    <row r="43" spans="1:8">
      <c r="A43" s="1" t="s">
        <v>343</v>
      </c>
      <c r="B43" s="97">
        <v>6</v>
      </c>
      <c r="C43" s="96">
        <v>670000</v>
      </c>
      <c r="D43" s="96">
        <v>0</v>
      </c>
    </row>
    <row r="44" spans="1:8">
      <c r="A44" s="1" t="s">
        <v>345</v>
      </c>
      <c r="B44" s="97">
        <v>9</v>
      </c>
      <c r="C44" s="72">
        <v>600000</v>
      </c>
      <c r="D44" s="72">
        <v>400000</v>
      </c>
    </row>
    <row r="45" spans="1:8">
      <c r="A45" s="1" t="s">
        <v>493</v>
      </c>
      <c r="B45" s="97">
        <v>0</v>
      </c>
      <c r="C45" s="72">
        <v>0</v>
      </c>
      <c r="D45" s="72">
        <v>0</v>
      </c>
    </row>
    <row r="46" spans="1:8">
      <c r="A46" s="1" t="s">
        <v>564</v>
      </c>
      <c r="B46" s="97">
        <v>11</v>
      </c>
      <c r="C46" s="72">
        <v>800000</v>
      </c>
      <c r="D46" s="72">
        <v>1200000</v>
      </c>
    </row>
    <row r="47" spans="1:8">
      <c r="A47" s="1" t="s">
        <v>562</v>
      </c>
      <c r="B47" s="97">
        <v>32</v>
      </c>
      <c r="C47" s="72">
        <v>3350000</v>
      </c>
      <c r="D47" s="72">
        <v>800000</v>
      </c>
    </row>
    <row r="48" spans="1:8">
      <c r="A48" s="1" t="s">
        <v>447</v>
      </c>
      <c r="B48" s="97">
        <v>5</v>
      </c>
      <c r="C48" s="72">
        <v>400000</v>
      </c>
      <c r="D48" s="72">
        <v>400000</v>
      </c>
    </row>
    <row r="49" spans="1:4">
      <c r="A49" s="1" t="s">
        <v>164</v>
      </c>
      <c r="B49" s="97">
        <v>7</v>
      </c>
      <c r="C49" s="96">
        <v>2470000</v>
      </c>
      <c r="D49" s="96">
        <v>0</v>
      </c>
    </row>
    <row r="50" spans="1:4">
      <c r="A50" s="1" t="s">
        <v>614</v>
      </c>
      <c r="B50" s="97">
        <v>13</v>
      </c>
      <c r="C50" s="72">
        <v>1200000</v>
      </c>
      <c r="D50" s="72">
        <v>0</v>
      </c>
    </row>
    <row r="51" spans="1:4">
      <c r="A51" s="1" t="s">
        <v>165</v>
      </c>
      <c r="B51" s="97">
        <v>3</v>
      </c>
      <c r="C51" s="96">
        <v>0</v>
      </c>
      <c r="D51" s="96">
        <v>400000</v>
      </c>
    </row>
    <row r="52" spans="1:4">
      <c r="A52" s="1" t="s">
        <v>239</v>
      </c>
      <c r="B52" s="97">
        <v>61</v>
      </c>
      <c r="C52" s="72">
        <v>7200000</v>
      </c>
      <c r="D52" s="72">
        <v>4000000</v>
      </c>
    </row>
    <row r="53" spans="1:4">
      <c r="A53" s="1" t="s">
        <v>166</v>
      </c>
      <c r="B53" s="97">
        <v>9</v>
      </c>
      <c r="C53" s="72">
        <v>400000</v>
      </c>
      <c r="D53" s="72">
        <v>850000</v>
      </c>
    </row>
    <row r="54" spans="1:4">
      <c r="A54" s="1" t="s">
        <v>253</v>
      </c>
      <c r="B54" s="97">
        <v>36</v>
      </c>
      <c r="C54" s="72">
        <v>3620982</v>
      </c>
      <c r="D54" s="72">
        <v>1200000</v>
      </c>
    </row>
    <row r="55" spans="1:4">
      <c r="A55" s="1" t="s">
        <v>167</v>
      </c>
      <c r="B55" s="97">
        <v>18</v>
      </c>
      <c r="C55" s="72">
        <v>0</v>
      </c>
      <c r="D55" s="72">
        <v>0</v>
      </c>
    </row>
    <row r="56" spans="1:4">
      <c r="A56" s="1" t="s">
        <v>508</v>
      </c>
      <c r="B56" s="97">
        <v>0</v>
      </c>
      <c r="C56" s="72">
        <v>0</v>
      </c>
      <c r="D56" s="72">
        <v>0</v>
      </c>
    </row>
    <row r="57" spans="1:4">
      <c r="A57" s="1" t="s">
        <v>175</v>
      </c>
      <c r="B57" s="97">
        <v>40</v>
      </c>
      <c r="C57" s="72">
        <v>1400000</v>
      </c>
      <c r="D57" s="72">
        <v>4400000</v>
      </c>
    </row>
    <row r="58" spans="1:4">
      <c r="A58" s="1" t="s">
        <v>501</v>
      </c>
      <c r="B58" s="97">
        <v>0</v>
      </c>
      <c r="C58" s="72">
        <v>0</v>
      </c>
      <c r="D58" s="72">
        <v>0</v>
      </c>
    </row>
    <row r="59" spans="1:4">
      <c r="A59" s="1" t="s">
        <v>344</v>
      </c>
      <c r="B59" s="97">
        <v>31</v>
      </c>
      <c r="C59" s="72">
        <v>4000000</v>
      </c>
      <c r="D59" s="72">
        <v>800000</v>
      </c>
    </row>
    <row r="60" spans="1:4">
      <c r="A60" s="1" t="s">
        <v>441</v>
      </c>
      <c r="B60" s="97">
        <v>34</v>
      </c>
      <c r="C60" s="72">
        <v>2420000</v>
      </c>
      <c r="D60" s="72">
        <v>1840000</v>
      </c>
    </row>
    <row r="61" spans="1:4">
      <c r="A61" s="1" t="s">
        <v>176</v>
      </c>
      <c r="B61" s="97">
        <v>18</v>
      </c>
      <c r="C61" s="72">
        <v>2000000</v>
      </c>
      <c r="D61" s="72">
        <v>1200000</v>
      </c>
    </row>
    <row r="62" spans="1:4">
      <c r="A62" s="1" t="s">
        <v>514</v>
      </c>
      <c r="B62" s="97">
        <v>0</v>
      </c>
      <c r="C62" s="72">
        <v>0</v>
      </c>
      <c r="D62" s="72">
        <v>0</v>
      </c>
    </row>
    <row r="63" spans="1:4">
      <c r="A63" s="1" t="s">
        <v>347</v>
      </c>
      <c r="B63" s="97">
        <v>57</v>
      </c>
      <c r="C63" s="72">
        <v>7600000</v>
      </c>
      <c r="D63" s="72">
        <v>1600000</v>
      </c>
    </row>
    <row r="64" spans="1:4">
      <c r="A64" s="1" t="s">
        <v>182</v>
      </c>
      <c r="B64" s="97">
        <v>0</v>
      </c>
      <c r="C64" s="72">
        <v>0</v>
      </c>
      <c r="D64" s="72">
        <v>0</v>
      </c>
    </row>
    <row r="65" spans="1:4">
      <c r="A65" s="1" t="s">
        <v>352</v>
      </c>
      <c r="B65" s="97">
        <v>7</v>
      </c>
      <c r="C65" s="97">
        <v>600000</v>
      </c>
      <c r="D65" s="97">
        <v>400000</v>
      </c>
    </row>
    <row r="66" spans="1:4">
      <c r="A66" s="1" t="s">
        <v>169</v>
      </c>
      <c r="B66" s="97">
        <v>2</v>
      </c>
      <c r="C66" s="72">
        <v>100000</v>
      </c>
      <c r="D66" s="72">
        <v>400000</v>
      </c>
    </row>
    <row r="67" spans="1:4">
      <c r="A67" s="1" t="s">
        <v>517</v>
      </c>
      <c r="B67" s="97">
        <v>0</v>
      </c>
      <c r="C67" s="94">
        <v>0</v>
      </c>
      <c r="D67" s="94">
        <v>0</v>
      </c>
    </row>
    <row r="68" spans="1:4">
      <c r="A68" s="1" t="s">
        <v>230</v>
      </c>
      <c r="B68" s="97">
        <v>24</v>
      </c>
      <c r="C68" s="72">
        <v>800000</v>
      </c>
      <c r="D68" s="72">
        <v>800000</v>
      </c>
    </row>
    <row r="69" spans="1:4">
      <c r="A69" s="1" t="s">
        <v>472</v>
      </c>
      <c r="B69" s="97">
        <v>4</v>
      </c>
      <c r="C69" s="72">
        <v>0</v>
      </c>
      <c r="D69" s="72">
        <v>300000</v>
      </c>
    </row>
    <row r="70" spans="1:4">
      <c r="A70" s="1" t="s">
        <v>533</v>
      </c>
      <c r="B70" s="97">
        <v>6</v>
      </c>
      <c r="C70" s="72">
        <v>400000</v>
      </c>
      <c r="D70" s="72">
        <v>540000</v>
      </c>
    </row>
    <row r="71" spans="1:4">
      <c r="A71" s="1" t="s">
        <v>177</v>
      </c>
      <c r="B71" s="97">
        <v>7</v>
      </c>
      <c r="C71" s="72">
        <v>2800000</v>
      </c>
      <c r="D71" s="72">
        <v>0</v>
      </c>
    </row>
    <row r="72" spans="1:4">
      <c r="A72" s="1" t="s">
        <v>171</v>
      </c>
      <c r="B72" s="97">
        <v>21</v>
      </c>
      <c r="C72" s="72">
        <v>0</v>
      </c>
      <c r="D72" s="72">
        <v>1910000</v>
      </c>
    </row>
    <row r="73" spans="1:4">
      <c r="A73" s="1" t="s">
        <v>172</v>
      </c>
      <c r="B73" s="97">
        <v>6</v>
      </c>
      <c r="C73" s="72">
        <v>400000</v>
      </c>
      <c r="D73" s="72">
        <v>400000</v>
      </c>
    </row>
    <row r="74" spans="1:4">
      <c r="A74" s="1" t="s">
        <v>490</v>
      </c>
      <c r="B74" s="97">
        <v>0</v>
      </c>
      <c r="C74" s="97">
        <v>0</v>
      </c>
      <c r="D74" s="97">
        <v>0</v>
      </c>
    </row>
    <row r="75" spans="1:4">
      <c r="A75" s="1" t="s">
        <v>158</v>
      </c>
      <c r="B75" s="97">
        <v>1</v>
      </c>
      <c r="C75" s="72">
        <v>0</v>
      </c>
      <c r="D75" s="72">
        <v>0</v>
      </c>
    </row>
    <row r="76" spans="1:4">
      <c r="A76" s="1" t="s">
        <v>465</v>
      </c>
      <c r="B76" s="97">
        <v>5</v>
      </c>
      <c r="C76" s="72">
        <v>0</v>
      </c>
      <c r="D76" s="72">
        <v>400000</v>
      </c>
    </row>
    <row r="77" spans="1:4">
      <c r="A77" s="1" t="s">
        <v>173</v>
      </c>
      <c r="B77" s="97">
        <v>6</v>
      </c>
      <c r="C77" s="72">
        <v>0</v>
      </c>
      <c r="D77" s="72">
        <v>0</v>
      </c>
    </row>
    <row r="78" spans="1:4">
      <c r="A78" s="1" t="s">
        <v>178</v>
      </c>
      <c r="B78" s="97">
        <v>54</v>
      </c>
      <c r="C78" s="72">
        <v>6000000</v>
      </c>
      <c r="D78" s="72">
        <v>0</v>
      </c>
    </row>
    <row r="79" spans="1:4">
      <c r="A79" s="1" t="s">
        <v>179</v>
      </c>
      <c r="B79" s="97">
        <v>106</v>
      </c>
      <c r="C79" s="72">
        <v>12000000</v>
      </c>
      <c r="D79" s="72">
        <v>14800000</v>
      </c>
    </row>
    <row r="80" spans="1:4">
      <c r="A80" s="1" t="s">
        <v>216</v>
      </c>
      <c r="B80" s="97">
        <v>6</v>
      </c>
      <c r="C80" s="72">
        <v>400000</v>
      </c>
      <c r="D80" s="72">
        <v>0</v>
      </c>
    </row>
    <row r="81" spans="1:4">
      <c r="A81" s="1" t="s">
        <v>181</v>
      </c>
      <c r="B81" s="97">
        <v>0</v>
      </c>
      <c r="C81" s="72">
        <v>0</v>
      </c>
      <c r="D81" s="72">
        <v>0</v>
      </c>
    </row>
    <row r="82" spans="1:4">
      <c r="A82" s="1" t="s">
        <v>351</v>
      </c>
      <c r="B82" s="97">
        <v>9</v>
      </c>
      <c r="C82" s="94">
        <v>600000</v>
      </c>
      <c r="D82" s="94">
        <v>25000</v>
      </c>
    </row>
    <row r="83" spans="1:4">
      <c r="A83" s="1" t="s">
        <v>504</v>
      </c>
      <c r="B83" s="97">
        <v>0</v>
      </c>
      <c r="C83" s="97">
        <v>0</v>
      </c>
      <c r="D83" s="97">
        <v>0</v>
      </c>
    </row>
    <row r="84" spans="1:4">
      <c r="A84" s="1" t="s">
        <v>549</v>
      </c>
      <c r="B84" s="97">
        <v>28</v>
      </c>
      <c r="C84" s="72">
        <v>3600000</v>
      </c>
      <c r="D84" s="72">
        <v>2000000</v>
      </c>
    </row>
    <row r="85" spans="1:4">
      <c r="A85" s="1" t="s">
        <v>559</v>
      </c>
      <c r="B85" s="97">
        <v>3</v>
      </c>
      <c r="C85" s="72">
        <v>200000</v>
      </c>
      <c r="D85" s="72">
        <v>200000</v>
      </c>
    </row>
    <row r="86" spans="1:4">
      <c r="A86" s="1" t="s">
        <v>711</v>
      </c>
      <c r="B86" s="97">
        <v>2</v>
      </c>
      <c r="C86" s="72">
        <v>0</v>
      </c>
      <c r="D86" s="72">
        <v>0</v>
      </c>
    </row>
    <row r="87" spans="1:4">
      <c r="A87" s="1" t="s">
        <v>572</v>
      </c>
      <c r="B87" s="97">
        <v>0</v>
      </c>
      <c r="C87" s="94">
        <v>0</v>
      </c>
      <c r="D87" s="94">
        <v>0</v>
      </c>
    </row>
    <row r="88" spans="1:4">
      <c r="A88" s="1" t="s">
        <v>588</v>
      </c>
      <c r="B88" s="97">
        <v>0</v>
      </c>
      <c r="C88" s="94">
        <v>0</v>
      </c>
      <c r="D88" s="94">
        <v>0</v>
      </c>
    </row>
    <row r="89" spans="1:4">
      <c r="A89" s="1" t="s">
        <v>681</v>
      </c>
      <c r="B89" s="97">
        <v>15</v>
      </c>
      <c r="C89" s="96">
        <v>2035000</v>
      </c>
      <c r="D89" s="96">
        <v>400000</v>
      </c>
    </row>
    <row r="90" spans="1:4">
      <c r="A90" s="1" t="s">
        <v>608</v>
      </c>
      <c r="B90" s="97">
        <v>8</v>
      </c>
      <c r="C90" s="96">
        <v>800000</v>
      </c>
      <c r="D90" s="96">
        <v>0</v>
      </c>
    </row>
    <row r="91" spans="1:4">
      <c r="A91" s="1" t="s">
        <v>612</v>
      </c>
      <c r="B91" s="97">
        <v>56</v>
      </c>
      <c r="C91" s="96">
        <v>0</v>
      </c>
      <c r="D91" s="96">
        <v>0</v>
      </c>
    </row>
    <row r="92" spans="1:4">
      <c r="A92" s="1" t="s">
        <v>628</v>
      </c>
      <c r="B92" s="97">
        <v>7</v>
      </c>
      <c r="C92" s="96">
        <v>0</v>
      </c>
      <c r="D92" s="96">
        <v>0</v>
      </c>
    </row>
    <row r="93" spans="1:4">
      <c r="A93" s="1" t="s">
        <v>642</v>
      </c>
      <c r="B93" s="97">
        <v>2</v>
      </c>
      <c r="C93" s="96">
        <v>400000</v>
      </c>
      <c r="D93" s="96">
        <v>0</v>
      </c>
    </row>
    <row r="94" spans="1:4">
      <c r="A94" s="1" t="s">
        <v>646</v>
      </c>
      <c r="B94" s="97">
        <v>6</v>
      </c>
      <c r="C94" s="96">
        <v>800000</v>
      </c>
      <c r="D94" s="96">
        <v>0</v>
      </c>
    </row>
    <row r="95" spans="1:4">
      <c r="A95" s="1" t="s">
        <v>691</v>
      </c>
      <c r="B95" s="97">
        <v>1</v>
      </c>
      <c r="C95" s="72">
        <v>150000</v>
      </c>
      <c r="D95" s="72">
        <v>0</v>
      </c>
    </row>
    <row r="96" spans="1:4">
      <c r="A96" s="1" t="s">
        <v>696</v>
      </c>
      <c r="B96" s="97">
        <v>1</v>
      </c>
      <c r="C96" s="72">
        <v>400000</v>
      </c>
      <c r="D96" s="72">
        <v>0</v>
      </c>
    </row>
    <row r="97" spans="1:4">
      <c r="A97" s="1" t="s">
        <v>698</v>
      </c>
      <c r="B97" s="97">
        <v>1</v>
      </c>
      <c r="C97" s="72">
        <v>100000</v>
      </c>
      <c r="D97" s="72">
        <v>0</v>
      </c>
    </row>
    <row r="98" spans="1:4">
      <c r="A98" s="1" t="s">
        <v>712</v>
      </c>
      <c r="B98" s="97">
        <v>7</v>
      </c>
      <c r="C98" s="72">
        <v>800000</v>
      </c>
      <c r="D98" s="72">
        <v>0</v>
      </c>
    </row>
    <row r="99" spans="1:4">
      <c r="A99" s="1" t="s">
        <v>330</v>
      </c>
      <c r="B99" s="97">
        <v>1284</v>
      </c>
      <c r="C99" s="72">
        <v>112685982</v>
      </c>
      <c r="D99" s="72">
        <v>67715000</v>
      </c>
    </row>
  </sheetData>
  <autoFilter ref="A26:C99" xr:uid="{0007F059-380B-4C2F-9379-322FF05C6A3A}"/>
  <pageMargins left="0.7" right="0.7" top="0.75" bottom="0.75" header="0.3" footer="0.3"/>
  <pageSetup paperSize="9" orientation="portrait" horizontalDpi="0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0942-6D5B-4F2B-9778-6BDD51C3FA7D}">
  <sheetPr>
    <tabColor rgb="FFFFFF00"/>
  </sheetPr>
  <dimension ref="B2:P68"/>
  <sheetViews>
    <sheetView zoomScale="90" zoomScaleNormal="90" workbookViewId="0">
      <selection activeCell="K1" sqref="K1:K1048576"/>
    </sheetView>
  </sheetViews>
  <sheetFormatPr baseColWidth="10" defaultRowHeight="15"/>
  <cols>
    <col min="2" max="2" width="19.7109375" customWidth="1"/>
    <col min="3" max="3" width="18" bestFit="1" customWidth="1"/>
    <col min="4" max="4" width="16.5703125" bestFit="1" customWidth="1"/>
    <col min="7" max="7" width="25.5703125" customWidth="1"/>
    <col min="8" max="8" width="23.5703125" customWidth="1"/>
    <col min="10" max="10" width="18.85546875" customWidth="1"/>
    <col min="11" max="11" width="21.28515625" hidden="1" customWidth="1"/>
    <col min="12" max="12" width="18.42578125" style="97" customWidth="1"/>
    <col min="13" max="13" width="16.28515625" style="97" customWidth="1"/>
  </cols>
  <sheetData>
    <row r="2" spans="2:16" ht="31.5">
      <c r="B2" s="101" t="s">
        <v>117</v>
      </c>
      <c r="C2" s="101" t="s">
        <v>622</v>
      </c>
      <c r="D2" s="101" t="s">
        <v>621</v>
      </c>
      <c r="G2" s="102" t="s">
        <v>117</v>
      </c>
      <c r="H2" s="102" t="s">
        <v>551</v>
      </c>
      <c r="J2" s="120" t="s">
        <v>117</v>
      </c>
      <c r="K2" s="95" t="s">
        <v>715</v>
      </c>
      <c r="L2" s="122" t="s">
        <v>713</v>
      </c>
      <c r="M2" s="122" t="s">
        <v>714</v>
      </c>
    </row>
    <row r="3" spans="2:16">
      <c r="B3" s="67" t="s">
        <v>348</v>
      </c>
      <c r="C3" s="98">
        <v>14000000</v>
      </c>
      <c r="D3" s="99">
        <f>C3/400000</f>
        <v>35</v>
      </c>
      <c r="G3" s="100" t="s">
        <v>257</v>
      </c>
      <c r="H3" s="99">
        <v>328</v>
      </c>
      <c r="J3" s="118" t="s">
        <v>237</v>
      </c>
      <c r="K3" s="94">
        <v>0</v>
      </c>
      <c r="L3" s="97">
        <v>0</v>
      </c>
      <c r="M3" s="97">
        <v>0</v>
      </c>
      <c r="O3" s="97"/>
      <c r="P3" s="97"/>
    </row>
    <row r="4" spans="2:16">
      <c r="B4" s="67" t="s">
        <v>257</v>
      </c>
      <c r="C4" s="98">
        <v>10120000</v>
      </c>
      <c r="D4" s="99">
        <f>C4/400000</f>
        <v>25.3</v>
      </c>
      <c r="G4" s="100" t="s">
        <v>348</v>
      </c>
      <c r="H4" s="99">
        <v>170</v>
      </c>
      <c r="J4" s="67" t="s">
        <v>159</v>
      </c>
      <c r="K4" s="94">
        <v>23</v>
      </c>
      <c r="L4" s="123">
        <v>0</v>
      </c>
      <c r="M4" s="123">
        <v>6.35</v>
      </c>
      <c r="O4" s="97"/>
      <c r="P4" s="97"/>
    </row>
    <row r="5" spans="2:16">
      <c r="B5" s="67" t="s">
        <v>239</v>
      </c>
      <c r="C5" s="98">
        <v>5000000</v>
      </c>
      <c r="D5" s="99">
        <f t="shared" ref="D5:D54" si="0">C5/400000</f>
        <v>12.5</v>
      </c>
      <c r="G5" s="100" t="s">
        <v>239</v>
      </c>
      <c r="H5" s="99">
        <v>70</v>
      </c>
      <c r="J5" s="67" t="s">
        <v>183</v>
      </c>
      <c r="K5" s="94">
        <v>4</v>
      </c>
      <c r="L5" s="123">
        <v>0</v>
      </c>
      <c r="M5" s="123">
        <v>1</v>
      </c>
      <c r="O5" s="97"/>
      <c r="P5" s="97"/>
    </row>
    <row r="6" spans="2:16">
      <c r="B6" s="67" t="s">
        <v>257</v>
      </c>
      <c r="C6" s="98">
        <v>4800000</v>
      </c>
      <c r="D6" s="99">
        <f t="shared" si="0"/>
        <v>12</v>
      </c>
      <c r="G6" s="100" t="s">
        <v>547</v>
      </c>
      <c r="H6" s="99">
        <v>67</v>
      </c>
      <c r="J6" s="121" t="s">
        <v>257</v>
      </c>
      <c r="K6" s="94">
        <v>186</v>
      </c>
      <c r="L6" s="124">
        <v>41.8</v>
      </c>
      <c r="M6" s="124">
        <v>24.4</v>
      </c>
      <c r="O6" s="97"/>
      <c r="P6" s="97"/>
    </row>
    <row r="7" spans="2:16">
      <c r="B7" s="67" t="s">
        <v>346</v>
      </c>
      <c r="C7" s="98">
        <v>4700000</v>
      </c>
      <c r="D7" s="99">
        <f t="shared" si="0"/>
        <v>11.75</v>
      </c>
      <c r="G7" s="100" t="s">
        <v>479</v>
      </c>
      <c r="H7" s="99">
        <v>62</v>
      </c>
      <c r="J7" s="121" t="s">
        <v>160</v>
      </c>
      <c r="K7" s="94">
        <v>6</v>
      </c>
      <c r="L7" s="124">
        <v>2</v>
      </c>
      <c r="M7" s="124">
        <v>1</v>
      </c>
      <c r="O7" s="97"/>
      <c r="P7" s="97"/>
    </row>
    <row r="8" spans="2:16">
      <c r="B8" s="67" t="s">
        <v>344</v>
      </c>
      <c r="C8" s="98">
        <v>3200000</v>
      </c>
      <c r="D8" s="99">
        <f t="shared" si="0"/>
        <v>8</v>
      </c>
      <c r="G8" s="100" t="s">
        <v>346</v>
      </c>
      <c r="H8" s="99">
        <v>58</v>
      </c>
      <c r="J8" s="121" t="s">
        <v>547</v>
      </c>
      <c r="K8" s="94">
        <v>91</v>
      </c>
      <c r="L8" s="124">
        <v>15</v>
      </c>
      <c r="M8" s="124">
        <v>1</v>
      </c>
      <c r="O8" s="97"/>
      <c r="P8" s="97"/>
    </row>
    <row r="9" spans="2:16">
      <c r="B9" s="67" t="s">
        <v>479</v>
      </c>
      <c r="C9" s="98">
        <v>3200000</v>
      </c>
      <c r="D9" s="99">
        <f t="shared" si="0"/>
        <v>8</v>
      </c>
      <c r="G9" s="100" t="s">
        <v>442</v>
      </c>
      <c r="H9" s="99">
        <v>55</v>
      </c>
      <c r="J9" s="121" t="s">
        <v>539</v>
      </c>
      <c r="K9" s="94">
        <v>8</v>
      </c>
      <c r="L9" s="124">
        <v>0</v>
      </c>
      <c r="M9" s="124">
        <v>1</v>
      </c>
      <c r="O9" s="97"/>
      <c r="P9" s="97"/>
    </row>
    <row r="10" spans="2:16">
      <c r="B10" s="67" t="s">
        <v>356</v>
      </c>
      <c r="C10" s="98">
        <v>2800000</v>
      </c>
      <c r="D10" s="99">
        <f t="shared" si="0"/>
        <v>7</v>
      </c>
      <c r="G10" s="100" t="s">
        <v>253</v>
      </c>
      <c r="H10" s="99">
        <v>47</v>
      </c>
      <c r="J10" s="118" t="s">
        <v>512</v>
      </c>
      <c r="K10" s="94">
        <v>0</v>
      </c>
      <c r="L10" s="97">
        <v>0</v>
      </c>
      <c r="M10" s="97">
        <v>0</v>
      </c>
      <c r="O10" s="97"/>
      <c r="P10" s="97"/>
    </row>
    <row r="11" spans="2:16">
      <c r="B11" s="67" t="s">
        <v>508</v>
      </c>
      <c r="C11" s="98">
        <v>2800000</v>
      </c>
      <c r="D11" s="99">
        <f t="shared" si="0"/>
        <v>7</v>
      </c>
      <c r="G11" s="100" t="s">
        <v>356</v>
      </c>
      <c r="H11" s="99">
        <v>43</v>
      </c>
      <c r="J11" s="67" t="s">
        <v>529</v>
      </c>
      <c r="K11" s="94">
        <v>1</v>
      </c>
      <c r="L11" s="123">
        <v>1</v>
      </c>
      <c r="M11" s="123">
        <v>0</v>
      </c>
      <c r="O11" s="97"/>
      <c r="P11" s="97"/>
    </row>
    <row r="12" spans="2:16">
      <c r="B12" s="67" t="s">
        <v>347</v>
      </c>
      <c r="C12" s="98">
        <v>2800000</v>
      </c>
      <c r="D12" s="99">
        <f t="shared" si="0"/>
        <v>7</v>
      </c>
      <c r="G12" s="100" t="s">
        <v>539</v>
      </c>
      <c r="H12" s="99">
        <v>40</v>
      </c>
      <c r="J12" s="67" t="s">
        <v>445</v>
      </c>
      <c r="K12" s="94">
        <v>25</v>
      </c>
      <c r="L12" s="123">
        <v>5</v>
      </c>
      <c r="M12" s="123">
        <v>5</v>
      </c>
      <c r="O12" s="97"/>
      <c r="P12" s="97"/>
    </row>
    <row r="13" spans="2:16">
      <c r="B13" s="67" t="s">
        <v>623</v>
      </c>
      <c r="C13" s="98">
        <v>2790000</v>
      </c>
      <c r="D13" s="99">
        <f t="shared" si="0"/>
        <v>6.9749999999999996</v>
      </c>
      <c r="G13" s="100" t="s">
        <v>455</v>
      </c>
      <c r="H13" s="99">
        <v>40</v>
      </c>
      <c r="J13" s="118" t="s">
        <v>496</v>
      </c>
      <c r="K13" s="94">
        <v>0</v>
      </c>
      <c r="L13" s="97">
        <v>0</v>
      </c>
      <c r="M13" s="97">
        <v>0</v>
      </c>
      <c r="O13" s="97"/>
      <c r="P13" s="97"/>
    </row>
    <row r="14" spans="2:16">
      <c r="B14" s="67" t="s">
        <v>441</v>
      </c>
      <c r="C14" s="98">
        <v>2690000</v>
      </c>
      <c r="D14" s="99">
        <f t="shared" si="0"/>
        <v>6.7249999999999996</v>
      </c>
      <c r="G14" s="100" t="s">
        <v>620</v>
      </c>
      <c r="H14" s="99">
        <v>39</v>
      </c>
      <c r="J14" s="121" t="s">
        <v>346</v>
      </c>
      <c r="K14" s="94">
        <v>48</v>
      </c>
      <c r="L14" s="124">
        <v>13</v>
      </c>
      <c r="M14" s="124">
        <v>3</v>
      </c>
      <c r="O14" s="97"/>
      <c r="P14" s="97"/>
    </row>
    <row r="15" spans="2:16">
      <c r="B15" s="67" t="s">
        <v>624</v>
      </c>
      <c r="C15" s="98">
        <v>2400000</v>
      </c>
      <c r="D15" s="99">
        <f t="shared" si="0"/>
        <v>6</v>
      </c>
      <c r="G15" s="100" t="s">
        <v>344</v>
      </c>
      <c r="H15" s="99">
        <v>38</v>
      </c>
      <c r="J15" s="121" t="s">
        <v>345</v>
      </c>
      <c r="K15" s="94">
        <v>9</v>
      </c>
      <c r="L15" s="124">
        <v>1.5</v>
      </c>
      <c r="M15" s="124">
        <v>1</v>
      </c>
      <c r="O15" s="97"/>
      <c r="P15" s="97"/>
    </row>
    <row r="16" spans="2:16">
      <c r="B16" s="67" t="s">
        <v>625</v>
      </c>
      <c r="C16" s="98">
        <v>2260000</v>
      </c>
      <c r="D16" s="99">
        <f t="shared" si="0"/>
        <v>5.65</v>
      </c>
      <c r="G16" s="100" t="s">
        <v>347</v>
      </c>
      <c r="H16" s="99">
        <v>36</v>
      </c>
      <c r="J16" s="118" t="s">
        <v>493</v>
      </c>
      <c r="K16" s="94">
        <v>0</v>
      </c>
      <c r="L16" s="97">
        <v>0</v>
      </c>
      <c r="M16" s="97">
        <v>0</v>
      </c>
      <c r="O16" s="97"/>
      <c r="P16" s="97"/>
    </row>
    <row r="17" spans="2:16">
      <c r="B17" s="67" t="s">
        <v>539</v>
      </c>
      <c r="C17" s="98">
        <v>2000000</v>
      </c>
      <c r="D17" s="99">
        <f t="shared" si="0"/>
        <v>5</v>
      </c>
      <c r="G17" s="100" t="s">
        <v>230</v>
      </c>
      <c r="H17" s="99">
        <v>35</v>
      </c>
      <c r="J17" s="67" t="s">
        <v>564</v>
      </c>
      <c r="K17" s="94">
        <v>11</v>
      </c>
      <c r="L17" s="123">
        <v>2</v>
      </c>
      <c r="M17" s="123">
        <v>3</v>
      </c>
      <c r="O17" s="97"/>
      <c r="P17" s="97"/>
    </row>
    <row r="18" spans="2:16">
      <c r="B18" s="67" t="s">
        <v>445</v>
      </c>
      <c r="C18" s="98">
        <v>2000000</v>
      </c>
      <c r="D18" s="99">
        <f t="shared" si="0"/>
        <v>5</v>
      </c>
      <c r="G18" s="100" t="s">
        <v>445</v>
      </c>
      <c r="H18" s="99">
        <v>35</v>
      </c>
      <c r="J18" s="121" t="s">
        <v>562</v>
      </c>
      <c r="K18" s="94">
        <v>32</v>
      </c>
      <c r="L18" s="124">
        <v>8.375</v>
      </c>
      <c r="M18" s="124">
        <v>2</v>
      </c>
      <c r="O18" s="97"/>
      <c r="P18" s="97"/>
    </row>
    <row r="19" spans="2:16">
      <c r="B19" s="67" t="s">
        <v>468</v>
      </c>
      <c r="C19" s="98">
        <v>1600000</v>
      </c>
      <c r="D19" s="99">
        <f t="shared" si="0"/>
        <v>4</v>
      </c>
      <c r="G19" s="100" t="s">
        <v>441</v>
      </c>
      <c r="H19" s="99">
        <v>32</v>
      </c>
      <c r="J19" s="67" t="s">
        <v>447</v>
      </c>
      <c r="K19" s="94">
        <v>5</v>
      </c>
      <c r="L19" s="123">
        <v>1</v>
      </c>
      <c r="M19" s="123">
        <v>1</v>
      </c>
      <c r="O19" s="97"/>
      <c r="P19" s="97"/>
    </row>
    <row r="20" spans="2:16">
      <c r="B20" s="67" t="s">
        <v>567</v>
      </c>
      <c r="C20" s="98">
        <v>1600000</v>
      </c>
      <c r="D20" s="99">
        <f t="shared" si="0"/>
        <v>4</v>
      </c>
      <c r="G20" s="100" t="s">
        <v>578</v>
      </c>
      <c r="H20" s="99">
        <v>30</v>
      </c>
      <c r="J20" s="121" t="s">
        <v>614</v>
      </c>
      <c r="K20" s="94">
        <v>13</v>
      </c>
      <c r="L20" s="124">
        <v>3</v>
      </c>
      <c r="M20" s="124">
        <v>0</v>
      </c>
      <c r="O20" s="97"/>
      <c r="P20" s="97"/>
    </row>
    <row r="21" spans="2:16">
      <c r="B21" s="67" t="s">
        <v>343</v>
      </c>
      <c r="C21" s="98">
        <v>1250000</v>
      </c>
      <c r="D21" s="99">
        <f t="shared" si="0"/>
        <v>3.125</v>
      </c>
      <c r="G21" s="100" t="s">
        <v>624</v>
      </c>
      <c r="H21" s="99">
        <v>29</v>
      </c>
      <c r="J21" s="121" t="s">
        <v>239</v>
      </c>
      <c r="K21" s="94">
        <v>61</v>
      </c>
      <c r="L21" s="124">
        <v>18</v>
      </c>
      <c r="M21" s="124">
        <v>10</v>
      </c>
      <c r="O21" s="97"/>
      <c r="P21" s="97"/>
    </row>
    <row r="22" spans="2:16">
      <c r="B22" s="67" t="s">
        <v>512</v>
      </c>
      <c r="C22" s="98">
        <v>1200000</v>
      </c>
      <c r="D22" s="99">
        <f t="shared" si="0"/>
        <v>3</v>
      </c>
      <c r="G22" s="100" t="s">
        <v>627</v>
      </c>
      <c r="H22" s="99">
        <v>27</v>
      </c>
      <c r="J22" s="67" t="s">
        <v>166</v>
      </c>
      <c r="K22" s="94">
        <v>9</v>
      </c>
      <c r="L22" s="123">
        <v>1</v>
      </c>
      <c r="M22" s="123">
        <v>2.125</v>
      </c>
      <c r="O22" s="97"/>
      <c r="P22" s="97"/>
    </row>
    <row r="23" spans="2:16">
      <c r="B23" s="67" t="s">
        <v>564</v>
      </c>
      <c r="C23" s="98">
        <v>1200000</v>
      </c>
      <c r="D23" s="99">
        <f t="shared" si="0"/>
        <v>3</v>
      </c>
      <c r="G23" s="100" t="s">
        <v>171</v>
      </c>
      <c r="H23" s="99">
        <v>23</v>
      </c>
      <c r="J23" s="121" t="s">
        <v>253</v>
      </c>
      <c r="K23" s="94">
        <v>36</v>
      </c>
      <c r="L23" s="124">
        <v>9.0524550000000001</v>
      </c>
      <c r="M23" s="124">
        <v>3</v>
      </c>
      <c r="O23" s="97"/>
      <c r="P23" s="97"/>
    </row>
    <row r="24" spans="2:16">
      <c r="B24" s="67" t="s">
        <v>176</v>
      </c>
      <c r="C24" s="98">
        <v>1200000</v>
      </c>
      <c r="D24" s="99">
        <f t="shared" si="0"/>
        <v>3</v>
      </c>
      <c r="G24" s="100" t="s">
        <v>216</v>
      </c>
      <c r="H24" s="99">
        <v>22</v>
      </c>
      <c r="J24" s="118" t="s">
        <v>167</v>
      </c>
      <c r="K24" s="94">
        <v>18</v>
      </c>
      <c r="L24" s="97">
        <v>0</v>
      </c>
      <c r="M24" s="97">
        <v>0</v>
      </c>
      <c r="O24" s="97"/>
      <c r="P24" s="97"/>
    </row>
    <row r="25" spans="2:16">
      <c r="B25" s="67" t="s">
        <v>177</v>
      </c>
      <c r="C25" s="98">
        <v>1200000</v>
      </c>
      <c r="D25" s="99">
        <f t="shared" si="0"/>
        <v>3</v>
      </c>
      <c r="G25" s="100" t="s">
        <v>177</v>
      </c>
      <c r="H25" s="99">
        <v>19</v>
      </c>
      <c r="J25" s="118" t="s">
        <v>508</v>
      </c>
      <c r="K25" s="97">
        <v>0</v>
      </c>
      <c r="L25" s="97">
        <v>0</v>
      </c>
      <c r="M25" s="97">
        <v>0</v>
      </c>
      <c r="O25" s="97"/>
      <c r="P25" s="97"/>
    </row>
    <row r="26" spans="2:16">
      <c r="B26" s="67" t="s">
        <v>572</v>
      </c>
      <c r="C26" s="98">
        <v>1200000</v>
      </c>
      <c r="D26" s="99">
        <f t="shared" si="0"/>
        <v>3</v>
      </c>
      <c r="G26" s="100" t="s">
        <v>343</v>
      </c>
      <c r="H26" s="99">
        <v>18</v>
      </c>
      <c r="J26" s="67" t="s">
        <v>175</v>
      </c>
      <c r="K26" s="94">
        <v>40</v>
      </c>
      <c r="L26" s="123">
        <v>3.5</v>
      </c>
      <c r="M26" s="123">
        <v>11</v>
      </c>
      <c r="O26" s="97"/>
      <c r="P26" s="97"/>
    </row>
    <row r="27" spans="2:16">
      <c r="B27" s="67" t="s">
        <v>351</v>
      </c>
      <c r="C27" s="98">
        <v>1000000</v>
      </c>
      <c r="D27" s="99">
        <f t="shared" si="0"/>
        <v>2.5</v>
      </c>
      <c r="G27" s="100" t="s">
        <v>350</v>
      </c>
      <c r="H27" s="99">
        <v>15</v>
      </c>
      <c r="J27" s="118" t="s">
        <v>501</v>
      </c>
      <c r="K27" s="94">
        <v>0</v>
      </c>
      <c r="L27" s="97">
        <v>0</v>
      </c>
      <c r="M27" s="97">
        <v>0</v>
      </c>
      <c r="O27" s="97"/>
      <c r="P27" s="97"/>
    </row>
    <row r="28" spans="2:16">
      <c r="B28" s="67" t="s">
        <v>345</v>
      </c>
      <c r="C28" s="98">
        <v>800000</v>
      </c>
      <c r="D28" s="99">
        <f t="shared" si="0"/>
        <v>2</v>
      </c>
      <c r="G28" s="100" t="s">
        <v>173</v>
      </c>
      <c r="H28" s="99">
        <v>14</v>
      </c>
      <c r="J28" s="121" t="s">
        <v>344</v>
      </c>
      <c r="K28" s="94">
        <v>31</v>
      </c>
      <c r="L28" s="124">
        <v>10</v>
      </c>
      <c r="M28" s="124">
        <v>2</v>
      </c>
      <c r="O28" s="97"/>
      <c r="P28" s="97"/>
    </row>
    <row r="29" spans="2:16">
      <c r="B29" s="67" t="s">
        <v>578</v>
      </c>
      <c r="C29" s="98">
        <v>800000</v>
      </c>
      <c r="D29" s="99">
        <f t="shared" si="0"/>
        <v>2</v>
      </c>
      <c r="G29" s="100" t="s">
        <v>508</v>
      </c>
      <c r="H29" s="99">
        <v>14</v>
      </c>
      <c r="J29" s="121" t="s">
        <v>441</v>
      </c>
      <c r="K29" s="94">
        <v>34</v>
      </c>
      <c r="L29" s="124">
        <v>6.05</v>
      </c>
      <c r="M29" s="124">
        <v>4.5999999999999996</v>
      </c>
      <c r="O29" s="97"/>
      <c r="P29" s="97"/>
    </row>
    <row r="30" spans="2:16">
      <c r="B30" s="67" t="s">
        <v>501</v>
      </c>
      <c r="C30" s="98">
        <v>800000</v>
      </c>
      <c r="D30" s="99">
        <f t="shared" si="0"/>
        <v>2</v>
      </c>
      <c r="G30" s="100" t="s">
        <v>450</v>
      </c>
      <c r="H30" s="99">
        <v>12</v>
      </c>
      <c r="J30" s="121" t="s">
        <v>176</v>
      </c>
      <c r="K30" s="94">
        <v>18</v>
      </c>
      <c r="L30" s="124">
        <v>5</v>
      </c>
      <c r="M30" s="124">
        <v>3</v>
      </c>
      <c r="O30" s="97"/>
      <c r="P30" s="97"/>
    </row>
    <row r="31" spans="2:16">
      <c r="B31" s="67" t="s">
        <v>514</v>
      </c>
      <c r="C31" s="98">
        <v>800000</v>
      </c>
      <c r="D31" s="99">
        <f t="shared" si="0"/>
        <v>2</v>
      </c>
      <c r="G31" s="100" t="s">
        <v>166</v>
      </c>
      <c r="H31" s="99">
        <v>12</v>
      </c>
      <c r="J31" s="118" t="s">
        <v>514</v>
      </c>
      <c r="K31" s="94">
        <v>0</v>
      </c>
      <c r="L31" s="97">
        <v>0</v>
      </c>
      <c r="M31" s="97">
        <v>0</v>
      </c>
      <c r="O31" s="97"/>
      <c r="P31" s="97"/>
    </row>
    <row r="32" spans="2:16">
      <c r="B32" s="67" t="s">
        <v>465</v>
      </c>
      <c r="C32" s="98">
        <v>800000</v>
      </c>
      <c r="D32" s="99">
        <f t="shared" si="0"/>
        <v>2</v>
      </c>
      <c r="G32" s="100" t="s">
        <v>172</v>
      </c>
      <c r="H32" s="99">
        <v>11</v>
      </c>
      <c r="J32" s="121" t="s">
        <v>347</v>
      </c>
      <c r="K32" s="94">
        <v>57</v>
      </c>
      <c r="L32" s="124">
        <v>19</v>
      </c>
      <c r="M32" s="124">
        <v>4</v>
      </c>
      <c r="O32" s="97"/>
      <c r="P32" s="97"/>
    </row>
    <row r="33" spans="2:16">
      <c r="B33" s="67" t="s">
        <v>619</v>
      </c>
      <c r="C33" s="98">
        <v>800000</v>
      </c>
      <c r="D33" s="99">
        <f t="shared" si="0"/>
        <v>2</v>
      </c>
      <c r="G33" s="100" t="s">
        <v>345</v>
      </c>
      <c r="H33" s="99">
        <v>11</v>
      </c>
      <c r="J33" s="118" t="s">
        <v>182</v>
      </c>
      <c r="K33" s="94">
        <v>0</v>
      </c>
      <c r="L33" s="97">
        <v>0</v>
      </c>
      <c r="M33" s="97">
        <v>0</v>
      </c>
      <c r="O33" s="97"/>
      <c r="P33" s="97"/>
    </row>
    <row r="34" spans="2:16">
      <c r="B34" s="67" t="s">
        <v>563</v>
      </c>
      <c r="C34" s="98">
        <v>800000</v>
      </c>
      <c r="D34" s="99">
        <f t="shared" si="0"/>
        <v>2</v>
      </c>
      <c r="G34" s="100" t="s">
        <v>472</v>
      </c>
      <c r="H34" s="99">
        <v>11</v>
      </c>
      <c r="J34" s="67" t="s">
        <v>169</v>
      </c>
      <c r="K34" s="94">
        <v>2</v>
      </c>
      <c r="L34" s="123">
        <v>0.25</v>
      </c>
      <c r="M34" s="123">
        <v>1</v>
      </c>
      <c r="O34" s="97"/>
      <c r="P34" s="97"/>
    </row>
    <row r="35" spans="2:16">
      <c r="B35" s="67" t="s">
        <v>159</v>
      </c>
      <c r="C35" s="98">
        <v>795000</v>
      </c>
      <c r="D35" s="99">
        <f t="shared" si="0"/>
        <v>1.9875</v>
      </c>
      <c r="G35" s="100" t="s">
        <v>162</v>
      </c>
      <c r="H35" s="99">
        <v>10</v>
      </c>
      <c r="J35" s="67" t="s">
        <v>230</v>
      </c>
      <c r="K35" s="94">
        <v>24</v>
      </c>
      <c r="L35" s="123">
        <v>2</v>
      </c>
      <c r="M35" s="123">
        <v>2</v>
      </c>
      <c r="O35" s="97"/>
      <c r="P35" s="97"/>
    </row>
    <row r="36" spans="2:16">
      <c r="B36" s="67" t="s">
        <v>172</v>
      </c>
      <c r="C36" s="98">
        <v>620000</v>
      </c>
      <c r="D36" s="99">
        <f t="shared" si="0"/>
        <v>1.55</v>
      </c>
      <c r="G36" s="100" t="s">
        <v>237</v>
      </c>
      <c r="H36" s="99">
        <v>10</v>
      </c>
      <c r="J36" s="67" t="s">
        <v>472</v>
      </c>
      <c r="K36" s="94">
        <v>4</v>
      </c>
      <c r="L36" s="123">
        <v>0</v>
      </c>
      <c r="M36" s="123">
        <v>0.75</v>
      </c>
      <c r="O36" s="97"/>
      <c r="P36" s="97"/>
    </row>
    <row r="37" spans="2:16">
      <c r="B37" s="67" t="s">
        <v>618</v>
      </c>
      <c r="C37" s="98">
        <v>500000</v>
      </c>
      <c r="D37" s="99">
        <f t="shared" si="0"/>
        <v>1.25</v>
      </c>
      <c r="G37" s="100" t="s">
        <v>447</v>
      </c>
      <c r="H37" s="99">
        <v>9</v>
      </c>
      <c r="J37" s="67" t="s">
        <v>533</v>
      </c>
      <c r="K37" s="94">
        <v>6</v>
      </c>
      <c r="L37" s="123">
        <v>1</v>
      </c>
      <c r="M37" s="123">
        <v>1.35</v>
      </c>
      <c r="O37" s="97"/>
      <c r="P37" s="97"/>
    </row>
    <row r="38" spans="2:16">
      <c r="B38" s="67" t="s">
        <v>533</v>
      </c>
      <c r="C38" s="98">
        <v>450000</v>
      </c>
      <c r="D38" s="99">
        <f t="shared" si="0"/>
        <v>1.125</v>
      </c>
      <c r="G38" s="100" t="s">
        <v>619</v>
      </c>
      <c r="H38" s="99">
        <v>9</v>
      </c>
      <c r="J38" s="121" t="s">
        <v>177</v>
      </c>
      <c r="K38" s="94">
        <v>7</v>
      </c>
      <c r="L38" s="124">
        <v>7</v>
      </c>
      <c r="M38" s="124">
        <v>0</v>
      </c>
      <c r="O38" s="97"/>
      <c r="P38" s="97"/>
    </row>
    <row r="39" spans="2:16">
      <c r="B39" s="67" t="s">
        <v>160</v>
      </c>
      <c r="C39" s="98">
        <v>400000</v>
      </c>
      <c r="D39" s="99">
        <f t="shared" si="0"/>
        <v>1</v>
      </c>
      <c r="G39" s="100" t="s">
        <v>568</v>
      </c>
      <c r="H39" s="99">
        <v>8</v>
      </c>
      <c r="J39" s="67" t="s">
        <v>171</v>
      </c>
      <c r="K39" s="94">
        <v>21</v>
      </c>
      <c r="L39" s="123">
        <v>0</v>
      </c>
      <c r="M39" s="123">
        <v>4.7750000000000004</v>
      </c>
      <c r="O39" s="97"/>
      <c r="P39" s="97"/>
    </row>
    <row r="40" spans="2:16">
      <c r="B40" s="67" t="s">
        <v>358</v>
      </c>
      <c r="C40" s="98">
        <v>400000</v>
      </c>
      <c r="D40" s="99">
        <f t="shared" si="0"/>
        <v>1</v>
      </c>
      <c r="G40" s="100" t="s">
        <v>474</v>
      </c>
      <c r="H40" s="99">
        <v>8</v>
      </c>
      <c r="J40" s="67" t="s">
        <v>172</v>
      </c>
      <c r="K40" s="94">
        <v>6</v>
      </c>
      <c r="L40" s="123">
        <v>1</v>
      </c>
      <c r="M40" s="123">
        <v>1</v>
      </c>
      <c r="O40" s="97"/>
      <c r="P40" s="97"/>
    </row>
    <row r="41" spans="2:16">
      <c r="B41" s="67" t="s">
        <v>529</v>
      </c>
      <c r="C41" s="98">
        <v>400000</v>
      </c>
      <c r="D41" s="99">
        <f t="shared" si="0"/>
        <v>1</v>
      </c>
      <c r="G41" s="100" t="s">
        <v>351</v>
      </c>
      <c r="H41" s="99">
        <v>8</v>
      </c>
      <c r="J41" s="118" t="s">
        <v>158</v>
      </c>
      <c r="K41" s="94">
        <v>1</v>
      </c>
      <c r="L41" s="97">
        <v>0</v>
      </c>
      <c r="M41" s="97">
        <v>0</v>
      </c>
      <c r="O41" s="97"/>
      <c r="P41" s="97"/>
    </row>
    <row r="42" spans="2:16">
      <c r="B42" s="67" t="s">
        <v>496</v>
      </c>
      <c r="C42" s="98">
        <v>400000</v>
      </c>
      <c r="D42" s="99">
        <f t="shared" si="0"/>
        <v>1</v>
      </c>
      <c r="G42" s="100" t="s">
        <v>465</v>
      </c>
      <c r="H42" s="99">
        <v>7</v>
      </c>
      <c r="J42" s="67" t="s">
        <v>465</v>
      </c>
      <c r="K42" s="94">
        <v>5</v>
      </c>
      <c r="L42" s="123">
        <v>0</v>
      </c>
      <c r="M42" s="123">
        <v>1</v>
      </c>
      <c r="O42" s="97"/>
      <c r="P42" s="97"/>
    </row>
    <row r="43" spans="2:16">
      <c r="B43" s="67" t="s">
        <v>493</v>
      </c>
      <c r="C43" s="98">
        <v>400000</v>
      </c>
      <c r="D43" s="99">
        <f t="shared" si="0"/>
        <v>1</v>
      </c>
      <c r="G43" s="100" t="s">
        <v>572</v>
      </c>
      <c r="H43" s="99">
        <v>6</v>
      </c>
      <c r="J43" s="67" t="s">
        <v>173</v>
      </c>
      <c r="K43" s="94">
        <v>6</v>
      </c>
      <c r="L43" s="123">
        <v>0</v>
      </c>
      <c r="M43" s="123">
        <v>0</v>
      </c>
      <c r="O43" s="97"/>
      <c r="P43" s="97"/>
    </row>
    <row r="44" spans="2:16">
      <c r="B44" s="67" t="s">
        <v>447</v>
      </c>
      <c r="C44" s="98">
        <v>400000</v>
      </c>
      <c r="D44" s="99">
        <f t="shared" si="0"/>
        <v>1</v>
      </c>
      <c r="G44" s="100" t="s">
        <v>181</v>
      </c>
      <c r="H44" s="99">
        <v>6</v>
      </c>
      <c r="J44" s="121" t="s">
        <v>178</v>
      </c>
      <c r="K44" s="94">
        <v>54</v>
      </c>
      <c r="L44" s="124">
        <v>15</v>
      </c>
      <c r="M44" s="124">
        <v>0</v>
      </c>
      <c r="O44" s="97"/>
      <c r="P44" s="97"/>
    </row>
    <row r="45" spans="2:16">
      <c r="B45" s="67" t="s">
        <v>166</v>
      </c>
      <c r="C45" s="98">
        <v>400000</v>
      </c>
      <c r="D45" s="99">
        <f t="shared" si="0"/>
        <v>1</v>
      </c>
      <c r="G45" s="100" t="s">
        <v>158</v>
      </c>
      <c r="H45" s="99">
        <v>6</v>
      </c>
      <c r="J45" s="67" t="s">
        <v>179</v>
      </c>
      <c r="K45" s="94">
        <v>106</v>
      </c>
      <c r="L45" s="123">
        <v>30</v>
      </c>
      <c r="M45" s="123">
        <v>37</v>
      </c>
      <c r="O45" s="97"/>
      <c r="P45" s="97"/>
    </row>
    <row r="46" spans="2:16">
      <c r="B46" s="67" t="s">
        <v>567</v>
      </c>
      <c r="C46" s="98">
        <v>400000</v>
      </c>
      <c r="D46" s="99">
        <f t="shared" si="0"/>
        <v>1</v>
      </c>
      <c r="G46" s="100" t="s">
        <v>358</v>
      </c>
      <c r="H46" s="99">
        <v>6</v>
      </c>
      <c r="J46" s="67" t="s">
        <v>216</v>
      </c>
      <c r="K46" s="94">
        <v>6</v>
      </c>
      <c r="L46" s="123">
        <v>1</v>
      </c>
      <c r="M46" s="123">
        <v>0</v>
      </c>
      <c r="O46" s="97"/>
      <c r="P46" s="97"/>
    </row>
    <row r="47" spans="2:16">
      <c r="B47" s="67" t="s">
        <v>167</v>
      </c>
      <c r="C47" s="98">
        <v>400000</v>
      </c>
      <c r="D47" s="99">
        <f t="shared" si="0"/>
        <v>1</v>
      </c>
      <c r="G47" t="s">
        <v>512</v>
      </c>
      <c r="H47">
        <v>6</v>
      </c>
      <c r="J47" s="118" t="s">
        <v>181</v>
      </c>
      <c r="K47" s="94">
        <v>0</v>
      </c>
      <c r="L47" s="97">
        <v>0</v>
      </c>
      <c r="M47" s="97">
        <v>0</v>
      </c>
      <c r="O47" s="97"/>
      <c r="P47" s="97"/>
    </row>
    <row r="48" spans="2:16">
      <c r="B48" s="67" t="s">
        <v>517</v>
      </c>
      <c r="C48" s="98">
        <v>400000</v>
      </c>
      <c r="D48" s="99">
        <f t="shared" si="0"/>
        <v>1</v>
      </c>
      <c r="G48" t="s">
        <v>567</v>
      </c>
      <c r="H48">
        <v>5</v>
      </c>
      <c r="J48" s="118" t="s">
        <v>549</v>
      </c>
      <c r="K48" s="94">
        <v>28</v>
      </c>
      <c r="L48" s="119">
        <v>9</v>
      </c>
      <c r="M48" s="119">
        <v>5</v>
      </c>
      <c r="O48" s="97"/>
      <c r="P48" s="97"/>
    </row>
    <row r="49" spans="2:16">
      <c r="B49" s="67" t="s">
        <v>490</v>
      </c>
      <c r="C49" s="98">
        <v>400000</v>
      </c>
      <c r="D49" s="99">
        <f t="shared" si="0"/>
        <v>1</v>
      </c>
      <c r="G49" t="s">
        <v>463</v>
      </c>
      <c r="H49">
        <v>5</v>
      </c>
      <c r="J49" s="67" t="s">
        <v>559</v>
      </c>
      <c r="K49" s="94">
        <v>3</v>
      </c>
      <c r="L49" s="123">
        <v>0.5</v>
      </c>
      <c r="M49" s="123">
        <v>0.5</v>
      </c>
      <c r="O49" s="97"/>
      <c r="P49" s="97"/>
    </row>
    <row r="50" spans="2:16">
      <c r="B50" s="67" t="s">
        <v>158</v>
      </c>
      <c r="C50" s="98">
        <v>400000</v>
      </c>
      <c r="D50" s="99">
        <f t="shared" si="0"/>
        <v>1</v>
      </c>
      <c r="G50" t="s">
        <v>169</v>
      </c>
      <c r="H50">
        <v>4</v>
      </c>
      <c r="J50" s="118" t="s">
        <v>711</v>
      </c>
      <c r="K50" s="94">
        <v>2</v>
      </c>
      <c r="L50" s="97">
        <v>0</v>
      </c>
      <c r="M50" s="97">
        <v>0</v>
      </c>
      <c r="O50" s="97"/>
      <c r="P50" s="97"/>
    </row>
    <row r="51" spans="2:16">
      <c r="B51" s="67" t="s">
        <v>504</v>
      </c>
      <c r="C51" s="98">
        <v>400000</v>
      </c>
      <c r="D51" s="99">
        <f t="shared" si="0"/>
        <v>1</v>
      </c>
      <c r="G51" t="s">
        <v>501</v>
      </c>
      <c r="H51">
        <v>4</v>
      </c>
      <c r="J51" s="118" t="s">
        <v>691</v>
      </c>
      <c r="K51" s="94">
        <v>1</v>
      </c>
      <c r="L51" s="97">
        <v>0.375</v>
      </c>
      <c r="M51" s="97">
        <v>0</v>
      </c>
      <c r="O51" s="97"/>
      <c r="P51" s="97"/>
    </row>
    <row r="52" spans="2:16">
      <c r="B52" s="67" t="s">
        <v>588</v>
      </c>
      <c r="C52" s="98">
        <v>400000</v>
      </c>
      <c r="D52" s="99">
        <f t="shared" si="0"/>
        <v>1</v>
      </c>
      <c r="G52" t="s">
        <v>164</v>
      </c>
      <c r="H52">
        <v>4</v>
      </c>
      <c r="J52" s="67" t="s">
        <v>696</v>
      </c>
      <c r="K52" s="94">
        <v>1</v>
      </c>
      <c r="L52" s="123">
        <v>1</v>
      </c>
      <c r="M52" s="123">
        <v>0</v>
      </c>
      <c r="O52" s="97"/>
      <c r="P52" s="97"/>
    </row>
    <row r="53" spans="2:16">
      <c r="B53" s="67" t="s">
        <v>183</v>
      </c>
      <c r="C53" s="98">
        <v>250000</v>
      </c>
      <c r="D53" s="99">
        <f t="shared" si="0"/>
        <v>0.625</v>
      </c>
      <c r="G53" t="s">
        <v>514</v>
      </c>
      <c r="H53">
        <v>4</v>
      </c>
      <c r="J53" s="118" t="s">
        <v>698</v>
      </c>
      <c r="K53" s="94">
        <v>1</v>
      </c>
      <c r="L53" s="97">
        <v>0.25</v>
      </c>
      <c r="M53" s="97">
        <v>0</v>
      </c>
      <c r="O53" s="97"/>
      <c r="P53" s="97"/>
    </row>
    <row r="54" spans="2:16">
      <c r="B54" s="67" t="s">
        <v>352</v>
      </c>
      <c r="C54" s="98">
        <v>80000</v>
      </c>
      <c r="D54" s="99">
        <f t="shared" si="0"/>
        <v>0.2</v>
      </c>
      <c r="G54" t="s">
        <v>529</v>
      </c>
      <c r="H54">
        <v>4</v>
      </c>
      <c r="J54" s="121" t="s">
        <v>712</v>
      </c>
      <c r="K54" s="94">
        <v>7</v>
      </c>
      <c r="L54" s="124">
        <v>2</v>
      </c>
      <c r="M54" s="124">
        <v>0</v>
      </c>
      <c r="O54" s="97"/>
      <c r="P54" s="97"/>
    </row>
    <row r="55" spans="2:16">
      <c r="G55" t="s">
        <v>563</v>
      </c>
      <c r="H55">
        <v>4</v>
      </c>
      <c r="J55" s="115" t="s">
        <v>330</v>
      </c>
      <c r="K55" s="116">
        <v>1284</v>
      </c>
      <c r="L55" s="117">
        <v>281.71495499999997</v>
      </c>
      <c r="M55" s="117">
        <v>169.28749999999999</v>
      </c>
      <c r="O55" s="97"/>
      <c r="P55" s="97"/>
    </row>
    <row r="56" spans="2:16">
      <c r="G56" t="s">
        <v>618</v>
      </c>
      <c r="H56">
        <v>3</v>
      </c>
    </row>
    <row r="57" spans="2:16">
      <c r="G57" t="s">
        <v>352</v>
      </c>
      <c r="H57">
        <v>3</v>
      </c>
    </row>
    <row r="58" spans="2:16">
      <c r="G58" t="s">
        <v>533</v>
      </c>
      <c r="H58">
        <v>3</v>
      </c>
    </row>
    <row r="59" spans="2:16">
      <c r="G59" t="s">
        <v>496</v>
      </c>
      <c r="H59">
        <v>3</v>
      </c>
    </row>
    <row r="60" spans="2:16">
      <c r="G60" t="s">
        <v>165</v>
      </c>
      <c r="H60">
        <v>3</v>
      </c>
    </row>
    <row r="61" spans="2:16">
      <c r="G61" t="s">
        <v>504</v>
      </c>
      <c r="H61">
        <v>2</v>
      </c>
    </row>
    <row r="62" spans="2:16">
      <c r="G62" t="s">
        <v>493</v>
      </c>
      <c r="H62">
        <v>2</v>
      </c>
    </row>
    <row r="63" spans="2:16">
      <c r="G63" t="s">
        <v>490</v>
      </c>
      <c r="H63">
        <v>2</v>
      </c>
    </row>
    <row r="64" spans="2:16">
      <c r="G64" t="s">
        <v>182</v>
      </c>
      <c r="H64">
        <v>2</v>
      </c>
    </row>
    <row r="65" spans="7:8">
      <c r="G65" t="s">
        <v>517</v>
      </c>
      <c r="H65">
        <v>2</v>
      </c>
    </row>
    <row r="66" spans="7:8">
      <c r="G66" t="s">
        <v>588</v>
      </c>
      <c r="H66">
        <v>1</v>
      </c>
    </row>
    <row r="67" spans="7:8">
      <c r="G67" t="s">
        <v>571</v>
      </c>
      <c r="H67">
        <v>1</v>
      </c>
    </row>
    <row r="68" spans="7:8">
      <c r="G68" t="s">
        <v>559</v>
      </c>
      <c r="H68">
        <v>1</v>
      </c>
    </row>
  </sheetData>
  <autoFilter ref="J2:M55" xr:uid="{D8E90942-6D5B-4F2B-9778-6BDD51C3FA7D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E0533-115F-4E17-9928-7C9D4BAA522A}">
  <dimension ref="A2:F56"/>
  <sheetViews>
    <sheetView workbookViewId="0">
      <selection activeCell="J10" sqref="J10"/>
    </sheetView>
  </sheetViews>
  <sheetFormatPr baseColWidth="10" defaultRowHeight="15"/>
  <cols>
    <col min="1" max="1" width="34.7109375" customWidth="1"/>
    <col min="2" max="6" width="16.28515625" customWidth="1"/>
  </cols>
  <sheetData>
    <row r="2" spans="1:6">
      <c r="A2" s="86" t="s">
        <v>361</v>
      </c>
      <c r="B2" s="86" t="s">
        <v>362</v>
      </c>
      <c r="C2" s="86" t="s">
        <v>363</v>
      </c>
      <c r="D2" s="86" t="s">
        <v>364</v>
      </c>
      <c r="E2" s="86" t="s">
        <v>365</v>
      </c>
      <c r="F2" s="87"/>
    </row>
    <row r="3" spans="1:6">
      <c r="A3" s="88" t="s">
        <v>366</v>
      </c>
      <c r="B3" s="88" t="s">
        <v>157</v>
      </c>
      <c r="C3" s="89"/>
      <c r="D3" s="89">
        <v>1</v>
      </c>
      <c r="E3" s="89"/>
      <c r="F3" s="89"/>
    </row>
    <row r="4" spans="1:6">
      <c r="A4" s="88" t="s">
        <v>367</v>
      </c>
      <c r="B4" s="88" t="s">
        <v>368</v>
      </c>
      <c r="C4" s="89"/>
      <c r="D4" s="89">
        <v>2</v>
      </c>
      <c r="E4" s="89"/>
      <c r="F4" s="89"/>
    </row>
    <row r="5" spans="1:6">
      <c r="A5" s="88" t="s">
        <v>369</v>
      </c>
      <c r="B5" s="88" t="s">
        <v>368</v>
      </c>
      <c r="C5" s="89"/>
      <c r="D5" s="89">
        <v>1</v>
      </c>
      <c r="E5" s="89"/>
      <c r="F5" s="89"/>
    </row>
    <row r="6" spans="1:6">
      <c r="A6" s="88" t="s">
        <v>370</v>
      </c>
      <c r="B6" s="88" t="s">
        <v>371</v>
      </c>
      <c r="C6" s="89"/>
      <c r="D6" s="89">
        <v>1</v>
      </c>
      <c r="E6" s="89"/>
      <c r="F6" s="89"/>
    </row>
    <row r="7" spans="1:6">
      <c r="A7" s="88" t="s">
        <v>372</v>
      </c>
      <c r="B7" s="88" t="s">
        <v>179</v>
      </c>
      <c r="C7" s="89"/>
      <c r="D7" s="89">
        <v>2</v>
      </c>
      <c r="E7" s="89"/>
      <c r="F7" s="89"/>
    </row>
    <row r="8" spans="1:6">
      <c r="A8" s="88" t="s">
        <v>373</v>
      </c>
      <c r="B8" s="88" t="s">
        <v>374</v>
      </c>
      <c r="C8" s="89"/>
      <c r="D8" s="89">
        <v>1</v>
      </c>
      <c r="E8" s="89"/>
      <c r="F8" s="89"/>
    </row>
    <row r="9" spans="1:6">
      <c r="A9" s="88" t="s">
        <v>375</v>
      </c>
      <c r="B9" s="88" t="s">
        <v>376</v>
      </c>
      <c r="C9" s="89"/>
      <c r="D9" s="89">
        <v>1</v>
      </c>
      <c r="E9" s="89"/>
      <c r="F9" s="89"/>
    </row>
    <row r="10" spans="1:6">
      <c r="A10" s="88" t="s">
        <v>377</v>
      </c>
      <c r="B10" s="88" t="s">
        <v>378</v>
      </c>
      <c r="C10" s="89"/>
      <c r="D10" s="90">
        <v>1.5</v>
      </c>
      <c r="E10" s="89"/>
      <c r="F10" s="89"/>
    </row>
    <row r="11" spans="1:6">
      <c r="A11" s="88" t="s">
        <v>379</v>
      </c>
      <c r="B11" s="88" t="s">
        <v>157</v>
      </c>
      <c r="C11" s="89"/>
      <c r="D11" s="89">
        <v>2</v>
      </c>
      <c r="E11" s="89"/>
      <c r="F11" s="89"/>
    </row>
    <row r="12" spans="1:6">
      <c r="A12" s="88" t="s">
        <v>380</v>
      </c>
      <c r="B12" s="88" t="s">
        <v>381</v>
      </c>
      <c r="C12" s="89"/>
      <c r="D12" s="89">
        <v>1</v>
      </c>
      <c r="E12" s="89"/>
      <c r="F12" s="89"/>
    </row>
    <row r="13" spans="1:6">
      <c r="A13" s="88" t="s">
        <v>382</v>
      </c>
      <c r="B13" s="88" t="s">
        <v>381</v>
      </c>
      <c r="C13" s="89"/>
      <c r="D13" s="89">
        <v>1</v>
      </c>
      <c r="E13" s="89"/>
      <c r="F13" s="89"/>
    </row>
    <row r="14" spans="1:6">
      <c r="A14" s="88" t="s">
        <v>383</v>
      </c>
      <c r="B14" s="88" t="s">
        <v>381</v>
      </c>
      <c r="C14" s="89"/>
      <c r="D14" s="89">
        <v>1</v>
      </c>
      <c r="E14" s="89"/>
      <c r="F14" s="89"/>
    </row>
    <row r="15" spans="1:6">
      <c r="A15" s="88" t="s">
        <v>384</v>
      </c>
      <c r="B15" s="88" t="s">
        <v>179</v>
      </c>
      <c r="C15" s="89"/>
      <c r="D15" s="89">
        <v>2</v>
      </c>
      <c r="E15" s="89"/>
      <c r="F15" s="89"/>
    </row>
    <row r="16" spans="1:6">
      <c r="A16" s="88" t="s">
        <v>385</v>
      </c>
      <c r="B16" s="88" t="s">
        <v>386</v>
      </c>
      <c r="C16" s="89"/>
      <c r="D16" s="89">
        <v>4</v>
      </c>
      <c r="E16" s="89"/>
      <c r="F16" s="89"/>
    </row>
    <row r="17" spans="1:6">
      <c r="A17" s="88" t="s">
        <v>387</v>
      </c>
      <c r="B17" s="88" t="s">
        <v>388</v>
      </c>
      <c r="C17" s="89"/>
      <c r="D17" s="89">
        <v>1</v>
      </c>
      <c r="E17" s="89"/>
      <c r="F17" s="89"/>
    </row>
    <row r="18" spans="1:6">
      <c r="A18" s="88" t="s">
        <v>389</v>
      </c>
      <c r="B18" s="88" t="s">
        <v>390</v>
      </c>
      <c r="C18" s="89"/>
      <c r="D18" s="89">
        <v>1</v>
      </c>
      <c r="E18" s="89"/>
      <c r="F18" s="89"/>
    </row>
    <row r="19" spans="1:6">
      <c r="A19" s="88" t="s">
        <v>391</v>
      </c>
      <c r="B19" s="88" t="s">
        <v>388</v>
      </c>
      <c r="C19" s="89"/>
      <c r="D19" s="89">
        <v>1</v>
      </c>
      <c r="E19" s="89"/>
      <c r="F19" s="89"/>
    </row>
    <row r="20" spans="1:6">
      <c r="A20" s="88" t="s">
        <v>392</v>
      </c>
      <c r="B20" s="88" t="s">
        <v>175</v>
      </c>
      <c r="C20" s="89"/>
      <c r="D20" s="90">
        <v>1.5</v>
      </c>
      <c r="E20" s="89"/>
      <c r="F20" s="89"/>
    </row>
    <row r="21" spans="1:6">
      <c r="A21" s="88" t="s">
        <v>393</v>
      </c>
      <c r="B21" s="88" t="s">
        <v>368</v>
      </c>
      <c r="C21" s="89"/>
      <c r="D21" s="91">
        <v>45689</v>
      </c>
      <c r="E21" s="89"/>
      <c r="F21" s="89"/>
    </row>
    <row r="22" spans="1:6">
      <c r="A22" s="88" t="s">
        <v>394</v>
      </c>
      <c r="B22" s="92" t="s">
        <v>395</v>
      </c>
      <c r="C22" s="89"/>
      <c r="D22" s="89">
        <v>1</v>
      </c>
      <c r="E22" s="89"/>
      <c r="F22" s="89"/>
    </row>
    <row r="23" spans="1:6">
      <c r="A23" s="88" t="s">
        <v>396</v>
      </c>
      <c r="B23" s="88" t="s">
        <v>179</v>
      </c>
      <c r="C23" s="89"/>
      <c r="D23" s="89">
        <v>2</v>
      </c>
      <c r="E23" s="89"/>
      <c r="F23" s="89"/>
    </row>
    <row r="24" spans="1:6">
      <c r="A24" s="88" t="s">
        <v>397</v>
      </c>
      <c r="B24" s="88" t="s">
        <v>397</v>
      </c>
      <c r="C24" s="89"/>
      <c r="D24" s="89">
        <v>17</v>
      </c>
      <c r="E24" s="89"/>
      <c r="F24" s="89"/>
    </row>
    <row r="25" spans="1:6">
      <c r="A25" s="88" t="s">
        <v>398</v>
      </c>
      <c r="B25" s="88" t="s">
        <v>399</v>
      </c>
      <c r="C25" s="89"/>
      <c r="D25" s="89">
        <v>1</v>
      </c>
      <c r="E25" s="89"/>
      <c r="F25" s="89"/>
    </row>
    <row r="26" spans="1:6">
      <c r="A26" s="88" t="s">
        <v>400</v>
      </c>
      <c r="B26" s="88" t="s">
        <v>386</v>
      </c>
      <c r="C26" s="89"/>
      <c r="D26" s="89">
        <v>1</v>
      </c>
      <c r="E26" s="89"/>
      <c r="F26" s="89"/>
    </row>
    <row r="27" spans="1:6">
      <c r="A27" s="88" t="s">
        <v>401</v>
      </c>
      <c r="B27" s="88" t="s">
        <v>390</v>
      </c>
      <c r="C27" s="89"/>
      <c r="D27" s="89">
        <v>1</v>
      </c>
      <c r="E27" s="89"/>
      <c r="F27" s="89"/>
    </row>
    <row r="28" spans="1:6">
      <c r="A28" s="88" t="s">
        <v>402</v>
      </c>
      <c r="B28" s="88" t="s">
        <v>403</v>
      </c>
      <c r="C28" s="89"/>
      <c r="D28" s="89">
        <v>1</v>
      </c>
      <c r="E28" s="89"/>
      <c r="F28" s="89"/>
    </row>
    <row r="29" spans="1:6">
      <c r="A29" s="88" t="s">
        <v>404</v>
      </c>
      <c r="B29" s="88" t="s">
        <v>405</v>
      </c>
      <c r="C29" s="89"/>
      <c r="D29" s="89">
        <v>1</v>
      </c>
      <c r="E29" s="89"/>
      <c r="F29" s="89"/>
    </row>
    <row r="30" spans="1:6">
      <c r="A30" s="88" t="s">
        <v>406</v>
      </c>
      <c r="B30" s="88" t="s">
        <v>376</v>
      </c>
      <c r="C30" s="89"/>
      <c r="D30" s="89">
        <v>1</v>
      </c>
      <c r="E30" s="89"/>
      <c r="F30" s="89"/>
    </row>
    <row r="31" spans="1:6">
      <c r="A31" s="88" t="s">
        <v>407</v>
      </c>
      <c r="B31" s="88" t="s">
        <v>376</v>
      </c>
      <c r="C31" s="89"/>
      <c r="D31" s="89">
        <v>1</v>
      </c>
      <c r="E31" s="89"/>
      <c r="F31" s="89"/>
    </row>
    <row r="32" spans="1:6">
      <c r="A32" s="88" t="s">
        <v>408</v>
      </c>
      <c r="B32" s="88" t="s">
        <v>178</v>
      </c>
      <c r="C32" s="89"/>
      <c r="D32" s="89">
        <v>1</v>
      </c>
      <c r="E32" s="89"/>
      <c r="F32" s="89"/>
    </row>
    <row r="33" spans="1:6">
      <c r="A33" s="88" t="s">
        <v>409</v>
      </c>
      <c r="B33" s="88" t="s">
        <v>410</v>
      </c>
      <c r="C33" s="89"/>
      <c r="D33" s="89">
        <v>1</v>
      </c>
      <c r="E33" s="89"/>
      <c r="F33" s="89"/>
    </row>
    <row r="34" spans="1:6">
      <c r="A34" s="88" t="s">
        <v>411</v>
      </c>
      <c r="B34" s="88" t="s">
        <v>157</v>
      </c>
      <c r="C34" s="89"/>
      <c r="D34" s="89">
        <v>5</v>
      </c>
      <c r="E34" s="89"/>
      <c r="F34" s="89"/>
    </row>
    <row r="35" spans="1:6">
      <c r="A35" s="88" t="s">
        <v>412</v>
      </c>
      <c r="B35" s="88" t="s">
        <v>413</v>
      </c>
      <c r="C35" s="89"/>
      <c r="D35" s="91">
        <v>45689</v>
      </c>
      <c r="E35" s="89"/>
      <c r="F35" s="89"/>
    </row>
    <row r="36" spans="1:6">
      <c r="A36" s="88" t="s">
        <v>414</v>
      </c>
      <c r="B36" s="88" t="s">
        <v>410</v>
      </c>
      <c r="C36" s="89"/>
      <c r="D36" s="89">
        <v>1</v>
      </c>
      <c r="E36" s="89"/>
      <c r="F36" s="89"/>
    </row>
    <row r="37" spans="1:6">
      <c r="A37" s="88" t="s">
        <v>415</v>
      </c>
      <c r="B37" s="88" t="s">
        <v>416</v>
      </c>
      <c r="C37" s="89"/>
      <c r="D37" s="89">
        <v>1</v>
      </c>
      <c r="E37" s="89"/>
      <c r="F37" s="89"/>
    </row>
    <row r="38" spans="1:6">
      <c r="A38" s="88" t="s">
        <v>417</v>
      </c>
      <c r="B38" s="88" t="s">
        <v>416</v>
      </c>
      <c r="C38" s="89"/>
      <c r="D38" s="89">
        <v>1</v>
      </c>
      <c r="E38" s="89"/>
      <c r="F38" s="89"/>
    </row>
    <row r="39" spans="1:6">
      <c r="A39" s="88" t="s">
        <v>418</v>
      </c>
      <c r="B39" s="88" t="s">
        <v>416</v>
      </c>
      <c r="C39" s="89"/>
      <c r="D39" s="89">
        <v>3</v>
      </c>
      <c r="E39" s="89"/>
      <c r="F39" s="89"/>
    </row>
    <row r="40" spans="1:6">
      <c r="A40" s="88" t="s">
        <v>419</v>
      </c>
      <c r="B40" s="88" t="s">
        <v>420</v>
      </c>
      <c r="C40" s="89"/>
      <c r="D40" s="91">
        <v>45689</v>
      </c>
      <c r="E40" s="89"/>
      <c r="F40" s="89"/>
    </row>
    <row r="41" spans="1:6">
      <c r="A41" s="88" t="s">
        <v>421</v>
      </c>
      <c r="B41" s="88" t="s">
        <v>178</v>
      </c>
      <c r="C41" s="89"/>
      <c r="D41" s="89">
        <v>1</v>
      </c>
      <c r="E41" s="89"/>
      <c r="F41" s="89"/>
    </row>
    <row r="42" spans="1:6">
      <c r="A42" s="88" t="s">
        <v>423</v>
      </c>
      <c r="B42" s="88" t="s">
        <v>424</v>
      </c>
      <c r="C42" s="89"/>
      <c r="D42" s="89">
        <v>1</v>
      </c>
      <c r="E42" s="89"/>
      <c r="F42" s="89"/>
    </row>
    <row r="43" spans="1:6">
      <c r="A43" s="88" t="s">
        <v>425</v>
      </c>
      <c r="B43" s="88" t="s">
        <v>420</v>
      </c>
      <c r="C43" s="89"/>
      <c r="D43" s="89">
        <v>1</v>
      </c>
      <c r="E43" s="89"/>
      <c r="F43" s="89"/>
    </row>
    <row r="44" spans="1:6">
      <c r="A44" s="88" t="s">
        <v>426</v>
      </c>
      <c r="B44" s="88" t="s">
        <v>410</v>
      </c>
      <c r="C44" s="89"/>
      <c r="D44" s="91">
        <v>45689</v>
      </c>
      <c r="E44" s="89"/>
      <c r="F44" s="89"/>
    </row>
    <row r="45" spans="1:6">
      <c r="A45" s="88" t="s">
        <v>427</v>
      </c>
      <c r="B45" s="88" t="s">
        <v>378</v>
      </c>
      <c r="C45" s="89"/>
      <c r="D45" s="89">
        <v>3</v>
      </c>
      <c r="E45" s="89"/>
      <c r="F45" s="89"/>
    </row>
    <row r="46" spans="1:6">
      <c r="A46" s="88" t="s">
        <v>428</v>
      </c>
      <c r="B46" s="88" t="s">
        <v>429</v>
      </c>
      <c r="C46" s="89"/>
      <c r="D46" s="89">
        <v>3</v>
      </c>
      <c r="E46" s="89"/>
      <c r="F46" s="89"/>
    </row>
    <row r="47" spans="1:6">
      <c r="A47" s="88" t="s">
        <v>430</v>
      </c>
      <c r="B47" s="88" t="s">
        <v>429</v>
      </c>
      <c r="C47" s="89"/>
      <c r="D47" s="89">
        <v>1</v>
      </c>
      <c r="E47" s="89"/>
      <c r="F47" s="89"/>
    </row>
    <row r="48" spans="1:6">
      <c r="A48" s="88" t="s">
        <v>431</v>
      </c>
      <c r="B48" s="88" t="s">
        <v>432</v>
      </c>
      <c r="C48" s="89"/>
      <c r="D48" s="89">
        <v>1</v>
      </c>
      <c r="E48" s="89"/>
      <c r="F48" s="89"/>
    </row>
    <row r="49" spans="1:6">
      <c r="A49" s="88" t="s">
        <v>433</v>
      </c>
      <c r="B49" s="88" t="s">
        <v>434</v>
      </c>
      <c r="C49" s="89"/>
      <c r="D49" s="89">
        <v>3</v>
      </c>
      <c r="E49" s="89"/>
      <c r="F49" s="89"/>
    </row>
    <row r="50" spans="1:6">
      <c r="A50" s="88" t="s">
        <v>422</v>
      </c>
      <c r="B50" s="88" t="s">
        <v>178</v>
      </c>
      <c r="C50" s="89"/>
      <c r="D50" s="89">
        <v>22</v>
      </c>
      <c r="E50" s="89"/>
      <c r="F50" s="89"/>
    </row>
    <row r="51" spans="1:6">
      <c r="A51" s="88" t="s">
        <v>435</v>
      </c>
      <c r="B51" s="88" t="s">
        <v>420</v>
      </c>
      <c r="C51" s="89"/>
      <c r="D51" s="89">
        <v>1</v>
      </c>
      <c r="E51" s="89"/>
      <c r="F51" s="89"/>
    </row>
    <row r="52" spans="1:6">
      <c r="A52" s="88" t="s">
        <v>436</v>
      </c>
      <c r="B52" s="88" t="s">
        <v>437</v>
      </c>
      <c r="C52" s="89"/>
      <c r="D52" s="89">
        <v>1</v>
      </c>
      <c r="E52" s="89"/>
      <c r="F52" s="89"/>
    </row>
    <row r="53" spans="1:6">
      <c r="A53" s="88" t="s">
        <v>438</v>
      </c>
      <c r="B53" s="88" t="s">
        <v>439</v>
      </c>
      <c r="C53" s="89"/>
      <c r="D53" s="89">
        <v>1</v>
      </c>
      <c r="E53" s="89"/>
      <c r="F53" s="89"/>
    </row>
    <row r="54" spans="1:6">
      <c r="A54" s="88" t="s">
        <v>388</v>
      </c>
      <c r="B54" s="88" t="s">
        <v>388</v>
      </c>
      <c r="C54" s="89"/>
      <c r="D54" s="91">
        <v>45689</v>
      </c>
      <c r="E54" s="89"/>
      <c r="F54" s="89"/>
    </row>
    <row r="55" spans="1:6">
      <c r="A55" s="88" t="s">
        <v>416</v>
      </c>
      <c r="B55" s="88" t="s">
        <v>416</v>
      </c>
      <c r="C55" s="89"/>
      <c r="D55" s="89">
        <v>1</v>
      </c>
      <c r="E55" s="89"/>
      <c r="F55" s="89"/>
    </row>
    <row r="56" spans="1:6">
      <c r="A56" s="88" t="s">
        <v>440</v>
      </c>
      <c r="B56" s="88" t="s">
        <v>395</v>
      </c>
      <c r="C56" s="89"/>
      <c r="D56" s="90">
        <v>0.5</v>
      </c>
      <c r="E56" s="89"/>
      <c r="F56" s="89"/>
    </row>
  </sheetData>
  <autoFilter ref="A2:F56" xr:uid="{A93E0533-115F-4E17-9928-7C9D4BAA522A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4884-D319-4B9C-B23B-B1FBCF4306B4}">
  <dimension ref="A1:N376"/>
  <sheetViews>
    <sheetView topLeftCell="A2" workbookViewId="0">
      <selection activeCell="A2" sqref="A2"/>
    </sheetView>
  </sheetViews>
  <sheetFormatPr baseColWidth="10" defaultRowHeight="15"/>
  <cols>
    <col min="1" max="1" width="50.5703125" bestFit="1" customWidth="1"/>
    <col min="4" max="4" width="16.85546875" bestFit="1" customWidth="1"/>
  </cols>
  <sheetData>
    <row r="1" spans="1:14">
      <c r="A1" s="11" t="s">
        <v>1</v>
      </c>
      <c r="B1" s="11" t="s">
        <v>204</v>
      </c>
      <c r="C1" s="11" t="s">
        <v>205</v>
      </c>
      <c r="D1" s="11" t="s">
        <v>117</v>
      </c>
      <c r="E1" s="11" t="s">
        <v>118</v>
      </c>
      <c r="F1" s="11" t="s">
        <v>119</v>
      </c>
      <c r="G1" s="11" t="s">
        <v>120</v>
      </c>
      <c r="H1" s="11" t="s">
        <v>300</v>
      </c>
      <c r="I1" s="11" t="s">
        <v>185</v>
      </c>
      <c r="J1" s="11" t="s">
        <v>196</v>
      </c>
      <c r="K1" s="11" t="s">
        <v>222</v>
      </c>
      <c r="L1" s="11" t="s">
        <v>244</v>
      </c>
      <c r="N1">
        <v>400000</v>
      </c>
    </row>
    <row r="2" spans="1:14">
      <c r="A2" s="12" t="s">
        <v>190</v>
      </c>
      <c r="B2" s="12"/>
      <c r="C2" s="12"/>
      <c r="D2" s="12"/>
      <c r="E2" s="129">
        <f>'[2]Base Inversionistas 26'!J5/$N$1</f>
        <v>0</v>
      </c>
      <c r="F2" s="129">
        <f>'[2]Base Inversionistas 26'!K5/$N$1</f>
        <v>0</v>
      </c>
      <c r="G2" s="129">
        <f>'[2]Base Inversionistas 26'!L5/$N$1</f>
        <v>0</v>
      </c>
      <c r="H2" s="129">
        <f>'[2]Base Inversionistas 26'!M5/$N$1</f>
        <v>0</v>
      </c>
      <c r="I2" s="129">
        <f>'[2]Base Inversionistas 26'!N5/$N$1</f>
        <v>0</v>
      </c>
      <c r="J2" s="129">
        <f>'[2]Base Inversionistas 26'!O5/$N$1</f>
        <v>0</v>
      </c>
      <c r="K2" s="129">
        <f>'[2]Base Inversionistas 26'!P5/$N$1</f>
        <v>0</v>
      </c>
      <c r="L2" s="129">
        <f>'[2]Base Inversionistas 26'!Q5/$N$1</f>
        <v>0</v>
      </c>
    </row>
    <row r="3" spans="1:14">
      <c r="A3" s="12" t="s">
        <v>88</v>
      </c>
      <c r="B3" s="12"/>
      <c r="C3" s="12"/>
      <c r="D3" s="12" t="s">
        <v>257</v>
      </c>
      <c r="E3" s="129">
        <f>'[2]Base Inversionistas 26'!J6/$N$1</f>
        <v>0</v>
      </c>
      <c r="F3" s="129">
        <f>'[2]Base Inversionistas 26'!K6/$N$1</f>
        <v>0</v>
      </c>
      <c r="G3" s="129">
        <f>'[2]Base Inversionistas 26'!L6/$N$1</f>
        <v>0</v>
      </c>
      <c r="H3" s="129">
        <f>'[2]Base Inversionistas 26'!M6/$N$1</f>
        <v>0</v>
      </c>
      <c r="I3" s="129">
        <f>'[2]Base Inversionistas 26'!N6/$N$1</f>
        <v>0</v>
      </c>
      <c r="J3" s="129">
        <f>'[2]Base Inversionistas 26'!O6/$N$1</f>
        <v>0</v>
      </c>
      <c r="K3" s="129">
        <f>'[2]Base Inversionistas 26'!P6/$N$1</f>
        <v>0</v>
      </c>
      <c r="L3" s="129">
        <f>'[2]Base Inversionistas 26'!Q6/$N$1</f>
        <v>0</v>
      </c>
    </row>
    <row r="4" spans="1:14">
      <c r="A4" s="16" t="s">
        <v>101</v>
      </c>
      <c r="B4" s="16"/>
      <c r="C4" s="16"/>
      <c r="D4" s="12" t="s">
        <v>257</v>
      </c>
      <c r="E4" s="129">
        <f>'[2]Base Inversionistas 26'!J7/$N$1</f>
        <v>0</v>
      </c>
      <c r="F4" s="129">
        <f>'[2]Base Inversionistas 26'!K7/$N$1</f>
        <v>0</v>
      </c>
      <c r="G4" s="129">
        <f>'[2]Base Inversionistas 26'!L7/$N$1</f>
        <v>0</v>
      </c>
      <c r="H4" s="129">
        <f>'[2]Base Inversionistas 26'!M7/$N$1</f>
        <v>0</v>
      </c>
      <c r="I4" s="129">
        <f>'[2]Base Inversionistas 26'!N7/$N$1</f>
        <v>0</v>
      </c>
      <c r="J4" s="129">
        <f>'[2]Base Inversionistas 26'!O7/$N$1</f>
        <v>0</v>
      </c>
      <c r="K4" s="129">
        <f>'[2]Base Inversionistas 26'!P7/$N$1</f>
        <v>0</v>
      </c>
      <c r="L4" s="129">
        <f>'[2]Base Inversionistas 26'!Q7/$N$1</f>
        <v>0</v>
      </c>
    </row>
    <row r="5" spans="1:14">
      <c r="A5" s="16" t="s">
        <v>98</v>
      </c>
      <c r="B5" s="16">
        <v>1114621012</v>
      </c>
      <c r="C5" s="16">
        <v>3207945735</v>
      </c>
      <c r="D5" s="12" t="s">
        <v>257</v>
      </c>
      <c r="E5" s="129">
        <f>'[2]Base Inversionistas 26'!J8/$N$1</f>
        <v>0</v>
      </c>
      <c r="F5" s="129">
        <f>'[2]Base Inversionistas 26'!K8/$N$1</f>
        <v>0</v>
      </c>
      <c r="G5" s="129">
        <f>'[2]Base Inversionistas 26'!L8/$N$1</f>
        <v>0</v>
      </c>
      <c r="H5" s="129">
        <f>'[2]Base Inversionistas 26'!M8/$N$1</f>
        <v>1.5</v>
      </c>
      <c r="I5" s="129">
        <f>'[2]Base Inversionistas 26'!N8/$N$1</f>
        <v>0</v>
      </c>
      <c r="J5" s="129">
        <f>'[2]Base Inversionistas 26'!O8/$N$1</f>
        <v>0</v>
      </c>
      <c r="K5" s="129">
        <f>'[2]Base Inversionistas 26'!P8/$N$1</f>
        <v>0</v>
      </c>
      <c r="L5" s="129">
        <f>'[2]Base Inversionistas 26'!Q8/$N$1</f>
        <v>0</v>
      </c>
    </row>
    <row r="6" spans="1:14">
      <c r="A6" s="16" t="s">
        <v>91</v>
      </c>
      <c r="B6" s="16">
        <v>1035855590</v>
      </c>
      <c r="C6" s="16">
        <v>3154949282</v>
      </c>
      <c r="D6" s="12" t="s">
        <v>562</v>
      </c>
      <c r="E6" s="129">
        <f>'[2]Base Inversionistas 26'!J9/$N$1</f>
        <v>1</v>
      </c>
      <c r="F6" s="129">
        <f>'[2]Base Inversionistas 26'!K9/$N$1</f>
        <v>1</v>
      </c>
      <c r="G6" s="129">
        <f>'[2]Base Inversionistas 26'!L9/$N$1</f>
        <v>1</v>
      </c>
      <c r="H6" s="129">
        <f>'[2]Base Inversionistas 26'!M9/$N$1</f>
        <v>1</v>
      </c>
      <c r="I6" s="129">
        <f>'[2]Base Inversionistas 26'!N9/$N$1</f>
        <v>0</v>
      </c>
      <c r="J6" s="129">
        <f>'[2]Base Inversionistas 26'!O9/$N$1</f>
        <v>1</v>
      </c>
      <c r="K6" s="129">
        <f>'[2]Base Inversionistas 26'!P9/$N$1</f>
        <v>0</v>
      </c>
      <c r="L6" s="129">
        <f>'[2]Base Inversionistas 26'!Q9/$N$1</f>
        <v>0</v>
      </c>
    </row>
    <row r="7" spans="1:14">
      <c r="A7" s="16" t="s">
        <v>674</v>
      </c>
      <c r="B7" s="16">
        <v>1077465696</v>
      </c>
      <c r="C7" s="16">
        <v>3207593131</v>
      </c>
      <c r="D7" s="12" t="s">
        <v>347</v>
      </c>
      <c r="E7" s="129">
        <f>'[2]Base Inversionistas 26'!J10/$N$1</f>
        <v>0</v>
      </c>
      <c r="F7" s="129">
        <f>'[2]Base Inversionistas 26'!K10/$N$1</f>
        <v>0</v>
      </c>
      <c r="G7" s="129">
        <f>'[2]Base Inversionistas 26'!L10/$N$1</f>
        <v>0</v>
      </c>
      <c r="H7" s="129">
        <f>'[2]Base Inversionistas 26'!M10/$N$1</f>
        <v>1</v>
      </c>
      <c r="I7" s="129">
        <f>'[2]Base Inversionistas 26'!N10/$N$1</f>
        <v>0</v>
      </c>
      <c r="J7" s="129">
        <f>'[2]Base Inversionistas 26'!O10/$N$1</f>
        <v>2</v>
      </c>
      <c r="K7" s="129">
        <f>'[2]Base Inversionistas 26'!P10/$N$1</f>
        <v>0</v>
      </c>
      <c r="L7" s="129">
        <f>'[2]Base Inversionistas 26'!Q10/$N$1</f>
        <v>0</v>
      </c>
    </row>
    <row r="8" spans="1:14">
      <c r="A8" s="12" t="s">
        <v>214</v>
      </c>
      <c r="B8" s="12"/>
      <c r="C8" s="12"/>
      <c r="D8" s="12"/>
      <c r="E8" s="129">
        <f>'[2]Base Inversionistas 26'!J11/$N$1</f>
        <v>0</v>
      </c>
      <c r="F8" s="129">
        <f>'[2]Base Inversionistas 26'!K11/$N$1</f>
        <v>0</v>
      </c>
      <c r="G8" s="129">
        <f>'[2]Base Inversionistas 26'!L11/$N$1</f>
        <v>0</v>
      </c>
      <c r="H8" s="129">
        <f>'[2]Base Inversionistas 26'!M11/$N$1</f>
        <v>0</v>
      </c>
      <c r="I8" s="129">
        <f>'[2]Base Inversionistas 26'!N11/$N$1</f>
        <v>0</v>
      </c>
      <c r="J8" s="129">
        <f>'[2]Base Inversionistas 26'!O11/$N$1</f>
        <v>0</v>
      </c>
      <c r="K8" s="129">
        <f>'[2]Base Inversionistas 26'!P11/$N$1</f>
        <v>0</v>
      </c>
      <c r="L8" s="129">
        <f>'[2]Base Inversionistas 26'!Q11/$N$1</f>
        <v>0</v>
      </c>
    </row>
    <row r="9" spans="1:14">
      <c r="A9" s="12" t="s">
        <v>193</v>
      </c>
      <c r="B9" s="12"/>
      <c r="C9" s="12"/>
      <c r="D9" s="12" t="s">
        <v>257</v>
      </c>
      <c r="E9" s="129">
        <f>'[2]Base Inversionistas 26'!J12/$N$1</f>
        <v>0</v>
      </c>
      <c r="F9" s="129">
        <f>'[2]Base Inversionistas 26'!K12/$N$1</f>
        <v>0</v>
      </c>
      <c r="G9" s="129">
        <f>'[2]Base Inversionistas 26'!L12/$N$1</f>
        <v>0</v>
      </c>
      <c r="H9" s="129">
        <f>'[2]Base Inversionistas 26'!M12/$N$1</f>
        <v>0</v>
      </c>
      <c r="I9" s="129">
        <f>'[2]Base Inversionistas 26'!N12/$N$1</f>
        <v>0</v>
      </c>
      <c r="J9" s="129">
        <f>'[2]Base Inversionistas 26'!O12/$N$1</f>
        <v>1</v>
      </c>
      <c r="K9" s="129">
        <f>'[2]Base Inversionistas 26'!P12/$N$1</f>
        <v>0</v>
      </c>
      <c r="L9" s="129">
        <f>'[2]Base Inversionistas 26'!Q12/$N$1</f>
        <v>0</v>
      </c>
    </row>
    <row r="10" spans="1:14">
      <c r="A10" s="12" t="s">
        <v>93</v>
      </c>
      <c r="B10" s="12"/>
      <c r="C10" s="12"/>
      <c r="D10" s="12"/>
      <c r="E10" s="129">
        <f>'[2]Base Inversionistas 26'!J13/$N$1</f>
        <v>0</v>
      </c>
      <c r="F10" s="129">
        <f>'[2]Base Inversionistas 26'!K13/$N$1</f>
        <v>0</v>
      </c>
      <c r="G10" s="129">
        <f>'[2]Base Inversionistas 26'!L13/$N$1</f>
        <v>0</v>
      </c>
      <c r="H10" s="129">
        <f>'[2]Base Inversionistas 26'!M13/$N$1</f>
        <v>0</v>
      </c>
      <c r="I10" s="129">
        <f>'[2]Base Inversionistas 26'!N13/$N$1</f>
        <v>0</v>
      </c>
      <c r="J10" s="129">
        <f>'[2]Base Inversionistas 26'!O13/$N$1</f>
        <v>0</v>
      </c>
      <c r="K10" s="129">
        <f>'[2]Base Inversionistas 26'!P13/$N$1</f>
        <v>0</v>
      </c>
      <c r="L10" s="129">
        <f>'[2]Base Inversionistas 26'!Q13/$N$1</f>
        <v>0</v>
      </c>
    </row>
    <row r="11" spans="1:14">
      <c r="A11" s="12" t="s">
        <v>15</v>
      </c>
      <c r="B11" s="12"/>
      <c r="C11" s="12"/>
      <c r="D11" s="12" t="s">
        <v>681</v>
      </c>
      <c r="E11" s="129">
        <f>'[2]Base Inversionistas 26'!J14/$N$1</f>
        <v>0</v>
      </c>
      <c r="F11" s="129">
        <f>'[2]Base Inversionistas 26'!K14/$N$1</f>
        <v>0</v>
      </c>
      <c r="G11" s="129">
        <f>'[2]Base Inversionistas 26'!L14/$N$1</f>
        <v>0</v>
      </c>
      <c r="H11" s="129">
        <f>'[2]Base Inversionistas 26'!M14/$N$1</f>
        <v>4</v>
      </c>
      <c r="I11" s="129">
        <f>'[2]Base Inversionistas 26'!N14/$N$1</f>
        <v>0</v>
      </c>
      <c r="J11" s="129">
        <f>'[2]Base Inversionistas 26'!O14/$N$1</f>
        <v>3</v>
      </c>
      <c r="K11" s="129">
        <f>'[2]Base Inversionistas 26'!P14/$N$1</f>
        <v>4</v>
      </c>
      <c r="L11" s="129">
        <f>'[2]Base Inversionistas 26'!Q14/$N$1</f>
        <v>0</v>
      </c>
    </row>
    <row r="12" spans="1:14">
      <c r="A12" s="16" t="s">
        <v>92</v>
      </c>
      <c r="B12" s="16"/>
      <c r="C12" s="16"/>
      <c r="D12" s="12"/>
      <c r="E12" s="129">
        <f>'[2]Base Inversionistas 26'!J15/$N$1</f>
        <v>0</v>
      </c>
      <c r="F12" s="129">
        <f>'[2]Base Inversionistas 26'!K15/$N$1</f>
        <v>0</v>
      </c>
      <c r="G12" s="129">
        <f>'[2]Base Inversionistas 26'!L15/$N$1</f>
        <v>0</v>
      </c>
      <c r="H12" s="129">
        <f>'[2]Base Inversionistas 26'!M15/$N$1</f>
        <v>0</v>
      </c>
      <c r="I12" s="129">
        <f>'[2]Base Inversionistas 26'!N15/$N$1</f>
        <v>0</v>
      </c>
      <c r="J12" s="129">
        <f>'[2]Base Inversionistas 26'!O15/$N$1</f>
        <v>0</v>
      </c>
      <c r="K12" s="129">
        <f>'[2]Base Inversionistas 26'!P15/$N$1</f>
        <v>0</v>
      </c>
      <c r="L12" s="129">
        <f>'[2]Base Inversionistas 26'!Q15/$N$1</f>
        <v>0</v>
      </c>
    </row>
    <row r="13" spans="1:14">
      <c r="A13" s="16" t="s">
        <v>71</v>
      </c>
      <c r="B13" s="16">
        <v>1090395092</v>
      </c>
      <c r="C13" s="16"/>
      <c r="D13" s="12" t="s">
        <v>346</v>
      </c>
      <c r="E13" s="129">
        <f>'[2]Base Inversionistas 26'!J16/$N$1</f>
        <v>1</v>
      </c>
      <c r="F13" s="129">
        <f>'[2]Base Inversionistas 26'!K16/$N$1</f>
        <v>1</v>
      </c>
      <c r="G13" s="129">
        <f>'[2]Base Inversionistas 26'!L16/$N$1</f>
        <v>0</v>
      </c>
      <c r="H13" s="129">
        <f>'[2]Base Inversionistas 26'!M16/$N$1</f>
        <v>3</v>
      </c>
      <c r="I13" s="129">
        <f>'[2]Base Inversionistas 26'!N16/$N$1</f>
        <v>0</v>
      </c>
      <c r="J13" s="129">
        <f>'[2]Base Inversionistas 26'!O16/$N$1</f>
        <v>1</v>
      </c>
      <c r="K13" s="129">
        <f>'[2]Base Inversionistas 26'!P16/$N$1</f>
        <v>1</v>
      </c>
      <c r="L13" s="129">
        <f>'[2]Base Inversionistas 26'!Q16/$N$1</f>
        <v>0</v>
      </c>
    </row>
    <row r="14" spans="1:14">
      <c r="A14" s="12" t="s">
        <v>139</v>
      </c>
      <c r="B14" s="12">
        <v>1095846194</v>
      </c>
      <c r="C14" s="12">
        <v>3022962452</v>
      </c>
      <c r="D14" s="12" t="s">
        <v>257</v>
      </c>
      <c r="E14" s="129">
        <f>'[2]Base Inversionistas 26'!J17/$N$1</f>
        <v>1</v>
      </c>
      <c r="F14" s="129">
        <f>'[2]Base Inversionistas 26'!K17/$N$1</f>
        <v>1</v>
      </c>
      <c r="G14" s="129">
        <f>'[2]Base Inversionistas 26'!L17/$N$1</f>
        <v>0</v>
      </c>
      <c r="H14" s="129">
        <f>'[2]Base Inversionistas 26'!M17/$N$1</f>
        <v>0</v>
      </c>
      <c r="I14" s="129">
        <f>'[2]Base Inversionistas 26'!N17/$N$1</f>
        <v>0</v>
      </c>
      <c r="J14" s="129">
        <f>'[2]Base Inversionistas 26'!O17/$N$1</f>
        <v>0</v>
      </c>
      <c r="K14" s="129">
        <f>'[2]Base Inversionistas 26'!P17/$N$1</f>
        <v>0</v>
      </c>
      <c r="L14" s="129">
        <f>'[2]Base Inversionistas 26'!Q17/$N$1</f>
        <v>0</v>
      </c>
    </row>
    <row r="15" spans="1:14">
      <c r="A15" s="12" t="s">
        <v>17</v>
      </c>
      <c r="B15" s="12"/>
      <c r="C15" s="12"/>
      <c r="D15" s="12" t="s">
        <v>257</v>
      </c>
      <c r="E15" s="129">
        <f>'[2]Base Inversionistas 26'!J18/$N$1</f>
        <v>1</v>
      </c>
      <c r="F15" s="129">
        <f>'[2]Base Inversionistas 26'!K18/$N$1</f>
        <v>1</v>
      </c>
      <c r="G15" s="129">
        <f>'[2]Base Inversionistas 26'!L18/$N$1</f>
        <v>1</v>
      </c>
      <c r="H15" s="129">
        <f>'[2]Base Inversionistas 26'!M18/$N$1</f>
        <v>1</v>
      </c>
      <c r="I15" s="129">
        <f>'[2]Base Inversionistas 26'!N18/$N$1</f>
        <v>1</v>
      </c>
      <c r="J15" s="129">
        <f>'[2]Base Inversionistas 26'!O18/$N$1</f>
        <v>1.5</v>
      </c>
      <c r="K15" s="129">
        <f>'[2]Base Inversionistas 26'!P18/$N$1</f>
        <v>0</v>
      </c>
      <c r="L15" s="129">
        <f>'[2]Base Inversionistas 26'!Q18/$N$1</f>
        <v>0</v>
      </c>
    </row>
    <row r="16" spans="1:14">
      <c r="A16" s="12" t="s">
        <v>16</v>
      </c>
      <c r="B16" s="12"/>
      <c r="C16" s="12"/>
      <c r="D16" s="12" t="s">
        <v>257</v>
      </c>
      <c r="E16" s="129">
        <f>'[2]Base Inversionistas 26'!J19/$N$1</f>
        <v>0</v>
      </c>
      <c r="F16" s="129">
        <f>'[2]Base Inversionistas 26'!K19/$N$1</f>
        <v>2</v>
      </c>
      <c r="G16" s="129">
        <f>'[2]Base Inversionistas 26'!L19/$N$1</f>
        <v>1</v>
      </c>
      <c r="H16" s="129">
        <f>'[2]Base Inversionistas 26'!M19/$N$1</f>
        <v>1</v>
      </c>
      <c r="I16" s="129">
        <f>'[2]Base Inversionistas 26'!N19/$N$1</f>
        <v>1</v>
      </c>
      <c r="J16" s="129">
        <f>'[2]Base Inversionistas 26'!O19/$N$1</f>
        <v>0</v>
      </c>
      <c r="K16" s="129">
        <f>'[2]Base Inversionistas 26'!P19/$N$1</f>
        <v>0</v>
      </c>
      <c r="L16" s="129">
        <f>'[2]Base Inversionistas 26'!Q19/$N$1</f>
        <v>0</v>
      </c>
    </row>
    <row r="17" spans="1:12">
      <c r="A17" s="16" t="s">
        <v>106</v>
      </c>
      <c r="B17" s="16">
        <v>14797460</v>
      </c>
      <c r="C17" s="16">
        <v>3160438302</v>
      </c>
      <c r="D17" s="12" t="s">
        <v>343</v>
      </c>
      <c r="E17" s="129">
        <f>'[2]Base Inversionistas 26'!J20/$N$1</f>
        <v>1.125</v>
      </c>
      <c r="F17" s="129">
        <f>'[2]Base Inversionistas 26'!K20/$N$1</f>
        <v>1.125</v>
      </c>
      <c r="G17" s="129">
        <f>'[2]Base Inversionistas 26'!L20/$N$1</f>
        <v>1.25</v>
      </c>
      <c r="H17" s="129">
        <f>'[2]Base Inversionistas 26'!M20/$N$1</f>
        <v>1.5</v>
      </c>
      <c r="I17" s="129">
        <f>'[2]Base Inversionistas 26'!N20/$N$1</f>
        <v>0</v>
      </c>
      <c r="J17" s="129">
        <f>'[2]Base Inversionistas 26'!O20/$N$1</f>
        <v>0</v>
      </c>
      <c r="K17" s="129">
        <f>'[2]Base Inversionistas 26'!P20/$N$1</f>
        <v>1.5</v>
      </c>
      <c r="L17" s="129">
        <f>'[2]Base Inversionistas 26'!Q20/$N$1</f>
        <v>1</v>
      </c>
    </row>
    <row r="18" spans="1:12">
      <c r="A18" s="16" t="s">
        <v>111</v>
      </c>
      <c r="B18" s="16"/>
      <c r="C18" s="16"/>
      <c r="D18" s="12"/>
      <c r="E18" s="129">
        <f>'[2]Base Inversionistas 26'!J21/$N$1</f>
        <v>0</v>
      </c>
      <c r="F18" s="129">
        <f>'[2]Base Inversionistas 26'!K21/$N$1</f>
        <v>0</v>
      </c>
      <c r="G18" s="129">
        <f>'[2]Base Inversionistas 26'!L21/$N$1</f>
        <v>0</v>
      </c>
      <c r="H18" s="129">
        <f>'[2]Base Inversionistas 26'!M21/$N$1</f>
        <v>1</v>
      </c>
      <c r="I18" s="129">
        <f>'[2]Base Inversionistas 26'!N21/$N$1</f>
        <v>1</v>
      </c>
      <c r="J18" s="129">
        <f>'[2]Base Inversionistas 26'!O21/$N$1</f>
        <v>0</v>
      </c>
      <c r="K18" s="129">
        <f>'[2]Base Inversionistas 26'!P21/$N$1</f>
        <v>0</v>
      </c>
      <c r="L18" s="129">
        <f>'[2]Base Inversionistas 26'!Q21/$N$1</f>
        <v>0</v>
      </c>
    </row>
    <row r="19" spans="1:12">
      <c r="A19" s="12" t="s">
        <v>18</v>
      </c>
      <c r="B19" s="12">
        <v>79333423</v>
      </c>
      <c r="C19" s="12">
        <v>3166268412</v>
      </c>
      <c r="D19" s="12" t="s">
        <v>257</v>
      </c>
      <c r="E19" s="129">
        <f>'[2]Base Inversionistas 26'!J22/$N$1</f>
        <v>5</v>
      </c>
      <c r="F19" s="129">
        <f>'[2]Base Inversionistas 26'!K22/$N$1</f>
        <v>4</v>
      </c>
      <c r="G19" s="129">
        <f>'[2]Base Inversionistas 26'!L22/$N$1</f>
        <v>4</v>
      </c>
      <c r="H19" s="129">
        <f>'[2]Base Inversionistas 26'!M22/$N$1</f>
        <v>5</v>
      </c>
      <c r="I19" s="129">
        <f>'[2]Base Inversionistas 26'!N22/$N$1</f>
        <v>2</v>
      </c>
      <c r="J19" s="129">
        <f>'[2]Base Inversionistas 26'!O22/$N$1</f>
        <v>10</v>
      </c>
      <c r="K19" s="129">
        <f>'[2]Base Inversionistas 26'!P22/$N$1</f>
        <v>7.75</v>
      </c>
      <c r="L19" s="129">
        <f>'[2]Base Inversionistas 26'!Q22/$N$1</f>
        <v>4</v>
      </c>
    </row>
    <row r="20" spans="1:12">
      <c r="A20" s="12" t="s">
        <v>133</v>
      </c>
      <c r="B20" s="12"/>
      <c r="C20" s="12"/>
      <c r="D20" s="12" t="s">
        <v>346</v>
      </c>
      <c r="E20" s="129">
        <f>'[2]Base Inversionistas 26'!J23/$N$1</f>
        <v>0</v>
      </c>
      <c r="F20" s="129">
        <f>'[2]Base Inversionistas 26'!K23/$N$1</f>
        <v>0</v>
      </c>
      <c r="G20" s="129">
        <f>'[2]Base Inversionistas 26'!L23/$N$1</f>
        <v>0</v>
      </c>
      <c r="H20" s="129">
        <f>'[2]Base Inversionistas 26'!M23/$N$1</f>
        <v>0</v>
      </c>
      <c r="I20" s="129">
        <f>'[2]Base Inversionistas 26'!N23/$N$1</f>
        <v>1</v>
      </c>
      <c r="J20" s="129">
        <f>'[2]Base Inversionistas 26'!O23/$N$1</f>
        <v>0</v>
      </c>
      <c r="K20" s="129">
        <f>'[2]Base Inversionistas 26'!P23/$N$1</f>
        <v>0</v>
      </c>
      <c r="L20" s="129">
        <f>'[2]Base Inversionistas 26'!Q23/$N$1</f>
        <v>0</v>
      </c>
    </row>
    <row r="21" spans="1:12">
      <c r="A21" s="12" t="s">
        <v>19</v>
      </c>
      <c r="B21" s="12"/>
      <c r="C21" s="12"/>
      <c r="D21" s="12" t="s">
        <v>578</v>
      </c>
      <c r="E21" s="129">
        <f>'[2]Base Inversionistas 26'!J24/$N$1</f>
        <v>1</v>
      </c>
      <c r="F21" s="129">
        <f>'[2]Base Inversionistas 26'!K24/$N$1</f>
        <v>1.5</v>
      </c>
      <c r="G21" s="129">
        <f>'[2]Base Inversionistas 26'!L24/$N$1</f>
        <v>1.5</v>
      </c>
      <c r="H21" s="129">
        <f>'[2]Base Inversionistas 26'!M24/$N$1</f>
        <v>0</v>
      </c>
      <c r="I21" s="129">
        <f>'[2]Base Inversionistas 26'!N24/$N$1</f>
        <v>2</v>
      </c>
      <c r="J21" s="129">
        <f>'[2]Base Inversionistas 26'!O24/$N$1</f>
        <v>1</v>
      </c>
      <c r="K21" s="129">
        <f>'[2]Base Inversionistas 26'!P24/$N$1</f>
        <v>0</v>
      </c>
      <c r="L21" s="129">
        <f>'[2]Base Inversionistas 26'!Q24/$N$1</f>
        <v>0</v>
      </c>
    </row>
    <row r="22" spans="1:12">
      <c r="A22" s="16" t="s">
        <v>103</v>
      </c>
      <c r="B22" s="16"/>
      <c r="C22" s="16"/>
      <c r="D22" s="12"/>
      <c r="E22" s="129">
        <f>'[2]Base Inversionistas 26'!J25/$N$1</f>
        <v>0</v>
      </c>
      <c r="F22" s="129">
        <f>'[2]Base Inversionistas 26'!K25/$N$1</f>
        <v>0</v>
      </c>
      <c r="G22" s="129">
        <f>'[2]Base Inversionistas 26'!L25/$N$1</f>
        <v>0</v>
      </c>
      <c r="H22" s="129">
        <f>'[2]Base Inversionistas 26'!M25/$N$1</f>
        <v>0</v>
      </c>
      <c r="I22" s="129">
        <f>'[2]Base Inversionistas 26'!N25/$N$1</f>
        <v>0</v>
      </c>
      <c r="J22" s="129">
        <f>'[2]Base Inversionistas 26'!O25/$N$1</f>
        <v>0</v>
      </c>
      <c r="K22" s="129">
        <f>'[2]Base Inversionistas 26'!P25/$N$1</f>
        <v>0</v>
      </c>
      <c r="L22" s="129">
        <f>'[2]Base Inversionistas 26'!Q25/$N$1</f>
        <v>0</v>
      </c>
    </row>
    <row r="23" spans="1:12">
      <c r="A23" s="19" t="s">
        <v>74</v>
      </c>
      <c r="B23" s="19"/>
      <c r="C23" s="19"/>
      <c r="D23" s="12"/>
      <c r="E23" s="129">
        <f>'[2]Base Inversionistas 26'!J26/$N$1</f>
        <v>0</v>
      </c>
      <c r="F23" s="129">
        <f>'[2]Base Inversionistas 26'!K26/$N$1</f>
        <v>0</v>
      </c>
      <c r="G23" s="129">
        <f>'[2]Base Inversionistas 26'!L26/$N$1</f>
        <v>0</v>
      </c>
      <c r="H23" s="129">
        <f>'[2]Base Inversionistas 26'!M26/$N$1</f>
        <v>0</v>
      </c>
      <c r="I23" s="129">
        <f>'[2]Base Inversionistas 26'!N26/$N$1</f>
        <v>0</v>
      </c>
      <c r="J23" s="129">
        <f>'[2]Base Inversionistas 26'!O26/$N$1</f>
        <v>0</v>
      </c>
      <c r="K23" s="129">
        <f>'[2]Base Inversionistas 26'!P26/$N$1</f>
        <v>0</v>
      </c>
      <c r="L23" s="129">
        <f>'[2]Base Inversionistas 26'!Q26/$N$1</f>
        <v>0</v>
      </c>
    </row>
    <row r="24" spans="1:12">
      <c r="A24" s="12" t="s">
        <v>20</v>
      </c>
      <c r="B24" s="12"/>
      <c r="C24" s="12"/>
      <c r="D24" s="12" t="s">
        <v>257</v>
      </c>
      <c r="E24" s="129">
        <f>'[2]Base Inversionistas 26'!J27/$N$1</f>
        <v>1</v>
      </c>
      <c r="F24" s="129">
        <f>'[2]Base Inversionistas 26'!K27/$N$1</f>
        <v>0</v>
      </c>
      <c r="G24" s="129">
        <f>'[2]Base Inversionistas 26'!L27/$N$1</f>
        <v>0</v>
      </c>
      <c r="H24" s="129">
        <f>'[2]Base Inversionistas 26'!M27/$N$1</f>
        <v>2</v>
      </c>
      <c r="I24" s="129">
        <f>'[2]Base Inversionistas 26'!N27/$N$1</f>
        <v>1</v>
      </c>
      <c r="J24" s="129">
        <f>'[2]Base Inversionistas 26'!O27/$N$1</f>
        <v>0</v>
      </c>
      <c r="K24" s="129">
        <f>'[2]Base Inversionistas 26'!P27/$N$1</f>
        <v>3</v>
      </c>
      <c r="L24" s="129">
        <f>'[2]Base Inversionistas 26'!Q27/$N$1</f>
        <v>0</v>
      </c>
    </row>
    <row r="25" spans="1:12">
      <c r="A25" s="12" t="s">
        <v>44</v>
      </c>
      <c r="B25" s="12"/>
      <c r="C25" s="12"/>
      <c r="D25" s="12" t="s">
        <v>257</v>
      </c>
      <c r="E25" s="129">
        <f>'[2]Base Inversionistas 26'!J28/$N$1</f>
        <v>0</v>
      </c>
      <c r="F25" s="129">
        <f>'[2]Base Inversionistas 26'!K28/$N$1</f>
        <v>0</v>
      </c>
      <c r="G25" s="129">
        <f>'[2]Base Inversionistas 26'!L28/$N$1</f>
        <v>0</v>
      </c>
      <c r="H25" s="129">
        <f>'[2]Base Inversionistas 26'!M28/$N$1</f>
        <v>0</v>
      </c>
      <c r="I25" s="129">
        <f>'[2]Base Inversionistas 26'!N28/$N$1</f>
        <v>0</v>
      </c>
      <c r="J25" s="129">
        <f>'[2]Base Inversionistas 26'!O28/$N$1</f>
        <v>0</v>
      </c>
      <c r="K25" s="129">
        <f>'[2]Base Inversionistas 26'!P28/$N$1</f>
        <v>0</v>
      </c>
      <c r="L25" s="129">
        <f>'[2]Base Inversionistas 26'!Q28/$N$1</f>
        <v>0</v>
      </c>
    </row>
    <row r="26" spans="1:12">
      <c r="A26" s="12" t="s">
        <v>42</v>
      </c>
      <c r="B26" s="12">
        <v>60362206</v>
      </c>
      <c r="C26" s="12">
        <v>3165652640</v>
      </c>
      <c r="D26" s="12" t="s">
        <v>239</v>
      </c>
      <c r="E26" s="129">
        <f>'[2]Base Inversionistas 26'!J29/$N$1</f>
        <v>0</v>
      </c>
      <c r="F26" s="129">
        <f>'[2]Base Inversionistas 26'!K29/$N$1</f>
        <v>1</v>
      </c>
      <c r="G26" s="129">
        <f>'[2]Base Inversionistas 26'!L29/$N$1</f>
        <v>1</v>
      </c>
      <c r="H26" s="129">
        <f>'[2]Base Inversionistas 26'!M29/$N$1</f>
        <v>1</v>
      </c>
      <c r="I26" s="129">
        <f>'[2]Base Inversionistas 26'!N29/$N$1</f>
        <v>1</v>
      </c>
      <c r="J26" s="129">
        <f>'[2]Base Inversionistas 26'!O29/$N$1</f>
        <v>0</v>
      </c>
      <c r="K26" s="129">
        <f>'[2]Base Inversionistas 26'!P29/$N$1</f>
        <v>0</v>
      </c>
      <c r="L26" s="129">
        <f>'[2]Base Inversionistas 26'!Q29/$N$1</f>
        <v>0</v>
      </c>
    </row>
    <row r="27" spans="1:12">
      <c r="A27" s="16" t="s">
        <v>76</v>
      </c>
      <c r="B27" s="16"/>
      <c r="C27" s="16"/>
      <c r="D27" s="12" t="s">
        <v>257</v>
      </c>
      <c r="E27" s="129">
        <f>'[2]Base Inversionistas 26'!J30/$N$1</f>
        <v>0</v>
      </c>
      <c r="F27" s="129">
        <f>'[2]Base Inversionistas 26'!K30/$N$1</f>
        <v>0</v>
      </c>
      <c r="G27" s="129">
        <f>'[2]Base Inversionistas 26'!L30/$N$1</f>
        <v>0</v>
      </c>
      <c r="H27" s="129">
        <f>'[2]Base Inversionistas 26'!M30/$N$1</f>
        <v>0</v>
      </c>
      <c r="I27" s="129">
        <f>'[2]Base Inversionistas 26'!N30/$N$1</f>
        <v>0</v>
      </c>
      <c r="J27" s="129">
        <f>'[2]Base Inversionistas 26'!O30/$N$1</f>
        <v>0</v>
      </c>
      <c r="K27" s="129">
        <f>'[2]Base Inversionistas 26'!P30/$N$1</f>
        <v>0</v>
      </c>
      <c r="L27" s="129">
        <f>'[2]Base Inversionistas 26'!Q30/$N$1</f>
        <v>0</v>
      </c>
    </row>
    <row r="28" spans="1:12">
      <c r="A28" s="12" t="s">
        <v>40</v>
      </c>
      <c r="B28" s="12">
        <v>88230239</v>
      </c>
      <c r="C28" s="12">
        <v>3123933769</v>
      </c>
      <c r="D28" s="12" t="s">
        <v>441</v>
      </c>
      <c r="E28" s="129">
        <f>'[2]Base Inversionistas 26'!J31/$N$1</f>
        <v>4</v>
      </c>
      <c r="F28" s="129">
        <f>'[2]Base Inversionistas 26'!K31/$N$1</f>
        <v>4</v>
      </c>
      <c r="G28" s="129">
        <f>'[2]Base Inversionistas 26'!L31/$N$1</f>
        <v>3.5</v>
      </c>
      <c r="H28" s="129">
        <f>'[2]Base Inversionistas 26'!M31/$N$1</f>
        <v>3</v>
      </c>
      <c r="I28" s="129">
        <f>'[2]Base Inversionistas 26'!N31/$N$1</f>
        <v>3</v>
      </c>
      <c r="J28" s="129">
        <f>'[2]Base Inversionistas 26'!O31/$N$1</f>
        <v>3</v>
      </c>
      <c r="K28" s="129">
        <f>'[2]Base Inversionistas 26'!P31/$N$1</f>
        <v>3</v>
      </c>
      <c r="L28" s="129">
        <f>'[2]Base Inversionistas 26'!Q31/$N$1</f>
        <v>3</v>
      </c>
    </row>
    <row r="29" spans="1:12">
      <c r="A29" s="16" t="s">
        <v>72</v>
      </c>
      <c r="B29" s="16"/>
      <c r="C29" s="16"/>
      <c r="D29" s="12" t="s">
        <v>257</v>
      </c>
      <c r="E29" s="129">
        <f>'[2]Base Inversionistas 26'!J32/$N$1</f>
        <v>0</v>
      </c>
      <c r="F29" s="129">
        <f>'[2]Base Inversionistas 26'!K32/$N$1</f>
        <v>0</v>
      </c>
      <c r="G29" s="129">
        <f>'[2]Base Inversionistas 26'!L32/$N$1</f>
        <v>0</v>
      </c>
      <c r="H29" s="129">
        <f>'[2]Base Inversionistas 26'!M32/$N$1</f>
        <v>0</v>
      </c>
      <c r="I29" s="129">
        <f>'[2]Base Inversionistas 26'!N32/$N$1</f>
        <v>0</v>
      </c>
      <c r="J29" s="129">
        <f>'[2]Base Inversionistas 26'!O32/$N$1</f>
        <v>0</v>
      </c>
      <c r="K29" s="129">
        <f>'[2]Base Inversionistas 26'!P32/$N$1</f>
        <v>0</v>
      </c>
      <c r="L29" s="129">
        <f>'[2]Base Inversionistas 26'!Q32/$N$1</f>
        <v>0</v>
      </c>
    </row>
    <row r="30" spans="1:12">
      <c r="A30" s="12" t="s">
        <v>21</v>
      </c>
      <c r="B30" s="12"/>
      <c r="C30" s="12"/>
      <c r="D30" s="12"/>
      <c r="E30" s="129">
        <f>'[2]Base Inversionistas 26'!J33/$N$1</f>
        <v>0</v>
      </c>
      <c r="F30" s="129">
        <f>'[2]Base Inversionistas 26'!K33/$N$1</f>
        <v>0</v>
      </c>
      <c r="G30" s="129">
        <f>'[2]Base Inversionistas 26'!L33/$N$1</f>
        <v>0</v>
      </c>
      <c r="H30" s="129">
        <f>'[2]Base Inversionistas 26'!M33/$N$1</f>
        <v>0</v>
      </c>
      <c r="I30" s="129">
        <f>'[2]Base Inversionistas 26'!N33/$N$1</f>
        <v>0</v>
      </c>
      <c r="J30" s="129">
        <f>'[2]Base Inversionistas 26'!O33/$N$1</f>
        <v>0</v>
      </c>
      <c r="K30" s="129">
        <f>'[2]Base Inversionistas 26'!P33/$N$1</f>
        <v>0</v>
      </c>
      <c r="L30" s="129">
        <f>'[2]Base Inversionistas 26'!Q33/$N$1</f>
        <v>0</v>
      </c>
    </row>
    <row r="31" spans="1:12">
      <c r="A31" s="16" t="s">
        <v>53</v>
      </c>
      <c r="B31" s="16"/>
      <c r="C31" s="16"/>
      <c r="D31" s="12" t="s">
        <v>257</v>
      </c>
      <c r="E31" s="129">
        <f>'[2]Base Inversionistas 26'!J34/$N$1</f>
        <v>0</v>
      </c>
      <c r="F31" s="129">
        <f>'[2]Base Inversionistas 26'!K34/$N$1</f>
        <v>0</v>
      </c>
      <c r="G31" s="129">
        <f>'[2]Base Inversionistas 26'!L34/$N$1</f>
        <v>0</v>
      </c>
      <c r="H31" s="129">
        <f>'[2]Base Inversionistas 26'!M34/$N$1</f>
        <v>0</v>
      </c>
      <c r="I31" s="129">
        <f>'[2]Base Inversionistas 26'!N34/$N$1</f>
        <v>0</v>
      </c>
      <c r="J31" s="129">
        <f>'[2]Base Inversionistas 26'!O34/$N$1</f>
        <v>0</v>
      </c>
      <c r="K31" s="129">
        <f>'[2]Base Inversionistas 26'!P34/$N$1</f>
        <v>0</v>
      </c>
      <c r="L31" s="129">
        <f>'[2]Base Inversionistas 26'!Q34/$N$1</f>
        <v>0</v>
      </c>
    </row>
    <row r="32" spans="1:12">
      <c r="A32" s="12" t="s">
        <v>22</v>
      </c>
      <c r="B32" s="12">
        <v>23963745</v>
      </c>
      <c r="C32" s="12">
        <v>3142385522</v>
      </c>
      <c r="D32" s="12" t="s">
        <v>257</v>
      </c>
      <c r="E32" s="129">
        <f>'[2]Base Inversionistas 26'!J35/$N$1</f>
        <v>9</v>
      </c>
      <c r="F32" s="129">
        <f>'[2]Base Inversionistas 26'!K35/$N$1</f>
        <v>9</v>
      </c>
      <c r="G32" s="129">
        <f>'[2]Base Inversionistas 26'!L35/$N$1</f>
        <v>9</v>
      </c>
      <c r="H32" s="129">
        <f>'[2]Base Inversionistas 26'!M35/$N$1</f>
        <v>14</v>
      </c>
      <c r="I32" s="129">
        <f>'[2]Base Inversionistas 26'!N35/$N$1</f>
        <v>9</v>
      </c>
      <c r="J32" s="129">
        <f>'[2]Base Inversionistas 26'!O35/$N$1</f>
        <v>9</v>
      </c>
      <c r="K32" s="129">
        <f>'[2]Base Inversionistas 26'!P35/$N$1</f>
        <v>9</v>
      </c>
      <c r="L32" s="129">
        <f>'[2]Base Inversionistas 26'!Q35/$N$1</f>
        <v>9</v>
      </c>
    </row>
    <row r="33" spans="1:12">
      <c r="A33" s="16" t="s">
        <v>102</v>
      </c>
      <c r="B33" s="16"/>
      <c r="C33" s="16"/>
      <c r="D33" s="12" t="s">
        <v>257</v>
      </c>
      <c r="E33" s="129">
        <f>'[2]Base Inversionistas 26'!J36/$N$1</f>
        <v>1</v>
      </c>
      <c r="F33" s="129">
        <f>'[2]Base Inversionistas 26'!K36/$N$1</f>
        <v>1</v>
      </c>
      <c r="G33" s="129">
        <f>'[2]Base Inversionistas 26'!L36/$N$1</f>
        <v>1</v>
      </c>
      <c r="H33" s="129">
        <f>'[2]Base Inversionistas 26'!M36/$N$1</f>
        <v>1</v>
      </c>
      <c r="I33" s="129">
        <f>'[2]Base Inversionistas 26'!N36/$N$1</f>
        <v>1</v>
      </c>
      <c r="J33" s="129">
        <f>'[2]Base Inversionistas 26'!O36/$N$1</f>
        <v>1</v>
      </c>
      <c r="K33" s="129">
        <f>'[2]Base Inversionistas 26'!P36/$N$1</f>
        <v>1</v>
      </c>
      <c r="L33" s="129">
        <f>'[2]Base Inversionistas 26'!Q36/$N$1</f>
        <v>0</v>
      </c>
    </row>
    <row r="34" spans="1:12">
      <c r="A34" s="12" t="s">
        <v>23</v>
      </c>
      <c r="B34" s="12">
        <v>13177594</v>
      </c>
      <c r="C34" s="12">
        <v>3107951023</v>
      </c>
      <c r="D34" s="12" t="s">
        <v>344</v>
      </c>
      <c r="E34" s="129">
        <f>'[2]Base Inversionistas 26'!J37/$N$1</f>
        <v>0</v>
      </c>
      <c r="F34" s="129">
        <f>'[2]Base Inversionistas 26'!K37/$N$1</f>
        <v>0</v>
      </c>
      <c r="G34" s="129">
        <f>'[2]Base Inversionistas 26'!L37/$N$1</f>
        <v>1</v>
      </c>
      <c r="H34" s="129">
        <f>'[2]Base Inversionistas 26'!M37/$N$1</f>
        <v>0</v>
      </c>
      <c r="I34" s="129">
        <f>'[2]Base Inversionistas 26'!N37/$N$1</f>
        <v>1</v>
      </c>
      <c r="J34" s="129">
        <f>'[2]Base Inversionistas 26'!O37/$N$1</f>
        <v>0</v>
      </c>
      <c r="K34" s="129">
        <f>'[2]Base Inversionistas 26'!P37/$N$1</f>
        <v>2</v>
      </c>
      <c r="L34" s="129">
        <f>'[2]Base Inversionistas 26'!Q37/$N$1</f>
        <v>1</v>
      </c>
    </row>
    <row r="35" spans="1:12">
      <c r="A35" s="16" t="s">
        <v>96</v>
      </c>
      <c r="B35" s="16"/>
      <c r="C35" s="16"/>
      <c r="D35" s="12"/>
      <c r="E35" s="129">
        <f>'[2]Base Inversionistas 26'!J38/$N$1</f>
        <v>0</v>
      </c>
      <c r="F35" s="129">
        <f>'[2]Base Inversionistas 26'!K38/$N$1</f>
        <v>0</v>
      </c>
      <c r="G35" s="129">
        <f>'[2]Base Inversionistas 26'!L38/$N$1</f>
        <v>0</v>
      </c>
      <c r="H35" s="129">
        <f>'[2]Base Inversionistas 26'!M38/$N$1</f>
        <v>0</v>
      </c>
      <c r="I35" s="129">
        <f>'[2]Base Inversionistas 26'!N38/$N$1</f>
        <v>0</v>
      </c>
      <c r="J35" s="129">
        <f>'[2]Base Inversionistas 26'!O38/$N$1</f>
        <v>0</v>
      </c>
      <c r="K35" s="129">
        <f>'[2]Base Inversionistas 26'!P38/$N$1</f>
        <v>0</v>
      </c>
      <c r="L35" s="129">
        <f>'[2]Base Inversionistas 26'!Q38/$N$1</f>
        <v>0</v>
      </c>
    </row>
    <row r="36" spans="1:12">
      <c r="A36" s="16" t="s">
        <v>84</v>
      </c>
      <c r="B36" s="16">
        <v>4803428</v>
      </c>
      <c r="C36" s="16">
        <v>3009838761</v>
      </c>
      <c r="D36" s="12" t="s">
        <v>230</v>
      </c>
      <c r="E36" s="129">
        <f>'[2]Base Inversionistas 26'!J39/$N$1</f>
        <v>0</v>
      </c>
      <c r="F36" s="129">
        <f>'[2]Base Inversionistas 26'!K39/$N$1</f>
        <v>4</v>
      </c>
      <c r="G36" s="129">
        <f>'[2]Base Inversionistas 26'!L39/$N$1</f>
        <v>4</v>
      </c>
      <c r="H36" s="129">
        <f>'[2]Base Inversionistas 26'!M39/$N$1</f>
        <v>0</v>
      </c>
      <c r="I36" s="129">
        <f>'[2]Base Inversionistas 26'!N39/$N$1</f>
        <v>4</v>
      </c>
      <c r="J36" s="129">
        <f>'[2]Base Inversionistas 26'!O39/$N$1</f>
        <v>4</v>
      </c>
      <c r="K36" s="129">
        <f>'[2]Base Inversionistas 26'!P39/$N$1</f>
        <v>4</v>
      </c>
      <c r="L36" s="129">
        <f>'[2]Base Inversionistas 26'!Q39/$N$1</f>
        <v>4</v>
      </c>
    </row>
    <row r="37" spans="1:12">
      <c r="A37" s="16" t="s">
        <v>86</v>
      </c>
      <c r="B37" s="16">
        <v>93206783</v>
      </c>
      <c r="C37" s="16">
        <v>3125188563</v>
      </c>
      <c r="D37" s="12" t="s">
        <v>230</v>
      </c>
      <c r="E37" s="129">
        <f>'[2]Base Inversionistas 26'!J40/$N$1</f>
        <v>0</v>
      </c>
      <c r="F37" s="129">
        <f>'[2]Base Inversionistas 26'!K40/$N$1</f>
        <v>2</v>
      </c>
      <c r="G37" s="129">
        <f>'[2]Base Inversionistas 26'!L40/$N$1</f>
        <v>2</v>
      </c>
      <c r="H37" s="129">
        <f>'[2]Base Inversionistas 26'!M40/$N$1</f>
        <v>0</v>
      </c>
      <c r="I37" s="129">
        <f>'[2]Base Inversionistas 26'!N40/$N$1</f>
        <v>0</v>
      </c>
      <c r="J37" s="129">
        <f>'[2]Base Inversionistas 26'!O40/$N$1</f>
        <v>2</v>
      </c>
      <c r="K37" s="129">
        <f>'[2]Base Inversionistas 26'!P40/$N$1</f>
        <v>2</v>
      </c>
      <c r="L37" s="129">
        <f>'[2]Base Inversionistas 26'!Q40/$N$1</f>
        <v>2</v>
      </c>
    </row>
    <row r="38" spans="1:12">
      <c r="A38" s="16" t="s">
        <v>58</v>
      </c>
      <c r="B38" s="16">
        <v>72147202</v>
      </c>
      <c r="C38" s="16">
        <v>3126317467</v>
      </c>
      <c r="D38" s="12" t="s">
        <v>345</v>
      </c>
      <c r="E38" s="129">
        <f>'[2]Base Inversionistas 26'!J41/$N$1</f>
        <v>0</v>
      </c>
      <c r="F38" s="129">
        <f>'[2]Base Inversionistas 26'!K41/$N$1</f>
        <v>0</v>
      </c>
      <c r="G38" s="129">
        <f>'[2]Base Inversionistas 26'!L41/$N$1</f>
        <v>0</v>
      </c>
      <c r="H38" s="129">
        <f>'[2]Base Inversionistas 26'!M41/$N$1</f>
        <v>1</v>
      </c>
      <c r="I38" s="129">
        <f>'[2]Base Inversionistas 26'!N41/$N$1</f>
        <v>0</v>
      </c>
      <c r="J38" s="129">
        <f>'[2]Base Inversionistas 26'!O41/$N$1</f>
        <v>0</v>
      </c>
      <c r="K38" s="129">
        <f>'[2]Base Inversionistas 26'!P41/$N$1</f>
        <v>0</v>
      </c>
      <c r="L38" s="129">
        <f>'[2]Base Inversionistas 26'!Q41/$N$1</f>
        <v>2</v>
      </c>
    </row>
    <row r="39" spans="1:12">
      <c r="A39" s="16" t="s">
        <v>62</v>
      </c>
      <c r="B39" s="16"/>
      <c r="C39" s="16"/>
      <c r="D39" s="12" t="s">
        <v>159</v>
      </c>
      <c r="E39" s="129">
        <f>'[2]Base Inversionistas 26'!J42/$N$1</f>
        <v>0</v>
      </c>
      <c r="F39" s="129">
        <f>'[2]Base Inversionistas 26'!K42/$N$1</f>
        <v>0</v>
      </c>
      <c r="G39" s="129">
        <f>'[2]Base Inversionistas 26'!L42/$N$1</f>
        <v>0</v>
      </c>
      <c r="H39" s="129">
        <f>'[2]Base Inversionistas 26'!M42/$N$1</f>
        <v>0</v>
      </c>
      <c r="I39" s="129">
        <f>'[2]Base Inversionistas 26'!N42/$N$1</f>
        <v>0</v>
      </c>
      <c r="J39" s="129">
        <f>'[2]Base Inversionistas 26'!O42/$N$1</f>
        <v>0</v>
      </c>
      <c r="K39" s="129">
        <f>'[2]Base Inversionistas 26'!P42/$N$1</f>
        <v>0</v>
      </c>
      <c r="L39" s="129">
        <f>'[2]Base Inversionistas 26'!Q42/$N$1</f>
        <v>0</v>
      </c>
    </row>
    <row r="40" spans="1:12">
      <c r="A40" s="16" t="s">
        <v>69</v>
      </c>
      <c r="B40" s="16">
        <v>8742974</v>
      </c>
      <c r="C40" s="16">
        <v>317889812</v>
      </c>
      <c r="D40" s="12" t="s">
        <v>442</v>
      </c>
      <c r="E40" s="129">
        <f>'[2]Base Inversionistas 26'!J43/$N$1</f>
        <v>5.2125000000000004</v>
      </c>
      <c r="F40" s="129">
        <f>'[2]Base Inversionistas 26'!K43/$N$1</f>
        <v>5</v>
      </c>
      <c r="G40" s="129">
        <f>'[2]Base Inversionistas 26'!L43/$N$1</f>
        <v>2.95</v>
      </c>
      <c r="H40" s="129">
        <f>'[2]Base Inversionistas 26'!M43/$N$1</f>
        <v>0</v>
      </c>
      <c r="I40" s="129">
        <f>'[2]Base Inversionistas 26'!N43/$N$1</f>
        <v>5.35</v>
      </c>
      <c r="J40" s="129">
        <f>'[2]Base Inversionistas 26'!O43/$N$1</f>
        <v>3.5750000000000002</v>
      </c>
      <c r="K40" s="129">
        <f>'[2]Base Inversionistas 26'!P43/$N$1</f>
        <v>0</v>
      </c>
      <c r="L40" s="129">
        <f>'[2]Base Inversionistas 26'!Q43/$N$1</f>
        <v>4.4249999999999998</v>
      </c>
    </row>
    <row r="41" spans="1:12">
      <c r="A41" s="16" t="s">
        <v>94</v>
      </c>
      <c r="B41" s="16"/>
      <c r="C41" s="16"/>
      <c r="D41" s="12" t="s">
        <v>160</v>
      </c>
      <c r="E41" s="129">
        <f>'[2]Base Inversionistas 26'!J44/$N$1</f>
        <v>0</v>
      </c>
      <c r="F41" s="129">
        <f>'[2]Base Inversionistas 26'!K44/$N$1</f>
        <v>0</v>
      </c>
      <c r="G41" s="129">
        <f>'[2]Base Inversionistas 26'!L44/$N$1</f>
        <v>0</v>
      </c>
      <c r="H41" s="129">
        <f>'[2]Base Inversionistas 26'!M44/$N$1</f>
        <v>1</v>
      </c>
      <c r="I41" s="129">
        <f>'[2]Base Inversionistas 26'!N44/$N$1</f>
        <v>0</v>
      </c>
      <c r="J41" s="129">
        <f>'[2]Base Inversionistas 26'!O44/$N$1</f>
        <v>0</v>
      </c>
      <c r="K41" s="129">
        <f>'[2]Base Inversionistas 26'!P44/$N$1</f>
        <v>0</v>
      </c>
      <c r="L41" s="129">
        <f>'[2]Base Inversionistas 26'!Q44/$N$1</f>
        <v>0</v>
      </c>
    </row>
    <row r="42" spans="1:12">
      <c r="A42" s="16" t="s">
        <v>161</v>
      </c>
      <c r="B42" s="16">
        <v>900379577</v>
      </c>
      <c r="C42" s="16">
        <v>31844096518</v>
      </c>
      <c r="D42" s="12" t="s">
        <v>547</v>
      </c>
      <c r="E42" s="129">
        <f>'[2]Base Inversionistas 26'!J45/$N$1</f>
        <v>15</v>
      </c>
      <c r="F42" s="129">
        <f>'[2]Base Inversionistas 26'!K45/$N$1</f>
        <v>37.5</v>
      </c>
      <c r="G42" s="129">
        <f>'[2]Base Inversionistas 26'!L45/$N$1</f>
        <v>22.5</v>
      </c>
      <c r="H42" s="129">
        <f>'[2]Base Inversionistas 26'!M45/$N$1</f>
        <v>15</v>
      </c>
      <c r="I42" s="129">
        <f>'[2]Base Inversionistas 26'!N45/$N$1</f>
        <v>22</v>
      </c>
      <c r="J42" s="129">
        <f>'[2]Base Inversionistas 26'!O45/$N$1</f>
        <v>0</v>
      </c>
      <c r="K42" s="129">
        <f>'[2]Base Inversionistas 26'!P45/$N$1</f>
        <v>14</v>
      </c>
      <c r="L42" s="129">
        <f>'[2]Base Inversionistas 26'!Q45/$N$1</f>
        <v>0</v>
      </c>
    </row>
    <row r="43" spans="1:12">
      <c r="A43" s="12" t="s">
        <v>46</v>
      </c>
      <c r="B43" s="12"/>
      <c r="C43" s="12"/>
      <c r="D43" s="12" t="s">
        <v>162</v>
      </c>
      <c r="E43" s="129">
        <f>'[2]Base Inversionistas 26'!J46/$N$1</f>
        <v>0</v>
      </c>
      <c r="F43" s="129">
        <f>'[2]Base Inversionistas 26'!K46/$N$1</f>
        <v>4.875</v>
      </c>
      <c r="G43" s="129">
        <f>'[2]Base Inversionistas 26'!L46/$N$1</f>
        <v>1</v>
      </c>
      <c r="H43" s="129">
        <f>'[2]Base Inversionistas 26'!M46/$N$1</f>
        <v>4.75</v>
      </c>
      <c r="I43" s="129">
        <f>'[2]Base Inversionistas 26'!N46/$N$1</f>
        <v>0</v>
      </c>
      <c r="J43" s="129">
        <f>'[2]Base Inversionistas 26'!O46/$N$1</f>
        <v>0</v>
      </c>
      <c r="K43" s="129">
        <f>'[2]Base Inversionistas 26'!P46/$N$1</f>
        <v>0</v>
      </c>
      <c r="L43" s="129">
        <f>'[2]Base Inversionistas 26'!Q46/$N$1</f>
        <v>0</v>
      </c>
    </row>
    <row r="44" spans="1:12">
      <c r="A44" s="12" t="s">
        <v>130</v>
      </c>
      <c r="B44" s="12"/>
      <c r="C44" s="12"/>
      <c r="D44" s="12" t="s">
        <v>180</v>
      </c>
      <c r="E44" s="129">
        <f>'[2]Base Inversionistas 26'!J47/$N$1</f>
        <v>0</v>
      </c>
      <c r="F44" s="129">
        <f>'[2]Base Inversionistas 26'!K47/$N$1</f>
        <v>17</v>
      </c>
      <c r="G44" s="129">
        <f>'[2]Base Inversionistas 26'!L47/$N$1</f>
        <v>18</v>
      </c>
      <c r="H44" s="129">
        <f>'[2]Base Inversionistas 26'!M47/$N$1</f>
        <v>18</v>
      </c>
      <c r="I44" s="129">
        <f>'[2]Base Inversionistas 26'!N47/$N$1</f>
        <v>21</v>
      </c>
      <c r="J44" s="129">
        <f>'[2]Base Inversionistas 26'!O47/$N$1</f>
        <v>0</v>
      </c>
      <c r="K44" s="129">
        <f>'[2]Base Inversionistas 26'!P47/$N$1</f>
        <v>0</v>
      </c>
      <c r="L44" s="129">
        <f>'[2]Base Inversionistas 26'!Q47/$N$1</f>
        <v>0</v>
      </c>
    </row>
    <row r="45" spans="1:12">
      <c r="A45" s="12" t="s">
        <v>131</v>
      </c>
      <c r="B45" s="12">
        <v>16354014</v>
      </c>
      <c r="C45" s="12">
        <v>3133884161</v>
      </c>
      <c r="D45" s="12" t="s">
        <v>346</v>
      </c>
      <c r="E45" s="129">
        <f>'[2]Base Inversionistas 26'!J48/$N$1</f>
        <v>2</v>
      </c>
      <c r="F45" s="129">
        <f>'[2]Base Inversionistas 26'!K48/$N$1</f>
        <v>1.0625</v>
      </c>
      <c r="G45" s="129">
        <f>'[2]Base Inversionistas 26'!L48/$N$1</f>
        <v>0</v>
      </c>
      <c r="H45" s="129">
        <f>'[2]Base Inversionistas 26'!M48/$N$1</f>
        <v>4</v>
      </c>
      <c r="I45" s="129">
        <f>'[2]Base Inversionistas 26'!N48/$N$1</f>
        <v>0</v>
      </c>
      <c r="J45" s="129">
        <f>'[2]Base Inversionistas 26'!O48/$N$1</f>
        <v>2</v>
      </c>
      <c r="K45" s="129">
        <f>'[2]Base Inversionistas 26'!P48/$N$1</f>
        <v>0</v>
      </c>
      <c r="L45" s="129">
        <f>'[2]Base Inversionistas 26'!Q48/$N$1</f>
        <v>2</v>
      </c>
    </row>
    <row r="46" spans="1:12">
      <c r="A46" s="16" t="s">
        <v>77</v>
      </c>
      <c r="B46" s="16"/>
      <c r="C46" s="16"/>
      <c r="D46" s="12" t="s">
        <v>163</v>
      </c>
      <c r="E46" s="129">
        <f>'[2]Base Inversionistas 26'!J49/$N$1</f>
        <v>0</v>
      </c>
      <c r="F46" s="129">
        <f>'[2]Base Inversionistas 26'!K49/$N$1</f>
        <v>0</v>
      </c>
      <c r="G46" s="129">
        <f>'[2]Base Inversionistas 26'!L49/$N$1</f>
        <v>0.4</v>
      </c>
      <c r="H46" s="129">
        <f>'[2]Base Inversionistas 26'!M49/$N$1</f>
        <v>0.17499999999999999</v>
      </c>
      <c r="I46" s="129">
        <f>'[2]Base Inversionistas 26'!N49/$N$1</f>
        <v>0.3</v>
      </c>
      <c r="J46" s="129">
        <f>'[2]Base Inversionistas 26'!O49/$N$1</f>
        <v>0.625</v>
      </c>
      <c r="K46" s="129">
        <f>'[2]Base Inversionistas 26'!P49/$N$1</f>
        <v>0.67500000000000004</v>
      </c>
      <c r="L46" s="129">
        <f>'[2]Base Inversionistas 26'!Q49/$N$1</f>
        <v>0</v>
      </c>
    </row>
    <row r="47" spans="1:12">
      <c r="A47" s="16" t="s">
        <v>79</v>
      </c>
      <c r="B47" s="16">
        <v>900299699</v>
      </c>
      <c r="C47" s="16">
        <v>3214118979</v>
      </c>
      <c r="D47" s="12" t="s">
        <v>257</v>
      </c>
      <c r="E47" s="129">
        <f>'[2]Base Inversionistas 26'!J50/$N$1</f>
        <v>2</v>
      </c>
      <c r="F47" s="129">
        <f>'[2]Base Inversionistas 26'!K50/$N$1</f>
        <v>2</v>
      </c>
      <c r="G47" s="129">
        <f>'[2]Base Inversionistas 26'!L50/$N$1</f>
        <v>2</v>
      </c>
      <c r="H47" s="129">
        <f>'[2]Base Inversionistas 26'!M50/$N$1</f>
        <v>2</v>
      </c>
      <c r="I47" s="129">
        <f>'[2]Base Inversionistas 26'!N50/$N$1</f>
        <v>2</v>
      </c>
      <c r="J47" s="129">
        <f>'[2]Base Inversionistas 26'!O50/$N$1</f>
        <v>2</v>
      </c>
      <c r="K47" s="129">
        <f>'[2]Base Inversionistas 26'!P50/$N$1</f>
        <v>2</v>
      </c>
      <c r="L47" s="129">
        <f>'[2]Base Inversionistas 26'!Q50/$N$1</f>
        <v>2</v>
      </c>
    </row>
    <row r="48" spans="1:12">
      <c r="A48" s="16" t="s">
        <v>54</v>
      </c>
      <c r="B48" s="16"/>
      <c r="C48" s="16"/>
      <c r="D48" s="12" t="s">
        <v>564</v>
      </c>
      <c r="E48" s="129">
        <f>'[2]Base Inversionistas 26'!J51/$N$1</f>
        <v>0</v>
      </c>
      <c r="F48" s="129">
        <f>'[2]Base Inversionistas 26'!K51/$N$1</f>
        <v>0</v>
      </c>
      <c r="G48" s="129">
        <f>'[2]Base Inversionistas 26'!L51/$N$1</f>
        <v>0</v>
      </c>
      <c r="H48" s="129">
        <f>'[2]Base Inversionistas 26'!M51/$N$1</f>
        <v>0</v>
      </c>
      <c r="I48" s="129">
        <f>'[2]Base Inversionistas 26'!N51/$N$1</f>
        <v>1</v>
      </c>
      <c r="J48" s="129">
        <f>'[2]Base Inversionistas 26'!O51/$N$1</f>
        <v>0</v>
      </c>
      <c r="K48" s="129">
        <f>'[2]Base Inversionistas 26'!P51/$N$1</f>
        <v>2</v>
      </c>
      <c r="L48" s="129">
        <f>'[2]Base Inversionistas 26'!Q51/$N$1</f>
        <v>0</v>
      </c>
    </row>
    <row r="49" spans="1:12">
      <c r="A49" s="16" t="s">
        <v>122</v>
      </c>
      <c r="B49" s="16"/>
      <c r="C49" s="16"/>
      <c r="D49" s="12" t="s">
        <v>562</v>
      </c>
      <c r="E49" s="129">
        <f>'[2]Base Inversionistas 26'!J52/$N$1</f>
        <v>3</v>
      </c>
      <c r="F49" s="129">
        <f>'[2]Base Inversionistas 26'!K52/$N$1</f>
        <v>5</v>
      </c>
      <c r="G49" s="129">
        <f>'[2]Base Inversionistas 26'!L52/$N$1</f>
        <v>3</v>
      </c>
      <c r="H49" s="129">
        <f>'[2]Base Inversionistas 26'!M52/$N$1</f>
        <v>4.375</v>
      </c>
      <c r="I49" s="129">
        <f>'[2]Base Inversionistas 26'!N52/$N$1</f>
        <v>0</v>
      </c>
      <c r="J49" s="129">
        <f>'[2]Base Inversionistas 26'!O52/$N$1</f>
        <v>3.75</v>
      </c>
      <c r="K49" s="129">
        <f>'[2]Base Inversionistas 26'!P52/$N$1</f>
        <v>3</v>
      </c>
      <c r="L49" s="129">
        <f>'[2]Base Inversionistas 26'!Q52/$N$1</f>
        <v>0</v>
      </c>
    </row>
    <row r="50" spans="1:12">
      <c r="A50" s="16" t="s">
        <v>61</v>
      </c>
      <c r="B50" s="16"/>
      <c r="C50" s="16"/>
      <c r="D50" s="12" t="s">
        <v>164</v>
      </c>
      <c r="E50" s="129">
        <f>'[2]Base Inversionistas 26'!J53/$N$1</f>
        <v>0</v>
      </c>
      <c r="F50" s="129">
        <f>'[2]Base Inversionistas 26'!K53/$N$1</f>
        <v>0</v>
      </c>
      <c r="G50" s="129">
        <f>'[2]Base Inversionistas 26'!L53/$N$1</f>
        <v>0</v>
      </c>
      <c r="H50" s="129">
        <f>'[2]Base Inversionistas 26'!M53/$N$1</f>
        <v>6.1749999999999998</v>
      </c>
      <c r="I50" s="129">
        <f>'[2]Base Inversionistas 26'!N53/$N$1</f>
        <v>0</v>
      </c>
      <c r="J50" s="129">
        <f>'[2]Base Inversionistas 26'!O53/$N$1</f>
        <v>0</v>
      </c>
      <c r="K50" s="129">
        <f>'[2]Base Inversionistas 26'!P53/$N$1</f>
        <v>0</v>
      </c>
      <c r="L50" s="129">
        <f>'[2]Base Inversionistas 26'!Q53/$N$1</f>
        <v>0</v>
      </c>
    </row>
    <row r="51" spans="1:12">
      <c r="A51" s="16" t="s">
        <v>123</v>
      </c>
      <c r="B51" s="16">
        <v>11809146</v>
      </c>
      <c r="C51" s="16">
        <v>3136811706</v>
      </c>
      <c r="D51" s="12" t="s">
        <v>174</v>
      </c>
      <c r="E51" s="129">
        <f>'[2]Base Inversionistas 26'!J54/$N$1</f>
        <v>2</v>
      </c>
      <c r="F51" s="129">
        <f>'[2]Base Inversionistas 26'!K54/$N$1</f>
        <v>0</v>
      </c>
      <c r="G51" s="129">
        <f>'[2]Base Inversionistas 26'!L54/$N$1</f>
        <v>6</v>
      </c>
      <c r="H51" s="129">
        <f>'[2]Base Inversionistas 26'!M54/$N$1</f>
        <v>3</v>
      </c>
      <c r="I51" s="129">
        <f>'[2]Base Inversionistas 26'!N54/$N$1</f>
        <v>0</v>
      </c>
      <c r="J51" s="129">
        <f>'[2]Base Inversionistas 26'!O54/$N$1</f>
        <v>3</v>
      </c>
      <c r="K51" s="129">
        <f>'[2]Base Inversionistas 26'!P54/$N$1</f>
        <v>7</v>
      </c>
      <c r="L51" s="129">
        <f>'[2]Base Inversionistas 26'!Q54/$N$1</f>
        <v>4</v>
      </c>
    </row>
    <row r="52" spans="1:12">
      <c r="A52" s="16" t="s">
        <v>90</v>
      </c>
      <c r="B52" s="16"/>
      <c r="C52" s="16"/>
      <c r="D52" s="12" t="s">
        <v>165</v>
      </c>
      <c r="E52" s="129">
        <f>'[2]Base Inversionistas 26'!J55/$N$1</f>
        <v>1</v>
      </c>
      <c r="F52" s="129">
        <f>'[2]Base Inversionistas 26'!K55/$N$1</f>
        <v>1</v>
      </c>
      <c r="G52" s="129">
        <f>'[2]Base Inversionistas 26'!L55/$N$1</f>
        <v>0</v>
      </c>
      <c r="H52" s="129">
        <f>'[2]Base Inversionistas 26'!M55/$N$1</f>
        <v>0</v>
      </c>
      <c r="I52" s="129">
        <f>'[2]Base Inversionistas 26'!N55/$N$1</f>
        <v>1</v>
      </c>
      <c r="J52" s="129">
        <f>'[2]Base Inversionistas 26'!O55/$N$1</f>
        <v>0</v>
      </c>
      <c r="K52" s="129">
        <f>'[2]Base Inversionistas 26'!P55/$N$1</f>
        <v>0</v>
      </c>
      <c r="L52" s="129">
        <f>'[2]Base Inversionistas 26'!Q55/$N$1</f>
        <v>0</v>
      </c>
    </row>
    <row r="53" spans="1:12">
      <c r="A53" s="12" t="s">
        <v>47</v>
      </c>
      <c r="B53" s="12"/>
      <c r="C53" s="12"/>
      <c r="D53" s="12" t="s">
        <v>166</v>
      </c>
      <c r="E53" s="129">
        <f>'[2]Base Inversionistas 26'!J56/$N$1</f>
        <v>1</v>
      </c>
      <c r="F53" s="129">
        <f>'[2]Base Inversionistas 26'!K56/$N$1</f>
        <v>0</v>
      </c>
      <c r="G53" s="129">
        <f>'[2]Base Inversionistas 26'!L56/$N$1</f>
        <v>0</v>
      </c>
      <c r="H53" s="129">
        <f>'[2]Base Inversionistas 26'!M56/$N$1</f>
        <v>1</v>
      </c>
      <c r="I53" s="129">
        <f>'[2]Base Inversionistas 26'!N56/$N$1</f>
        <v>1</v>
      </c>
      <c r="J53" s="129">
        <f>'[2]Base Inversionistas 26'!O56/$N$1</f>
        <v>0</v>
      </c>
      <c r="K53" s="129">
        <f>'[2]Base Inversionistas 26'!P56/$N$1</f>
        <v>0</v>
      </c>
      <c r="L53" s="129">
        <f>'[2]Base Inversionistas 26'!Q56/$N$1</f>
        <v>1</v>
      </c>
    </row>
    <row r="54" spans="1:12">
      <c r="A54" s="16" t="s">
        <v>223</v>
      </c>
      <c r="B54" s="16"/>
      <c r="C54" s="16"/>
      <c r="D54" s="16" t="s">
        <v>561</v>
      </c>
      <c r="E54" s="129">
        <f>'[2]Base Inversionistas 26'!J57/$N$1</f>
        <v>0</v>
      </c>
      <c r="F54" s="129">
        <f>'[2]Base Inversionistas 26'!K57/$N$1</f>
        <v>0</v>
      </c>
      <c r="G54" s="129">
        <f>'[2]Base Inversionistas 26'!L57/$N$1</f>
        <v>1</v>
      </c>
      <c r="H54" s="129">
        <f>'[2]Base Inversionistas 26'!M57/$N$1</f>
        <v>0</v>
      </c>
      <c r="I54" s="129">
        <f>'[2]Base Inversionistas 26'!N57/$N$1</f>
        <v>0</v>
      </c>
      <c r="J54" s="129">
        <f>'[2]Base Inversionistas 26'!O57/$N$1</f>
        <v>0</v>
      </c>
      <c r="K54" s="129">
        <f>'[2]Base Inversionistas 26'!P57/$N$1</f>
        <v>0</v>
      </c>
      <c r="L54" s="129">
        <f>'[2]Base Inversionistas 26'!Q57/$N$1</f>
        <v>1</v>
      </c>
    </row>
    <row r="55" spans="1:12">
      <c r="A55" s="16" t="s">
        <v>124</v>
      </c>
      <c r="B55" s="16"/>
      <c r="C55" s="16"/>
      <c r="D55" s="12" t="s">
        <v>175</v>
      </c>
      <c r="E55" s="129">
        <f>'[2]Base Inversionistas 26'!J58/$N$1</f>
        <v>1.5</v>
      </c>
      <c r="F55" s="129">
        <f>'[2]Base Inversionistas 26'!K58/$N$1</f>
        <v>1.5</v>
      </c>
      <c r="G55" s="129">
        <f>'[2]Base Inversionistas 26'!L58/$N$1</f>
        <v>5</v>
      </c>
      <c r="H55" s="129">
        <f>'[2]Base Inversionistas 26'!M58/$N$1</f>
        <v>0</v>
      </c>
      <c r="I55" s="129">
        <f>'[2]Base Inversionistas 26'!N58/$N$1</f>
        <v>0</v>
      </c>
      <c r="J55" s="129">
        <f>'[2]Base Inversionistas 26'!O58/$N$1</f>
        <v>1.5</v>
      </c>
      <c r="K55" s="129">
        <f>'[2]Base Inversionistas 26'!P58/$N$1</f>
        <v>9</v>
      </c>
      <c r="L55" s="129">
        <f>'[2]Base Inversionistas 26'!Q58/$N$1</f>
        <v>9</v>
      </c>
    </row>
    <row r="56" spans="1:12">
      <c r="A56" s="16" t="s">
        <v>75</v>
      </c>
      <c r="B56" s="16" t="s">
        <v>534</v>
      </c>
      <c r="C56" s="16"/>
      <c r="D56" s="12" t="s">
        <v>168</v>
      </c>
      <c r="E56" s="129">
        <f>'[2]Base Inversionistas 26'!J59/$N$1</f>
        <v>0</v>
      </c>
      <c r="F56" s="129">
        <f>'[2]Base Inversionistas 26'!K59/$N$1</f>
        <v>3</v>
      </c>
      <c r="G56" s="129">
        <f>'[2]Base Inversionistas 26'!L59/$N$1</f>
        <v>5</v>
      </c>
      <c r="H56" s="129">
        <f>'[2]Base Inversionistas 26'!M59/$N$1</f>
        <v>4</v>
      </c>
      <c r="I56" s="129">
        <f>'[2]Base Inversionistas 26'!N59/$N$1</f>
        <v>0</v>
      </c>
      <c r="J56" s="129">
        <f>'[2]Base Inversionistas 26'!O59/$N$1</f>
        <v>2</v>
      </c>
      <c r="K56" s="129">
        <f>'[2]Base Inversionistas 26'!P59/$N$1</f>
        <v>3</v>
      </c>
      <c r="L56" s="129">
        <f>'[2]Base Inversionistas 26'!Q59/$N$1</f>
        <v>0</v>
      </c>
    </row>
    <row r="57" spans="1:12">
      <c r="A57" s="12" t="s">
        <v>125</v>
      </c>
      <c r="B57" s="12"/>
      <c r="C57" s="12"/>
      <c r="D57" s="12" t="s">
        <v>176</v>
      </c>
      <c r="E57" s="129">
        <f>'[2]Base Inversionistas 26'!J60/$N$1</f>
        <v>0</v>
      </c>
      <c r="F57" s="129">
        <f>'[2]Base Inversionistas 26'!K60/$N$1</f>
        <v>1</v>
      </c>
      <c r="G57" s="129">
        <f>'[2]Base Inversionistas 26'!L60/$N$1</f>
        <v>3</v>
      </c>
      <c r="H57" s="129">
        <f>'[2]Base Inversionistas 26'!M60/$N$1</f>
        <v>1</v>
      </c>
      <c r="I57" s="129">
        <f>'[2]Base Inversionistas 26'!N60/$N$1</f>
        <v>0</v>
      </c>
      <c r="J57" s="129">
        <f>'[2]Base Inversionistas 26'!O60/$N$1</f>
        <v>4</v>
      </c>
      <c r="K57" s="129">
        <f>'[2]Base Inversionistas 26'!P60/$N$1</f>
        <v>2.25</v>
      </c>
      <c r="L57" s="129">
        <f>'[2]Base Inversionistas 26'!Q60/$N$1</f>
        <v>1</v>
      </c>
    </row>
    <row r="58" spans="1:12">
      <c r="A58" s="16" t="s">
        <v>126</v>
      </c>
      <c r="B58" s="16">
        <v>900371129</v>
      </c>
      <c r="C58" s="16">
        <v>3216464514</v>
      </c>
      <c r="D58" s="12" t="s">
        <v>347</v>
      </c>
      <c r="E58" s="129">
        <f>'[2]Base Inversionistas 26'!J61/$N$1</f>
        <v>2</v>
      </c>
      <c r="F58" s="129">
        <f>'[2]Base Inversionistas 26'!K61/$N$1</f>
        <v>12</v>
      </c>
      <c r="G58" s="129">
        <f>'[2]Base Inversionistas 26'!L61/$N$1</f>
        <v>3</v>
      </c>
      <c r="H58" s="129">
        <f>'[2]Base Inversionistas 26'!M61/$N$1</f>
        <v>1</v>
      </c>
      <c r="I58" s="129">
        <f>'[2]Base Inversionistas 26'!N61/$N$1</f>
        <v>1</v>
      </c>
      <c r="J58" s="129">
        <f>'[2]Base Inversionistas 26'!O61/$N$1</f>
        <v>1</v>
      </c>
      <c r="K58" s="129">
        <f>'[2]Base Inversionistas 26'!P61/$N$1</f>
        <v>2</v>
      </c>
      <c r="L58" s="129">
        <f>'[2]Base Inversionistas 26'!Q61/$N$1</f>
        <v>0</v>
      </c>
    </row>
    <row r="59" spans="1:12">
      <c r="A59" s="12" t="s">
        <v>145</v>
      </c>
      <c r="B59" s="12"/>
      <c r="C59" s="12"/>
      <c r="D59" s="12" t="s">
        <v>182</v>
      </c>
      <c r="E59" s="129">
        <f>'[2]Base Inversionistas 26'!J62/$N$1</f>
        <v>0</v>
      </c>
      <c r="F59" s="129">
        <f>'[2]Base Inversionistas 26'!K62/$N$1</f>
        <v>0</v>
      </c>
      <c r="G59" s="129">
        <f>'[2]Base Inversionistas 26'!L62/$N$1</f>
        <v>0</v>
      </c>
      <c r="H59" s="129">
        <f>'[2]Base Inversionistas 26'!M62/$N$1</f>
        <v>0</v>
      </c>
      <c r="I59" s="129">
        <f>'[2]Base Inversionistas 26'!N62/$N$1</f>
        <v>0</v>
      </c>
      <c r="J59" s="129">
        <f>'[2]Base Inversionistas 26'!O62/$N$1</f>
        <v>0</v>
      </c>
      <c r="K59" s="129">
        <f>'[2]Base Inversionistas 26'!P62/$N$1</f>
        <v>0</v>
      </c>
      <c r="L59" s="129">
        <f>'[2]Base Inversionistas 26'!Q62/$N$1</f>
        <v>0</v>
      </c>
    </row>
    <row r="60" spans="1:12">
      <c r="A60" s="16" t="s">
        <v>108</v>
      </c>
      <c r="B60" s="16"/>
      <c r="C60" s="16"/>
      <c r="D60" s="12" t="s">
        <v>169</v>
      </c>
      <c r="E60" s="129">
        <f>'[2]Base Inversionistas 26'!J63/$N$1</f>
        <v>0</v>
      </c>
      <c r="F60" s="129">
        <f>'[2]Base Inversionistas 26'!K63/$N$1</f>
        <v>0.25</v>
      </c>
      <c r="G60" s="129">
        <f>'[2]Base Inversionistas 26'!L63/$N$1</f>
        <v>0</v>
      </c>
      <c r="H60" s="129">
        <f>'[2]Base Inversionistas 26'!M63/$N$1</f>
        <v>0.25</v>
      </c>
      <c r="I60" s="129">
        <f>'[2]Base Inversionistas 26'!N63/$N$1</f>
        <v>1</v>
      </c>
      <c r="J60" s="129">
        <f>'[2]Base Inversionistas 26'!O63/$N$1</f>
        <v>0</v>
      </c>
      <c r="K60" s="129">
        <f>'[2]Base Inversionistas 26'!P63/$N$1</f>
        <v>0</v>
      </c>
      <c r="L60" s="129">
        <f>'[2]Base Inversionistas 26'!Q63/$N$1</f>
        <v>0.6</v>
      </c>
    </row>
    <row r="61" spans="1:12">
      <c r="A61" s="16" t="s">
        <v>63</v>
      </c>
      <c r="B61" s="16"/>
      <c r="C61" s="16"/>
      <c r="D61" s="12" t="s">
        <v>170</v>
      </c>
      <c r="E61" s="129">
        <f>'[2]Base Inversionistas 26'!J64/$N$1</f>
        <v>1</v>
      </c>
      <c r="F61" s="129">
        <f>'[2]Base Inversionistas 26'!K64/$N$1</f>
        <v>1</v>
      </c>
      <c r="G61" s="129">
        <f>'[2]Base Inversionistas 26'!L64/$N$1</f>
        <v>0</v>
      </c>
      <c r="H61" s="129">
        <f>'[2]Base Inversionistas 26'!M64/$N$1</f>
        <v>1</v>
      </c>
      <c r="I61" s="129">
        <f>'[2]Base Inversionistas 26'!N64/$N$1</f>
        <v>0</v>
      </c>
      <c r="J61" s="129">
        <f>'[2]Base Inversionistas 26'!O64/$N$1</f>
        <v>0</v>
      </c>
      <c r="K61" s="129">
        <f>'[2]Base Inversionistas 26'!P64/$N$1</f>
        <v>0</v>
      </c>
      <c r="L61" s="129">
        <f>'[2]Base Inversionistas 26'!Q64/$N$1</f>
        <v>0</v>
      </c>
    </row>
    <row r="62" spans="1:12">
      <c r="A62" s="16" t="s">
        <v>127</v>
      </c>
      <c r="B62" s="16"/>
      <c r="C62" s="16"/>
      <c r="D62" s="12" t="s">
        <v>177</v>
      </c>
      <c r="E62" s="129">
        <f>'[2]Base Inversionistas 26'!J65/$N$1</f>
        <v>0</v>
      </c>
      <c r="F62" s="129">
        <f>'[2]Base Inversionistas 26'!K65/$N$1</f>
        <v>0</v>
      </c>
      <c r="G62" s="129">
        <f>'[2]Base Inversionistas 26'!L65/$N$1</f>
        <v>0</v>
      </c>
      <c r="H62" s="129">
        <f>'[2]Base Inversionistas 26'!M65/$N$1</f>
        <v>7</v>
      </c>
      <c r="I62" s="129">
        <f>'[2]Base Inversionistas 26'!N65/$N$1</f>
        <v>0</v>
      </c>
      <c r="J62" s="129">
        <f>'[2]Base Inversionistas 26'!O65/$N$1</f>
        <v>4</v>
      </c>
      <c r="K62" s="129">
        <f>'[2]Base Inversionistas 26'!P65/$N$1</f>
        <v>4</v>
      </c>
      <c r="L62" s="129">
        <f>'[2]Base Inversionistas 26'!Q65/$N$1</f>
        <v>4</v>
      </c>
    </row>
    <row r="63" spans="1:12">
      <c r="A63" s="16" t="s">
        <v>528</v>
      </c>
      <c r="B63" s="16" t="s">
        <v>701</v>
      </c>
      <c r="C63" s="16">
        <v>3233712038</v>
      </c>
      <c r="D63" s="12" t="s">
        <v>171</v>
      </c>
      <c r="E63" s="129">
        <f>'[2]Base Inversionistas 26'!J66/$N$1</f>
        <v>5.3250000000000002</v>
      </c>
      <c r="F63" s="129">
        <f>'[2]Base Inversionistas 26'!K66/$N$1</f>
        <v>5.3375000000000004</v>
      </c>
      <c r="G63" s="129">
        <f>'[2]Base Inversionistas 26'!L66/$N$1</f>
        <v>5.2</v>
      </c>
      <c r="H63" s="129">
        <f>'[2]Base Inversionistas 26'!M66/$N$1</f>
        <v>0</v>
      </c>
      <c r="I63" s="129">
        <f>'[2]Base Inversionistas 26'!N66/$N$1</f>
        <v>4.7750000000000004</v>
      </c>
      <c r="J63" s="129">
        <f>'[2]Base Inversionistas 26'!O66/$N$1</f>
        <v>5.1749999999999998</v>
      </c>
      <c r="K63" s="129">
        <f>'[2]Base Inversionistas 26'!P66/$N$1</f>
        <v>5.25</v>
      </c>
      <c r="L63" s="129">
        <f>'[2]Base Inversionistas 26'!Q66/$N$1</f>
        <v>4.75</v>
      </c>
    </row>
    <row r="64" spans="1:12">
      <c r="A64" s="16" t="s">
        <v>82</v>
      </c>
      <c r="B64" s="16"/>
      <c r="C64" s="16"/>
      <c r="D64" s="12" t="s">
        <v>172</v>
      </c>
      <c r="E64" s="129">
        <f>'[2]Base Inversionistas 26'!J67/$N$1</f>
        <v>1.425</v>
      </c>
      <c r="F64" s="129">
        <f>'[2]Base Inversionistas 26'!K67/$N$1</f>
        <v>1</v>
      </c>
      <c r="G64" s="129">
        <f>'[2]Base Inversionistas 26'!L67/$N$1</f>
        <v>0</v>
      </c>
      <c r="H64" s="129">
        <f>'[2]Base Inversionistas 26'!M67/$N$1</f>
        <v>0</v>
      </c>
      <c r="I64" s="129">
        <f>'[2]Base Inversionistas 26'!N67/$N$1</f>
        <v>0</v>
      </c>
      <c r="J64" s="129">
        <f>'[2]Base Inversionistas 26'!O67/$N$1</f>
        <v>0</v>
      </c>
      <c r="K64" s="129">
        <f>'[2]Base Inversionistas 26'!P67/$N$1</f>
        <v>1</v>
      </c>
      <c r="L64" s="129">
        <f>'[2]Base Inversionistas 26'!Q67/$N$1</f>
        <v>1</v>
      </c>
    </row>
    <row r="65" spans="1:12">
      <c r="A65" s="16" t="s">
        <v>95</v>
      </c>
      <c r="B65" s="16"/>
      <c r="C65" s="16"/>
      <c r="D65" s="12" t="s">
        <v>173</v>
      </c>
      <c r="E65" s="129">
        <f>'[2]Base Inversionistas 26'!J68/$N$1</f>
        <v>0</v>
      </c>
      <c r="F65" s="129">
        <f>'[2]Base Inversionistas 26'!K68/$N$1</f>
        <v>5.6356074999999999</v>
      </c>
      <c r="G65" s="129">
        <f>'[2]Base Inversionistas 26'!L68/$N$1</f>
        <v>0</v>
      </c>
      <c r="H65" s="129">
        <f>'[2]Base Inversionistas 26'!M68/$N$1</f>
        <v>0</v>
      </c>
      <c r="I65" s="129">
        <f>'[2]Base Inversionistas 26'!N68/$N$1</f>
        <v>0</v>
      </c>
      <c r="J65" s="129">
        <f>'[2]Base Inversionistas 26'!O68/$N$1</f>
        <v>0</v>
      </c>
      <c r="K65" s="129">
        <f>'[2]Base Inversionistas 26'!P68/$N$1</f>
        <v>0</v>
      </c>
      <c r="L65" s="129">
        <f>'[2]Base Inversionistas 26'!Q68/$N$1</f>
        <v>0</v>
      </c>
    </row>
    <row r="66" spans="1:12">
      <c r="A66" s="16" t="s">
        <v>128</v>
      </c>
      <c r="B66" s="16">
        <v>900384157</v>
      </c>
      <c r="C66" s="16">
        <v>3103160465</v>
      </c>
      <c r="D66" s="12" t="s">
        <v>178</v>
      </c>
      <c r="E66" s="129">
        <f>'[2]Base Inversionistas 26'!J69/$N$1</f>
        <v>12</v>
      </c>
      <c r="F66" s="129">
        <f>'[2]Base Inversionistas 26'!K69/$N$1</f>
        <v>13.6</v>
      </c>
      <c r="G66" s="129">
        <f>'[2]Base Inversionistas 26'!L69/$N$1</f>
        <v>12.5</v>
      </c>
      <c r="H66" s="129">
        <f>'[2]Base Inversionistas 26'!M69/$N$1</f>
        <v>15</v>
      </c>
      <c r="I66" s="129">
        <f>'[2]Base Inversionistas 26'!N69/$N$1</f>
        <v>0</v>
      </c>
      <c r="J66" s="129">
        <f>'[2]Base Inversionistas 26'!O69/$N$1</f>
        <v>12.65</v>
      </c>
      <c r="K66" s="129">
        <f>'[2]Base Inversionistas 26'!P69/$N$1</f>
        <v>10.75</v>
      </c>
      <c r="L66" s="129">
        <f>'[2]Base Inversionistas 26'!Q69/$N$1</f>
        <v>2.125</v>
      </c>
    </row>
    <row r="67" spans="1:12">
      <c r="A67" s="12" t="s">
        <v>129</v>
      </c>
      <c r="B67" s="12">
        <v>900406774</v>
      </c>
      <c r="C67" s="12"/>
      <c r="D67" s="12" t="s">
        <v>179</v>
      </c>
      <c r="E67" s="129">
        <f>'[2]Base Inversionistas 26'!J70/$N$1</f>
        <v>0</v>
      </c>
      <c r="F67" s="129">
        <f>'[2]Base Inversionistas 26'!K70/$N$1</f>
        <v>25.015000000000001</v>
      </c>
      <c r="G67" s="129">
        <f>'[2]Base Inversionistas 26'!L70/$N$1</f>
        <v>0</v>
      </c>
      <c r="H67" s="129">
        <f>'[2]Base Inversionistas 26'!M70/$N$1</f>
        <v>30</v>
      </c>
      <c r="I67" s="129">
        <f>'[2]Base Inversionistas 26'!N70/$N$1</f>
        <v>31</v>
      </c>
      <c r="J67" s="129">
        <f>'[2]Base Inversionistas 26'!O70/$N$1</f>
        <v>25.535</v>
      </c>
      <c r="K67" s="129">
        <f>'[2]Base Inversionistas 26'!P70/$N$1</f>
        <v>25</v>
      </c>
      <c r="L67" s="129">
        <f>'[2]Base Inversionistas 26'!Q70/$N$1</f>
        <v>27.5</v>
      </c>
    </row>
    <row r="68" spans="1:12">
      <c r="A68" s="12" t="s">
        <v>141</v>
      </c>
      <c r="B68" s="12"/>
      <c r="C68" s="12"/>
      <c r="D68" s="12" t="s">
        <v>181</v>
      </c>
      <c r="E68" s="129">
        <f>'[2]Base Inversionistas 26'!J71/$N$1</f>
        <v>0</v>
      </c>
      <c r="F68" s="129">
        <f>'[2]Base Inversionistas 26'!K71/$N$1</f>
        <v>0</v>
      </c>
      <c r="G68" s="129">
        <f>'[2]Base Inversionistas 26'!L71/$N$1</f>
        <v>0</v>
      </c>
      <c r="H68" s="129">
        <f>'[2]Base Inversionistas 26'!M71/$N$1</f>
        <v>0</v>
      </c>
      <c r="I68" s="129">
        <f>'[2]Base Inversionistas 26'!N71/$N$1</f>
        <v>0</v>
      </c>
      <c r="J68" s="129">
        <f>'[2]Base Inversionistas 26'!O71/$N$1</f>
        <v>0</v>
      </c>
      <c r="K68" s="129">
        <f>'[2]Base Inversionistas 26'!P71/$N$1</f>
        <v>0</v>
      </c>
      <c r="L68" s="129">
        <f>'[2]Base Inversionistas 26'!Q71/$N$1</f>
        <v>0</v>
      </c>
    </row>
    <row r="69" spans="1:12">
      <c r="A69" s="12" t="s">
        <v>215</v>
      </c>
      <c r="B69" s="12"/>
      <c r="C69" s="12"/>
      <c r="D69" s="12" t="s">
        <v>646</v>
      </c>
      <c r="E69" s="129">
        <f>'[2]Base Inversionistas 26'!J72/$N$1</f>
        <v>3</v>
      </c>
      <c r="F69" s="129">
        <f>'[2]Base Inversionistas 26'!K72/$N$1</f>
        <v>1</v>
      </c>
      <c r="G69" s="129">
        <f>'[2]Base Inversionistas 26'!L72/$N$1</f>
        <v>1</v>
      </c>
      <c r="H69" s="129">
        <f>'[2]Base Inversionistas 26'!M72/$N$1</f>
        <v>1</v>
      </c>
      <c r="I69" s="129">
        <f>'[2]Base Inversionistas 26'!N72/$N$1</f>
        <v>0</v>
      </c>
      <c r="J69" s="129">
        <f>'[2]Base Inversionistas 26'!O72/$N$1</f>
        <v>1</v>
      </c>
      <c r="K69" s="129">
        <f>'[2]Base Inversionistas 26'!P72/$N$1</f>
        <v>1</v>
      </c>
      <c r="L69" s="129">
        <f>'[2]Base Inversionistas 26'!Q72/$N$1</f>
        <v>0</v>
      </c>
    </row>
    <row r="70" spans="1:12">
      <c r="A70" s="16" t="s">
        <v>245</v>
      </c>
      <c r="B70" s="16"/>
      <c r="C70" s="16"/>
      <c r="D70" s="12" t="s">
        <v>158</v>
      </c>
      <c r="E70" s="129">
        <f>'[2]Base Inversionistas 26'!J73/$N$1</f>
        <v>0</v>
      </c>
      <c r="F70" s="129">
        <f>'[2]Base Inversionistas 26'!K73/$N$1</f>
        <v>0</v>
      </c>
      <c r="G70" s="129">
        <f>'[2]Base Inversionistas 26'!L73/$N$1</f>
        <v>1</v>
      </c>
      <c r="H70" s="129">
        <f>'[2]Base Inversionistas 26'!M73/$N$1</f>
        <v>0</v>
      </c>
      <c r="I70" s="129">
        <f>'[2]Base Inversionistas 26'!N73/$N$1</f>
        <v>0</v>
      </c>
      <c r="J70" s="129">
        <f>'[2]Base Inversionistas 26'!O73/$N$1</f>
        <v>0</v>
      </c>
      <c r="K70" s="129">
        <f>'[2]Base Inversionistas 26'!P73/$N$1</f>
        <v>2</v>
      </c>
      <c r="L70" s="129">
        <f>'[2]Base Inversionistas 26'!Q73/$N$1</f>
        <v>1</v>
      </c>
    </row>
    <row r="71" spans="1:12">
      <c r="A71" s="12" t="s">
        <v>210</v>
      </c>
      <c r="B71" s="12"/>
      <c r="C71" s="12"/>
      <c r="D71" s="12" t="s">
        <v>237</v>
      </c>
      <c r="E71" s="129">
        <f>'[2]Base Inversionistas 26'!J74/$N$1</f>
        <v>0</v>
      </c>
      <c r="F71" s="129">
        <f>'[2]Base Inversionistas 26'!K74/$N$1</f>
        <v>0</v>
      </c>
      <c r="G71" s="129">
        <f>'[2]Base Inversionistas 26'!L74/$N$1</f>
        <v>0</v>
      </c>
      <c r="H71" s="129">
        <f>'[2]Base Inversionistas 26'!M74/$N$1</f>
        <v>0</v>
      </c>
      <c r="I71" s="129">
        <f>'[2]Base Inversionistas 26'!N74/$N$1</f>
        <v>0</v>
      </c>
      <c r="J71" s="129">
        <f>'[2]Base Inversionistas 26'!O74/$N$1</f>
        <v>0</v>
      </c>
      <c r="K71" s="129">
        <f>'[2]Base Inversionistas 26'!P74/$N$1</f>
        <v>2</v>
      </c>
      <c r="L71" s="129">
        <f>'[2]Base Inversionistas 26'!Q74/$N$1</f>
        <v>0</v>
      </c>
    </row>
    <row r="72" spans="1:12">
      <c r="A72" s="12" t="s">
        <v>211</v>
      </c>
      <c r="B72" s="12"/>
      <c r="C72" s="12"/>
      <c r="D72" s="12" t="s">
        <v>539</v>
      </c>
      <c r="E72" s="129">
        <f>'[2]Base Inversionistas 26'!J75/$N$1</f>
        <v>0</v>
      </c>
      <c r="F72" s="129">
        <f>'[2]Base Inversionistas 26'!K75/$N$1</f>
        <v>5</v>
      </c>
      <c r="G72" s="129">
        <f>'[2]Base Inversionistas 26'!L75/$N$1</f>
        <v>2</v>
      </c>
      <c r="H72" s="129">
        <f>'[2]Base Inversionistas 26'!M75/$N$1</f>
        <v>0</v>
      </c>
      <c r="I72" s="129">
        <f>'[2]Base Inversionistas 26'!N75/$N$1</f>
        <v>5</v>
      </c>
      <c r="J72" s="129">
        <f>'[2]Base Inversionistas 26'!O75/$N$1</f>
        <v>6</v>
      </c>
      <c r="K72" s="129">
        <f>'[2]Base Inversionistas 26'!P75/$N$1</f>
        <v>6</v>
      </c>
      <c r="L72" s="129">
        <f>'[2]Base Inversionistas 26'!Q75/$N$1</f>
        <v>5</v>
      </c>
    </row>
    <row r="73" spans="1:12">
      <c r="A73" s="12" t="s">
        <v>212</v>
      </c>
      <c r="B73" s="12" t="s">
        <v>443</v>
      </c>
      <c r="C73" s="12">
        <v>3222616473</v>
      </c>
      <c r="D73" s="12" t="s">
        <v>239</v>
      </c>
      <c r="E73" s="129">
        <f>'[2]Base Inversionistas 26'!J76/$N$1</f>
        <v>2</v>
      </c>
      <c r="F73" s="129">
        <f>'[2]Base Inversionistas 26'!K76/$N$1</f>
        <v>2</v>
      </c>
      <c r="G73" s="129">
        <f>'[2]Base Inversionistas 26'!L76/$N$1</f>
        <v>2</v>
      </c>
      <c r="H73" s="129">
        <f>'[2]Base Inversionistas 26'!M76/$N$1</f>
        <v>2</v>
      </c>
      <c r="I73" s="129">
        <f>'[2]Base Inversionistas 26'!N76/$N$1</f>
        <v>2</v>
      </c>
      <c r="J73" s="129">
        <f>'[2]Base Inversionistas 26'!O76/$N$1</f>
        <v>2</v>
      </c>
      <c r="K73" s="129">
        <f>'[2]Base Inversionistas 26'!P76/$N$1</f>
        <v>2</v>
      </c>
      <c r="L73" s="129">
        <f>'[2]Base Inversionistas 26'!Q76/$N$1</f>
        <v>3</v>
      </c>
    </row>
    <row r="74" spans="1:12">
      <c r="A74" s="12" t="s">
        <v>213</v>
      </c>
      <c r="B74" s="12"/>
      <c r="C74" s="12"/>
      <c r="D74" s="12" t="s">
        <v>620</v>
      </c>
      <c r="E74" s="129">
        <f>'[2]Base Inversionistas 26'!J77/$N$1</f>
        <v>18</v>
      </c>
      <c r="F74" s="129">
        <f>'[2]Base Inversionistas 26'!K77/$N$1</f>
        <v>0</v>
      </c>
      <c r="G74" s="129">
        <f>'[2]Base Inversionistas 26'!L77/$N$1</f>
        <v>0</v>
      </c>
      <c r="H74" s="129">
        <f>'[2]Base Inversionistas 26'!M77/$N$1</f>
        <v>0</v>
      </c>
      <c r="I74" s="129">
        <f>'[2]Base Inversionistas 26'!N77/$N$1</f>
        <v>0</v>
      </c>
      <c r="J74" s="129">
        <f>'[2]Base Inversionistas 26'!O77/$N$1</f>
        <v>20</v>
      </c>
      <c r="K74" s="129">
        <f>'[2]Base Inversionistas 26'!P77/$N$1</f>
        <v>20</v>
      </c>
      <c r="L74" s="129">
        <f>'[2]Base Inversionistas 26'!Q77/$N$1</f>
        <v>0</v>
      </c>
    </row>
    <row r="75" spans="1:12">
      <c r="A75" s="12" t="s">
        <v>34</v>
      </c>
      <c r="B75" s="12"/>
      <c r="C75" s="12"/>
      <c r="D75" s="12" t="s">
        <v>257</v>
      </c>
      <c r="E75" s="129">
        <f>'[2]Base Inversionistas 26'!J78/$N$1</f>
        <v>0</v>
      </c>
      <c r="F75" s="129">
        <f>'[2]Base Inversionistas 26'!K78/$N$1</f>
        <v>0</v>
      </c>
      <c r="G75" s="129">
        <f>'[2]Base Inversionistas 26'!L78/$N$1</f>
        <v>0</v>
      </c>
      <c r="H75" s="129">
        <f>'[2]Base Inversionistas 26'!M78/$N$1</f>
        <v>0</v>
      </c>
      <c r="I75" s="129">
        <f>'[2]Base Inversionistas 26'!N78/$N$1</f>
        <v>0</v>
      </c>
      <c r="J75" s="129">
        <f>'[2]Base Inversionistas 26'!O78/$N$1</f>
        <v>0</v>
      </c>
      <c r="K75" s="129">
        <f>'[2]Base Inversionistas 26'!P78/$N$1</f>
        <v>0</v>
      </c>
      <c r="L75" s="129">
        <f>'[2]Base Inversionistas 26'!Q78/$N$1</f>
        <v>0</v>
      </c>
    </row>
    <row r="76" spans="1:12">
      <c r="A76" s="12" t="s">
        <v>41</v>
      </c>
      <c r="B76" s="12"/>
      <c r="C76" s="12"/>
      <c r="D76" s="12" t="s">
        <v>561</v>
      </c>
      <c r="E76" s="129">
        <f>'[2]Base Inversionistas 26'!J79/$N$1</f>
        <v>0</v>
      </c>
      <c r="F76" s="129">
        <f>'[2]Base Inversionistas 26'!K79/$N$1</f>
        <v>0</v>
      </c>
      <c r="G76" s="129">
        <f>'[2]Base Inversionistas 26'!L79/$N$1</f>
        <v>0</v>
      </c>
      <c r="H76" s="129">
        <f>'[2]Base Inversionistas 26'!M79/$N$1</f>
        <v>0</v>
      </c>
      <c r="I76" s="129">
        <f>'[2]Base Inversionistas 26'!N79/$N$1</f>
        <v>0</v>
      </c>
      <c r="J76" s="129">
        <f>'[2]Base Inversionistas 26'!O79/$N$1</f>
        <v>0</v>
      </c>
      <c r="K76" s="129">
        <f>'[2]Base Inversionistas 26'!P79/$N$1</f>
        <v>0</v>
      </c>
      <c r="L76" s="129">
        <f>'[2]Base Inversionistas 26'!Q79/$N$1</f>
        <v>0</v>
      </c>
    </row>
    <row r="77" spans="1:12">
      <c r="A77" s="12" t="s">
        <v>35</v>
      </c>
      <c r="B77" s="12"/>
      <c r="C77" s="12"/>
      <c r="D77" s="12" t="s">
        <v>257</v>
      </c>
      <c r="E77" s="129">
        <f>'[2]Base Inversionistas 26'!J80/$N$1</f>
        <v>0</v>
      </c>
      <c r="F77" s="129">
        <f>'[2]Base Inversionistas 26'!K80/$N$1</f>
        <v>0</v>
      </c>
      <c r="G77" s="129">
        <f>'[2]Base Inversionistas 26'!L80/$N$1</f>
        <v>0</v>
      </c>
      <c r="H77" s="129">
        <f>'[2]Base Inversionistas 26'!M80/$N$1</f>
        <v>0</v>
      </c>
      <c r="I77" s="129">
        <f>'[2]Base Inversionistas 26'!N80/$N$1</f>
        <v>0</v>
      </c>
      <c r="J77" s="129">
        <f>'[2]Base Inversionistas 26'!O80/$N$1</f>
        <v>0</v>
      </c>
      <c r="K77" s="129">
        <f>'[2]Base Inversionistas 26'!P80/$N$1</f>
        <v>0</v>
      </c>
      <c r="L77" s="129">
        <f>'[2]Base Inversionistas 26'!Q80/$N$1</f>
        <v>0</v>
      </c>
    </row>
    <row r="78" spans="1:12">
      <c r="A78" s="16" t="s">
        <v>83</v>
      </c>
      <c r="B78" s="16"/>
      <c r="C78" s="16"/>
      <c r="D78" s="12" t="s">
        <v>561</v>
      </c>
      <c r="E78" s="129">
        <f>'[2]Base Inversionistas 26'!J81/$N$1</f>
        <v>0</v>
      </c>
      <c r="F78" s="129">
        <f>'[2]Base Inversionistas 26'!K81/$N$1</f>
        <v>0</v>
      </c>
      <c r="G78" s="129">
        <f>'[2]Base Inversionistas 26'!L81/$N$1</f>
        <v>0</v>
      </c>
      <c r="H78" s="129">
        <f>'[2]Base Inversionistas 26'!M81/$N$1</f>
        <v>1.0524549999999999</v>
      </c>
      <c r="I78" s="129">
        <f>'[2]Base Inversionistas 26'!N81/$N$1</f>
        <v>0</v>
      </c>
      <c r="J78" s="129">
        <f>'[2]Base Inversionistas 26'!O81/$N$1</f>
        <v>0</v>
      </c>
      <c r="K78" s="129">
        <f>'[2]Base Inversionistas 26'!P81/$N$1</f>
        <v>0</v>
      </c>
      <c r="L78" s="129">
        <f>'[2]Base Inversionistas 26'!Q81/$N$1</f>
        <v>0</v>
      </c>
    </row>
    <row r="79" spans="1:12">
      <c r="A79" s="16" t="s">
        <v>67</v>
      </c>
      <c r="B79" s="12">
        <v>1093783625</v>
      </c>
      <c r="C79" s="16">
        <v>3223202421</v>
      </c>
      <c r="D79" s="12" t="s">
        <v>239</v>
      </c>
      <c r="E79" s="129">
        <f>'[2]Base Inversionistas 26'!J82/$N$1</f>
        <v>1</v>
      </c>
      <c r="F79" s="129">
        <f>'[2]Base Inversionistas 26'!K82/$N$1</f>
        <v>4</v>
      </c>
      <c r="G79" s="129">
        <f>'[2]Base Inversionistas 26'!L82/$N$1</f>
        <v>2</v>
      </c>
      <c r="H79" s="129">
        <f>'[2]Base Inversionistas 26'!M82/$N$1</f>
        <v>3</v>
      </c>
      <c r="I79" s="129">
        <f>'[2]Base Inversionistas 26'!N82/$N$1</f>
        <v>3</v>
      </c>
      <c r="J79" s="129">
        <f>'[2]Base Inversionistas 26'!O82/$N$1</f>
        <v>3</v>
      </c>
      <c r="K79" s="129">
        <f>'[2]Base Inversionistas 26'!P82/$N$1</f>
        <v>3</v>
      </c>
      <c r="L79" s="129">
        <f>'[2]Base Inversionistas 26'!Q82/$N$1</f>
        <v>3</v>
      </c>
    </row>
    <row r="80" spans="1:12">
      <c r="A80" s="16" t="s">
        <v>97</v>
      </c>
      <c r="B80" s="16">
        <v>79477468</v>
      </c>
      <c r="C80" s="16">
        <v>3185861284</v>
      </c>
      <c r="D80" s="12" t="s">
        <v>472</v>
      </c>
      <c r="E80" s="129">
        <f>'[2]Base Inversionistas 26'!J83/$N$1</f>
        <v>1</v>
      </c>
      <c r="F80" s="129">
        <f>'[2]Base Inversionistas 26'!K83/$N$1</f>
        <v>1</v>
      </c>
      <c r="G80" s="129">
        <f>'[2]Base Inversionistas 26'!L83/$N$1</f>
        <v>0.75</v>
      </c>
      <c r="H80" s="129">
        <f>'[2]Base Inversionistas 26'!M83/$N$1</f>
        <v>0</v>
      </c>
      <c r="I80" s="129">
        <f>'[2]Base Inversionistas 26'!N83/$N$1</f>
        <v>0.75</v>
      </c>
      <c r="J80" s="129">
        <f>'[2]Base Inversionistas 26'!O83/$N$1</f>
        <v>0.75</v>
      </c>
      <c r="K80" s="129">
        <f>'[2]Base Inversionistas 26'!P83/$N$1</f>
        <v>1</v>
      </c>
      <c r="L80" s="129">
        <f>'[2]Base Inversionistas 26'!Q83/$N$1</f>
        <v>0.75</v>
      </c>
    </row>
    <row r="81" spans="1:12">
      <c r="A81" s="12" t="s">
        <v>37</v>
      </c>
      <c r="B81" s="12">
        <v>12135690</v>
      </c>
      <c r="C81" s="12"/>
      <c r="D81" s="12" t="s">
        <v>175</v>
      </c>
      <c r="E81" s="129">
        <f>'[2]Base Inversionistas 26'!J84/$N$1</f>
        <v>1.0024999999999999</v>
      </c>
      <c r="F81" s="129">
        <f>'[2]Base Inversionistas 26'!K84/$N$1</f>
        <v>0</v>
      </c>
      <c r="G81" s="129">
        <f>'[2]Base Inversionistas 26'!L84/$N$1</f>
        <v>0</v>
      </c>
      <c r="H81" s="129">
        <f>'[2]Base Inversionistas 26'!M84/$N$1</f>
        <v>2.5</v>
      </c>
      <c r="I81" s="129">
        <f>'[2]Base Inversionistas 26'!N84/$N$1</f>
        <v>0</v>
      </c>
      <c r="J81" s="129">
        <f>'[2]Base Inversionistas 26'!O84/$N$1</f>
        <v>1</v>
      </c>
      <c r="K81" s="129">
        <f>'[2]Base Inversionistas 26'!P84/$N$1</f>
        <v>2</v>
      </c>
      <c r="L81" s="129">
        <f>'[2]Base Inversionistas 26'!Q84/$N$1</f>
        <v>0</v>
      </c>
    </row>
    <row r="82" spans="1:12">
      <c r="A82" s="16" t="s">
        <v>100</v>
      </c>
      <c r="B82" s="16"/>
      <c r="C82" s="16"/>
      <c r="D82" s="12" t="s">
        <v>561</v>
      </c>
      <c r="E82" s="129">
        <f>'[2]Base Inversionistas 26'!J85/$N$1</f>
        <v>0</v>
      </c>
      <c r="F82" s="129">
        <f>'[2]Base Inversionistas 26'!K85/$N$1</f>
        <v>0</v>
      </c>
      <c r="G82" s="129">
        <f>'[2]Base Inversionistas 26'!L85/$N$1</f>
        <v>0</v>
      </c>
      <c r="H82" s="129">
        <f>'[2]Base Inversionistas 26'!M85/$N$1</f>
        <v>0</v>
      </c>
      <c r="I82" s="129">
        <f>'[2]Base Inversionistas 26'!N85/$N$1</f>
        <v>0</v>
      </c>
      <c r="J82" s="129">
        <f>'[2]Base Inversionistas 26'!O85/$N$1</f>
        <v>0</v>
      </c>
      <c r="K82" s="129">
        <f>'[2]Base Inversionistas 26'!P85/$N$1</f>
        <v>0</v>
      </c>
      <c r="L82" s="129">
        <f>'[2]Base Inversionistas 26'!Q85/$N$1</f>
        <v>0</v>
      </c>
    </row>
    <row r="83" spans="1:12">
      <c r="A83" s="12" t="s">
        <v>138</v>
      </c>
      <c r="B83" s="12">
        <v>1128400756</v>
      </c>
      <c r="C83" s="12">
        <v>3043640493</v>
      </c>
      <c r="D83" s="12" t="s">
        <v>253</v>
      </c>
      <c r="E83" s="129">
        <f>'[2]Base Inversionistas 26'!J86/$N$1</f>
        <v>0</v>
      </c>
      <c r="F83" s="129">
        <f>'[2]Base Inversionistas 26'!K86/$N$1</f>
        <v>0</v>
      </c>
      <c r="G83" s="129">
        <f>'[2]Base Inversionistas 26'!L86/$N$1</f>
        <v>0</v>
      </c>
      <c r="H83" s="129">
        <f>'[2]Base Inversionistas 26'!M86/$N$1</f>
        <v>1</v>
      </c>
      <c r="I83" s="129">
        <f>'[2]Base Inversionistas 26'!N86/$N$1</f>
        <v>0</v>
      </c>
      <c r="J83" s="129">
        <f>'[2]Base Inversionistas 26'!O86/$N$1</f>
        <v>0</v>
      </c>
      <c r="K83" s="129">
        <f>'[2]Base Inversionistas 26'!P86/$N$1</f>
        <v>0</v>
      </c>
      <c r="L83" s="129">
        <f>'[2]Base Inversionistas 26'!Q86/$N$1</f>
        <v>0</v>
      </c>
    </row>
    <row r="84" spans="1:12">
      <c r="A84" s="12" t="s">
        <v>191</v>
      </c>
      <c r="B84" s="12"/>
      <c r="C84" s="12"/>
      <c r="D84" s="12"/>
      <c r="E84" s="129">
        <f>'[2]Base Inversionistas 26'!J87/$N$1</f>
        <v>0</v>
      </c>
      <c r="F84" s="129">
        <f>'[2]Base Inversionistas 26'!K87/$N$1</f>
        <v>0</v>
      </c>
      <c r="G84" s="129">
        <f>'[2]Base Inversionistas 26'!L87/$N$1</f>
        <v>0</v>
      </c>
      <c r="H84" s="129">
        <f>'[2]Base Inversionistas 26'!M87/$N$1</f>
        <v>0</v>
      </c>
      <c r="I84" s="129">
        <f>'[2]Base Inversionistas 26'!N87/$N$1</f>
        <v>0</v>
      </c>
      <c r="J84" s="129">
        <f>'[2]Base Inversionistas 26'!O87/$N$1</f>
        <v>0</v>
      </c>
      <c r="K84" s="129">
        <f>'[2]Base Inversionistas 26'!P87/$N$1</f>
        <v>0</v>
      </c>
      <c r="L84" s="129">
        <f>'[2]Base Inversionistas 26'!Q87/$N$1</f>
        <v>0</v>
      </c>
    </row>
    <row r="85" spans="1:12">
      <c r="A85" s="12" t="s">
        <v>134</v>
      </c>
      <c r="B85" s="12">
        <v>13838106</v>
      </c>
      <c r="C85" s="12">
        <v>3158359949</v>
      </c>
      <c r="D85" s="12" t="s">
        <v>547</v>
      </c>
      <c r="E85" s="129">
        <f>'[2]Base Inversionistas 26'!J88/$N$1</f>
        <v>0</v>
      </c>
      <c r="F85" s="129">
        <f>'[2]Base Inversionistas 26'!K88/$N$1</f>
        <v>0</v>
      </c>
      <c r="G85" s="129">
        <f>'[2]Base Inversionistas 26'!L88/$N$1</f>
        <v>0</v>
      </c>
      <c r="H85" s="129">
        <f>'[2]Base Inversionistas 26'!M88/$N$1</f>
        <v>0</v>
      </c>
      <c r="I85" s="129">
        <f>'[2]Base Inversionistas 26'!N88/$N$1</f>
        <v>0</v>
      </c>
      <c r="J85" s="129">
        <f>'[2]Base Inversionistas 26'!O88/$N$1</f>
        <v>0</v>
      </c>
      <c r="K85" s="129">
        <f>'[2]Base Inversionistas 26'!P88/$N$1</f>
        <v>0</v>
      </c>
      <c r="L85" s="129">
        <f>'[2]Base Inversionistas 26'!Q88/$N$1</f>
        <v>0</v>
      </c>
    </row>
    <row r="86" spans="1:12">
      <c r="A86" s="16" t="s">
        <v>80</v>
      </c>
      <c r="B86" s="16">
        <v>91249777</v>
      </c>
      <c r="C86" s="16"/>
      <c r="D86" s="12"/>
      <c r="E86" s="129">
        <f>'[2]Base Inversionistas 26'!J89/$N$1</f>
        <v>0</v>
      </c>
      <c r="F86" s="129">
        <f>'[2]Base Inversionistas 26'!K89/$N$1</f>
        <v>0</v>
      </c>
      <c r="G86" s="129">
        <f>'[2]Base Inversionistas 26'!L89/$N$1</f>
        <v>0</v>
      </c>
      <c r="H86" s="129">
        <f>'[2]Base Inversionistas 26'!M89/$N$1</f>
        <v>0</v>
      </c>
      <c r="I86" s="129">
        <f>'[2]Base Inversionistas 26'!N89/$N$1</f>
        <v>0</v>
      </c>
      <c r="J86" s="129">
        <f>'[2]Base Inversionistas 26'!O89/$N$1</f>
        <v>0</v>
      </c>
      <c r="K86" s="129">
        <f>'[2]Base Inversionistas 26'!P89/$N$1</f>
        <v>0</v>
      </c>
      <c r="L86" s="129">
        <f>'[2]Base Inversionistas 26'!Q89/$N$1</f>
        <v>0</v>
      </c>
    </row>
    <row r="87" spans="1:12">
      <c r="A87" s="16" t="s">
        <v>78</v>
      </c>
      <c r="B87" s="16"/>
      <c r="C87" s="16"/>
      <c r="D87" s="12"/>
      <c r="E87" s="129">
        <f>'[2]Base Inversionistas 26'!J90/$N$1</f>
        <v>0</v>
      </c>
      <c r="F87" s="129">
        <f>'[2]Base Inversionistas 26'!K90/$N$1</f>
        <v>0</v>
      </c>
      <c r="G87" s="129">
        <f>'[2]Base Inversionistas 26'!L90/$N$1</f>
        <v>0</v>
      </c>
      <c r="H87" s="129">
        <f>'[2]Base Inversionistas 26'!M90/$N$1</f>
        <v>0</v>
      </c>
      <c r="I87" s="129">
        <f>'[2]Base Inversionistas 26'!N90/$N$1</f>
        <v>0</v>
      </c>
      <c r="J87" s="129">
        <f>'[2]Base Inversionistas 26'!O90/$N$1</f>
        <v>0</v>
      </c>
      <c r="K87" s="129">
        <f>'[2]Base Inversionistas 26'!P90/$N$1</f>
        <v>0</v>
      </c>
      <c r="L87" s="129">
        <f>'[2]Base Inversionistas 26'!Q90/$N$1</f>
        <v>0</v>
      </c>
    </row>
    <row r="88" spans="1:12">
      <c r="A88" s="16" t="s">
        <v>68</v>
      </c>
      <c r="B88" s="16"/>
      <c r="C88" s="16"/>
      <c r="D88" s="12"/>
      <c r="E88" s="129">
        <f>'[2]Base Inversionistas 26'!J91/$N$1</f>
        <v>0</v>
      </c>
      <c r="F88" s="129">
        <f>'[2]Base Inversionistas 26'!K91/$N$1</f>
        <v>0</v>
      </c>
      <c r="G88" s="129">
        <f>'[2]Base Inversionistas 26'!L91/$N$1</f>
        <v>0</v>
      </c>
      <c r="H88" s="129">
        <f>'[2]Base Inversionistas 26'!M91/$N$1</f>
        <v>0</v>
      </c>
      <c r="I88" s="129">
        <f>'[2]Base Inversionistas 26'!N91/$N$1</f>
        <v>0</v>
      </c>
      <c r="J88" s="129">
        <f>'[2]Base Inversionistas 26'!O91/$N$1</f>
        <v>0</v>
      </c>
      <c r="K88" s="129">
        <f>'[2]Base Inversionistas 26'!P91/$N$1</f>
        <v>0</v>
      </c>
      <c r="L88" s="129">
        <f>'[2]Base Inversionistas 26'!Q91/$N$1</f>
        <v>0</v>
      </c>
    </row>
    <row r="89" spans="1:12">
      <c r="A89" s="16" t="s">
        <v>52</v>
      </c>
      <c r="B89" s="16">
        <v>15374739</v>
      </c>
      <c r="C89" s="16"/>
      <c r="D89" s="12" t="s">
        <v>253</v>
      </c>
      <c r="E89" s="129">
        <f>'[2]Base Inversionistas 26'!J92/$N$1</f>
        <v>0</v>
      </c>
      <c r="F89" s="129">
        <f>'[2]Base Inversionistas 26'!K92/$N$1</f>
        <v>0</v>
      </c>
      <c r="G89" s="129">
        <f>'[2]Base Inversionistas 26'!L92/$N$1</f>
        <v>2</v>
      </c>
      <c r="H89" s="129">
        <f>'[2]Base Inversionistas 26'!M92/$N$1</f>
        <v>1</v>
      </c>
      <c r="I89" s="129">
        <f>'[2]Base Inversionistas 26'!N92/$N$1</f>
        <v>0</v>
      </c>
      <c r="J89" s="129">
        <f>'[2]Base Inversionistas 26'!O92/$N$1</f>
        <v>1</v>
      </c>
      <c r="K89" s="129">
        <f>'[2]Base Inversionistas 26'!P92/$N$1</f>
        <v>0</v>
      </c>
      <c r="L89" s="129">
        <f>'[2]Base Inversionistas 26'!Q92/$N$1</f>
        <v>0</v>
      </c>
    </row>
    <row r="90" spans="1:12">
      <c r="A90" s="12" t="s">
        <v>48</v>
      </c>
      <c r="B90" s="12"/>
      <c r="C90" s="12"/>
      <c r="D90" s="12"/>
      <c r="E90" s="129">
        <f>'[2]Base Inversionistas 26'!J93/$N$1</f>
        <v>0</v>
      </c>
      <c r="F90" s="129">
        <f>'[2]Base Inversionistas 26'!K93/$N$1</f>
        <v>0</v>
      </c>
      <c r="G90" s="129">
        <f>'[2]Base Inversionistas 26'!L93/$N$1</f>
        <v>0</v>
      </c>
      <c r="H90" s="129">
        <f>'[2]Base Inversionistas 26'!M93/$N$1</f>
        <v>0</v>
      </c>
      <c r="I90" s="129">
        <f>'[2]Base Inversionistas 26'!N93/$N$1</f>
        <v>0</v>
      </c>
      <c r="J90" s="129">
        <f>'[2]Base Inversionistas 26'!O93/$N$1</f>
        <v>0</v>
      </c>
      <c r="K90" s="129">
        <f>'[2]Base Inversionistas 26'!P93/$N$1</f>
        <v>0</v>
      </c>
      <c r="L90" s="129">
        <f>'[2]Base Inversionistas 26'!Q93/$N$1</f>
        <v>0</v>
      </c>
    </row>
    <row r="91" spans="1:12">
      <c r="A91" s="12" t="s">
        <v>45</v>
      </c>
      <c r="B91" s="12"/>
      <c r="C91" s="12"/>
      <c r="D91" s="12"/>
      <c r="E91" s="129">
        <f>'[2]Base Inversionistas 26'!J94/$N$1</f>
        <v>0</v>
      </c>
      <c r="F91" s="129">
        <f>'[2]Base Inversionistas 26'!K94/$N$1</f>
        <v>0</v>
      </c>
      <c r="G91" s="129">
        <f>'[2]Base Inversionistas 26'!L94/$N$1</f>
        <v>0</v>
      </c>
      <c r="H91" s="129">
        <f>'[2]Base Inversionistas 26'!M94/$N$1</f>
        <v>0</v>
      </c>
      <c r="I91" s="129">
        <f>'[2]Base Inversionistas 26'!N94/$N$1</f>
        <v>0</v>
      </c>
      <c r="J91" s="129">
        <f>'[2]Base Inversionistas 26'!O94/$N$1</f>
        <v>0</v>
      </c>
      <c r="K91" s="129">
        <f>'[2]Base Inversionistas 26'!P94/$N$1</f>
        <v>0</v>
      </c>
      <c r="L91" s="129">
        <f>'[2]Base Inversionistas 26'!Q94/$N$1</f>
        <v>0</v>
      </c>
    </row>
    <row r="92" spans="1:12">
      <c r="A92" s="12" t="s">
        <v>24</v>
      </c>
      <c r="B92" s="12">
        <v>1077426534</v>
      </c>
      <c r="C92" s="12">
        <v>3113654554</v>
      </c>
      <c r="D92" s="12" t="s">
        <v>347</v>
      </c>
      <c r="E92" s="129">
        <f>'[2]Base Inversionistas 26'!J95/$N$1</f>
        <v>0</v>
      </c>
      <c r="F92" s="129">
        <f>'[2]Base Inversionistas 26'!K95/$N$1</f>
        <v>0</v>
      </c>
      <c r="G92" s="129">
        <f>'[2]Base Inversionistas 26'!L95/$N$1</f>
        <v>0</v>
      </c>
      <c r="H92" s="129">
        <f>'[2]Base Inversionistas 26'!M95/$N$1</f>
        <v>2</v>
      </c>
      <c r="I92" s="129">
        <f>'[2]Base Inversionistas 26'!N95/$N$1</f>
        <v>0</v>
      </c>
      <c r="J92" s="129">
        <f>'[2]Base Inversionistas 26'!O95/$N$1</f>
        <v>0</v>
      </c>
      <c r="K92" s="129">
        <f>'[2]Base Inversionistas 26'!P95/$N$1</f>
        <v>0</v>
      </c>
      <c r="L92" s="129">
        <f>'[2]Base Inversionistas 26'!Q95/$N$1</f>
        <v>0</v>
      </c>
    </row>
    <row r="93" spans="1:12">
      <c r="A93" s="19" t="s">
        <v>73</v>
      </c>
      <c r="B93" s="19">
        <v>70326161</v>
      </c>
      <c r="C93" s="19">
        <v>3017435330</v>
      </c>
      <c r="D93" s="12" t="s">
        <v>562</v>
      </c>
      <c r="E93" s="129">
        <f>'[2]Base Inversionistas 26'!J96/$N$1</f>
        <v>1</v>
      </c>
      <c r="F93" s="129">
        <f>'[2]Base Inversionistas 26'!K96/$N$1</f>
        <v>1</v>
      </c>
      <c r="G93" s="129">
        <f>'[2]Base Inversionistas 26'!L96/$N$1</f>
        <v>1</v>
      </c>
      <c r="H93" s="129">
        <f>'[2]Base Inversionistas 26'!M96/$N$1</f>
        <v>1</v>
      </c>
      <c r="I93" s="129">
        <f>'[2]Base Inversionistas 26'!N96/$N$1</f>
        <v>1</v>
      </c>
      <c r="J93" s="129">
        <f>'[2]Base Inversionistas 26'!O96/$N$1</f>
        <v>1</v>
      </c>
      <c r="K93" s="129">
        <f>'[2]Base Inversionistas 26'!P96/$N$1</f>
        <v>0</v>
      </c>
      <c r="L93" s="129">
        <f>'[2]Base Inversionistas 26'!Q96/$N$1</f>
        <v>0</v>
      </c>
    </row>
    <row r="94" spans="1:12">
      <c r="A94" s="16" t="s">
        <v>132</v>
      </c>
      <c r="B94" s="16"/>
      <c r="C94" s="16"/>
      <c r="D94" s="12"/>
      <c r="E94" s="129">
        <f>'[2]Base Inversionistas 26'!J97/$N$1</f>
        <v>0</v>
      </c>
      <c r="F94" s="129">
        <f>'[2]Base Inversionistas 26'!K97/$N$1</f>
        <v>0</v>
      </c>
      <c r="G94" s="129">
        <f>'[2]Base Inversionistas 26'!L97/$N$1</f>
        <v>0</v>
      </c>
      <c r="H94" s="129">
        <f>'[2]Base Inversionistas 26'!M97/$N$1</f>
        <v>0</v>
      </c>
      <c r="I94" s="129">
        <f>'[2]Base Inversionistas 26'!N97/$N$1</f>
        <v>0</v>
      </c>
      <c r="J94" s="129">
        <f>'[2]Base Inversionistas 26'!O97/$N$1</f>
        <v>0</v>
      </c>
      <c r="K94" s="129">
        <f>'[2]Base Inversionistas 26'!P97/$N$1</f>
        <v>1</v>
      </c>
      <c r="L94" s="129">
        <f>'[2]Base Inversionistas 26'!Q97/$N$1</f>
        <v>1</v>
      </c>
    </row>
    <row r="95" spans="1:12">
      <c r="A95" s="16" t="s">
        <v>81</v>
      </c>
      <c r="B95" s="16">
        <v>77037962</v>
      </c>
      <c r="C95" s="16">
        <v>3108469718</v>
      </c>
      <c r="D95" s="12" t="s">
        <v>348</v>
      </c>
      <c r="E95" s="129">
        <f>'[2]Base Inversionistas 26'!J98/$N$1</f>
        <v>6</v>
      </c>
      <c r="F95" s="129">
        <f>'[2]Base Inversionistas 26'!K98/$N$1</f>
        <v>6</v>
      </c>
      <c r="G95" s="129">
        <f>'[2]Base Inversionistas 26'!L98/$N$1</f>
        <v>0</v>
      </c>
      <c r="H95" s="129">
        <f>'[2]Base Inversionistas 26'!M98/$N$1</f>
        <v>0</v>
      </c>
      <c r="I95" s="129">
        <f>'[2]Base Inversionistas 26'!N98/$N$1</f>
        <v>6</v>
      </c>
      <c r="J95" s="129">
        <f>'[2]Base Inversionistas 26'!O98/$N$1</f>
        <v>6</v>
      </c>
      <c r="K95" s="129">
        <f>'[2]Base Inversionistas 26'!P98/$N$1</f>
        <v>0</v>
      </c>
      <c r="L95" s="129">
        <f>'[2]Base Inversionistas 26'!Q98/$N$1</f>
        <v>0</v>
      </c>
    </row>
    <row r="96" spans="1:12">
      <c r="A96" s="16" t="s">
        <v>112</v>
      </c>
      <c r="B96" s="16"/>
      <c r="C96" s="16"/>
      <c r="D96" s="12"/>
      <c r="E96" s="129">
        <f>'[2]Base Inversionistas 26'!J99/$N$1</f>
        <v>0</v>
      </c>
      <c r="F96" s="129">
        <f>'[2]Base Inversionistas 26'!K99/$N$1</f>
        <v>0</v>
      </c>
      <c r="G96" s="129">
        <f>'[2]Base Inversionistas 26'!L99/$N$1</f>
        <v>0</v>
      </c>
      <c r="H96" s="129">
        <f>'[2]Base Inversionistas 26'!M99/$N$1</f>
        <v>0</v>
      </c>
      <c r="I96" s="129">
        <f>'[2]Base Inversionistas 26'!N99/$N$1</f>
        <v>0</v>
      </c>
      <c r="J96" s="129">
        <f>'[2]Base Inversionistas 26'!O99/$N$1</f>
        <v>0</v>
      </c>
      <c r="K96" s="129">
        <f>'[2]Base Inversionistas 26'!P99/$N$1</f>
        <v>0</v>
      </c>
      <c r="L96" s="129">
        <f>'[2]Base Inversionistas 26'!Q99/$N$1</f>
        <v>0</v>
      </c>
    </row>
    <row r="97" spans="1:12">
      <c r="A97" s="16" t="s">
        <v>55</v>
      </c>
      <c r="B97" s="16"/>
      <c r="C97" s="16"/>
      <c r="D97" s="12"/>
      <c r="E97" s="129">
        <f>'[2]Base Inversionistas 26'!J100/$N$1</f>
        <v>0</v>
      </c>
      <c r="F97" s="129">
        <f>'[2]Base Inversionistas 26'!K100/$N$1</f>
        <v>0</v>
      </c>
      <c r="G97" s="129">
        <f>'[2]Base Inversionistas 26'!L100/$N$1</f>
        <v>0</v>
      </c>
      <c r="H97" s="129">
        <f>'[2]Base Inversionistas 26'!M100/$N$1</f>
        <v>0</v>
      </c>
      <c r="I97" s="129">
        <f>'[2]Base Inversionistas 26'!N100/$N$1</f>
        <v>0</v>
      </c>
      <c r="J97" s="129">
        <f>'[2]Base Inversionistas 26'!O100/$N$1</f>
        <v>0</v>
      </c>
      <c r="K97" s="129">
        <f>'[2]Base Inversionistas 26'!P100/$N$1</f>
        <v>0</v>
      </c>
      <c r="L97" s="129">
        <f>'[2]Base Inversionistas 26'!Q100/$N$1</f>
        <v>0</v>
      </c>
    </row>
    <row r="98" spans="1:12">
      <c r="A98" s="12" t="s">
        <v>25</v>
      </c>
      <c r="B98" s="12"/>
      <c r="C98" s="12"/>
      <c r="D98" s="12"/>
      <c r="E98" s="129">
        <f>'[2]Base Inversionistas 26'!J101/$N$1</f>
        <v>0</v>
      </c>
      <c r="F98" s="129">
        <f>'[2]Base Inversionistas 26'!K101/$N$1</f>
        <v>0</v>
      </c>
      <c r="G98" s="129">
        <f>'[2]Base Inversionistas 26'!L101/$N$1</f>
        <v>0</v>
      </c>
      <c r="H98" s="129">
        <f>'[2]Base Inversionistas 26'!M101/$N$1</f>
        <v>0</v>
      </c>
      <c r="I98" s="129">
        <f>'[2]Base Inversionistas 26'!N101/$N$1</f>
        <v>0</v>
      </c>
      <c r="J98" s="129">
        <f>'[2]Base Inversionistas 26'!O101/$N$1</f>
        <v>0</v>
      </c>
      <c r="K98" s="129">
        <f>'[2]Base Inversionistas 26'!P101/$N$1</f>
        <v>0</v>
      </c>
      <c r="L98" s="129">
        <f>'[2]Base Inversionistas 26'!Q101/$N$1</f>
        <v>0</v>
      </c>
    </row>
    <row r="99" spans="1:12">
      <c r="A99" s="12" t="s">
        <v>137</v>
      </c>
      <c r="B99" s="12"/>
      <c r="C99" s="12"/>
      <c r="D99" s="12" t="s">
        <v>547</v>
      </c>
      <c r="E99" s="129">
        <f>'[2]Base Inversionistas 26'!J102/$N$1</f>
        <v>0</v>
      </c>
      <c r="F99" s="129">
        <f>'[2]Base Inversionistas 26'!K102/$N$1</f>
        <v>0</v>
      </c>
      <c r="G99" s="129">
        <f>'[2]Base Inversionistas 26'!L102/$N$1</f>
        <v>0</v>
      </c>
      <c r="H99" s="129">
        <f>'[2]Base Inversionistas 26'!M102/$N$1</f>
        <v>0</v>
      </c>
      <c r="I99" s="129">
        <f>'[2]Base Inversionistas 26'!N102/$N$1</f>
        <v>0</v>
      </c>
      <c r="J99" s="129">
        <f>'[2]Base Inversionistas 26'!O102/$N$1</f>
        <v>0</v>
      </c>
      <c r="K99" s="129">
        <f>'[2]Base Inversionistas 26'!P102/$N$1</f>
        <v>0</v>
      </c>
      <c r="L99" s="129">
        <f>'[2]Base Inversionistas 26'!Q102/$N$1</f>
        <v>0</v>
      </c>
    </row>
    <row r="100" spans="1:12">
      <c r="A100" s="12" t="s">
        <v>38</v>
      </c>
      <c r="B100" s="12">
        <v>1077424658</v>
      </c>
      <c r="C100" s="12">
        <v>3216464514</v>
      </c>
      <c r="D100" s="12" t="s">
        <v>347</v>
      </c>
      <c r="E100" s="129">
        <f>'[2]Base Inversionistas 26'!J103/$N$1</f>
        <v>0</v>
      </c>
      <c r="F100" s="129">
        <f>'[2]Base Inversionistas 26'!K103/$N$1</f>
        <v>3</v>
      </c>
      <c r="G100" s="129">
        <f>'[2]Base Inversionistas 26'!L103/$N$1</f>
        <v>0</v>
      </c>
      <c r="H100" s="129">
        <f>'[2]Base Inversionistas 26'!M103/$N$1</f>
        <v>0</v>
      </c>
      <c r="I100" s="129">
        <f>'[2]Base Inversionistas 26'!N103/$N$1</f>
        <v>0</v>
      </c>
      <c r="J100" s="129">
        <f>'[2]Base Inversionistas 26'!O103/$N$1</f>
        <v>0</v>
      </c>
      <c r="K100" s="129">
        <f>'[2]Base Inversionistas 26'!P103/$N$1</f>
        <v>0</v>
      </c>
      <c r="L100" s="129">
        <f>'[2]Base Inversionistas 26'!Q103/$N$1</f>
        <v>0</v>
      </c>
    </row>
    <row r="101" spans="1:12">
      <c r="A101" s="12" t="s">
        <v>26</v>
      </c>
      <c r="B101" s="12"/>
      <c r="C101" s="12"/>
      <c r="D101" s="12" t="s">
        <v>257</v>
      </c>
      <c r="E101" s="129">
        <f>'[2]Base Inversionistas 26'!J104/$N$1</f>
        <v>2</v>
      </c>
      <c r="F101" s="129">
        <f>'[2]Base Inversionistas 26'!K104/$N$1</f>
        <v>2</v>
      </c>
      <c r="G101" s="129">
        <f>'[2]Base Inversionistas 26'!L104/$N$1</f>
        <v>2</v>
      </c>
      <c r="H101" s="129">
        <f>'[2]Base Inversionistas 26'!M104/$N$1</f>
        <v>2</v>
      </c>
      <c r="I101" s="129">
        <f>'[2]Base Inversionistas 26'!N104/$N$1</f>
        <v>2</v>
      </c>
      <c r="J101" s="129">
        <f>'[2]Base Inversionistas 26'!O104/$N$1</f>
        <v>2</v>
      </c>
      <c r="K101" s="129">
        <f>'[2]Base Inversionistas 26'!P104/$N$1</f>
        <v>2</v>
      </c>
      <c r="L101" s="129">
        <f>'[2]Base Inversionistas 26'!Q104/$N$1</f>
        <v>2</v>
      </c>
    </row>
    <row r="102" spans="1:12">
      <c r="A102" s="16" t="s">
        <v>149</v>
      </c>
      <c r="B102" s="16"/>
      <c r="C102" s="16"/>
      <c r="D102" s="12" t="s">
        <v>257</v>
      </c>
      <c r="E102" s="129">
        <f>'[2]Base Inversionistas 26'!J105/$N$1</f>
        <v>0</v>
      </c>
      <c r="F102" s="129">
        <f>'[2]Base Inversionistas 26'!K105/$N$1</f>
        <v>0</v>
      </c>
      <c r="G102" s="129">
        <f>'[2]Base Inversionistas 26'!L105/$N$1</f>
        <v>0</v>
      </c>
      <c r="H102" s="129">
        <f>'[2]Base Inversionistas 26'!M105/$N$1</f>
        <v>0</v>
      </c>
      <c r="I102" s="129">
        <f>'[2]Base Inversionistas 26'!N105/$N$1</f>
        <v>0</v>
      </c>
      <c r="J102" s="129">
        <f>'[2]Base Inversionistas 26'!O105/$N$1</f>
        <v>0</v>
      </c>
      <c r="K102" s="129">
        <f>'[2]Base Inversionistas 26'!P105/$N$1</f>
        <v>0</v>
      </c>
      <c r="L102" s="129">
        <f>'[2]Base Inversionistas 26'!Q105/$N$1</f>
        <v>0</v>
      </c>
    </row>
    <row r="103" spans="1:12">
      <c r="A103" s="12" t="s">
        <v>43</v>
      </c>
      <c r="B103" s="12"/>
      <c r="C103" s="12"/>
      <c r="D103" s="12" t="s">
        <v>257</v>
      </c>
      <c r="E103" s="129">
        <f>'[2]Base Inversionistas 26'!J106/$N$1</f>
        <v>0</v>
      </c>
      <c r="F103" s="129">
        <f>'[2]Base Inversionistas 26'!K106/$N$1</f>
        <v>0</v>
      </c>
      <c r="G103" s="129">
        <f>'[2]Base Inversionistas 26'!L106/$N$1</f>
        <v>0</v>
      </c>
      <c r="H103" s="129">
        <f>'[2]Base Inversionistas 26'!M106/$N$1</f>
        <v>0</v>
      </c>
      <c r="I103" s="129">
        <f>'[2]Base Inversionistas 26'!N106/$N$1</f>
        <v>0</v>
      </c>
      <c r="J103" s="129">
        <f>'[2]Base Inversionistas 26'!O106/$N$1</f>
        <v>0</v>
      </c>
      <c r="K103" s="129">
        <f>'[2]Base Inversionistas 26'!P106/$N$1</f>
        <v>0</v>
      </c>
      <c r="L103" s="129">
        <f>'[2]Base Inversionistas 26'!Q106/$N$1</f>
        <v>0</v>
      </c>
    </row>
    <row r="104" spans="1:12">
      <c r="A104" s="12" t="s">
        <v>27</v>
      </c>
      <c r="B104" s="12"/>
      <c r="C104" s="12"/>
      <c r="D104" s="12" t="s">
        <v>257</v>
      </c>
      <c r="E104" s="129">
        <f>'[2]Base Inversionistas 26'!J107/$N$1</f>
        <v>0</v>
      </c>
      <c r="F104" s="129">
        <f>'[2]Base Inversionistas 26'!K107/$N$1</f>
        <v>0</v>
      </c>
      <c r="G104" s="129">
        <f>'[2]Base Inversionistas 26'!L107/$N$1</f>
        <v>0</v>
      </c>
      <c r="H104" s="129">
        <f>'[2]Base Inversionistas 26'!M107/$N$1</f>
        <v>0</v>
      </c>
      <c r="I104" s="129">
        <f>'[2]Base Inversionistas 26'!N107/$N$1</f>
        <v>0</v>
      </c>
      <c r="J104" s="129">
        <f>'[2]Base Inversionistas 26'!O107/$N$1</f>
        <v>0</v>
      </c>
      <c r="K104" s="129">
        <f>'[2]Base Inversionistas 26'!P107/$N$1</f>
        <v>0</v>
      </c>
      <c r="L104" s="129">
        <f>'[2]Base Inversionistas 26'!Q107/$N$1</f>
        <v>0</v>
      </c>
    </row>
    <row r="105" spans="1:12">
      <c r="A105" s="16" t="s">
        <v>59</v>
      </c>
      <c r="B105" s="16"/>
      <c r="C105" s="16"/>
      <c r="D105" s="12" t="s">
        <v>561</v>
      </c>
      <c r="E105" s="129">
        <f>'[2]Base Inversionistas 26'!J108/$N$1</f>
        <v>0</v>
      </c>
      <c r="F105" s="129">
        <f>'[2]Base Inversionistas 26'!K108/$N$1</f>
        <v>0</v>
      </c>
      <c r="G105" s="129">
        <f>'[2]Base Inversionistas 26'!L108/$N$1</f>
        <v>0</v>
      </c>
      <c r="H105" s="129">
        <f>'[2]Base Inversionistas 26'!M108/$N$1</f>
        <v>0</v>
      </c>
      <c r="I105" s="129">
        <f>'[2]Base Inversionistas 26'!N108/$N$1</f>
        <v>0</v>
      </c>
      <c r="J105" s="129">
        <f>'[2]Base Inversionistas 26'!O108/$N$1</f>
        <v>0</v>
      </c>
      <c r="K105" s="129">
        <f>'[2]Base Inversionistas 26'!P108/$N$1</f>
        <v>0</v>
      </c>
      <c r="L105" s="129">
        <f>'[2]Base Inversionistas 26'!Q108/$N$1</f>
        <v>0</v>
      </c>
    </row>
    <row r="106" spans="1:12">
      <c r="A106" s="12" t="s">
        <v>189</v>
      </c>
      <c r="B106" s="12">
        <v>35601610</v>
      </c>
      <c r="C106" s="12">
        <v>3207593131</v>
      </c>
      <c r="D106" s="12" t="s">
        <v>347</v>
      </c>
      <c r="E106" s="129">
        <f>'[2]Base Inversionistas 26'!J109/$N$1</f>
        <v>0</v>
      </c>
      <c r="F106" s="129">
        <f>'[2]Base Inversionistas 26'!K109/$N$1</f>
        <v>0</v>
      </c>
      <c r="G106" s="129">
        <f>'[2]Base Inversionistas 26'!L109/$N$1</f>
        <v>0</v>
      </c>
      <c r="H106" s="129">
        <f>'[2]Base Inversionistas 26'!M109/$N$1</f>
        <v>2</v>
      </c>
      <c r="I106" s="129">
        <f>'[2]Base Inversionistas 26'!N109/$N$1</f>
        <v>0</v>
      </c>
      <c r="J106" s="129">
        <f>'[2]Base Inversionistas 26'!O109/$N$1</f>
        <v>2</v>
      </c>
      <c r="K106" s="129">
        <f>'[2]Base Inversionistas 26'!P109/$N$1</f>
        <v>0</v>
      </c>
      <c r="L106" s="129">
        <f>'[2]Base Inversionistas 26'!Q109/$N$1</f>
        <v>0</v>
      </c>
    </row>
    <row r="107" spans="1:12">
      <c r="A107" s="12" t="s">
        <v>143</v>
      </c>
      <c r="B107" s="12">
        <v>1032464597</v>
      </c>
      <c r="C107" s="12" t="s">
        <v>444</v>
      </c>
      <c r="D107" s="12" t="s">
        <v>445</v>
      </c>
      <c r="E107" s="129">
        <f>'[2]Base Inversionistas 26'!J110/$N$1</f>
        <v>5</v>
      </c>
      <c r="F107" s="129">
        <f>'[2]Base Inversionistas 26'!K110/$N$1</f>
        <v>5</v>
      </c>
      <c r="G107" s="129">
        <f>'[2]Base Inversionistas 26'!L110/$N$1</f>
        <v>5</v>
      </c>
      <c r="H107" s="129">
        <f>'[2]Base Inversionistas 26'!M110/$N$1</f>
        <v>5</v>
      </c>
      <c r="I107" s="129">
        <f>'[2]Base Inversionistas 26'!N110/$N$1</f>
        <v>5</v>
      </c>
      <c r="J107" s="129">
        <f>'[2]Base Inversionistas 26'!O110/$N$1</f>
        <v>5</v>
      </c>
      <c r="K107" s="129">
        <f>'[2]Base Inversionistas 26'!P110/$N$1</f>
        <v>5</v>
      </c>
      <c r="L107" s="129">
        <f>'[2]Base Inversionistas 26'!Q110/$N$1</f>
        <v>5</v>
      </c>
    </row>
    <row r="108" spans="1:12">
      <c r="A108" s="12" t="s">
        <v>36</v>
      </c>
      <c r="B108" s="12"/>
      <c r="C108" s="12"/>
      <c r="D108" s="12"/>
      <c r="E108" s="129">
        <f>'[2]Base Inversionistas 26'!J111/$N$1</f>
        <v>0</v>
      </c>
      <c r="F108" s="129">
        <f>'[2]Base Inversionistas 26'!K111/$N$1</f>
        <v>0</v>
      </c>
      <c r="G108" s="129">
        <f>'[2]Base Inversionistas 26'!L111/$N$1</f>
        <v>0</v>
      </c>
      <c r="H108" s="129">
        <f>'[2]Base Inversionistas 26'!M111/$N$1</f>
        <v>0</v>
      </c>
      <c r="I108" s="129">
        <f>'[2]Base Inversionistas 26'!N111/$N$1</f>
        <v>0</v>
      </c>
      <c r="J108" s="129">
        <f>'[2]Base Inversionistas 26'!O111/$N$1</f>
        <v>0</v>
      </c>
      <c r="K108" s="129">
        <f>'[2]Base Inversionistas 26'!P111/$N$1</f>
        <v>0</v>
      </c>
      <c r="L108" s="129">
        <f>'[2]Base Inversionistas 26'!Q111/$N$1</f>
        <v>0</v>
      </c>
    </row>
    <row r="109" spans="1:12">
      <c r="A109" s="12" t="s">
        <v>142</v>
      </c>
      <c r="B109" s="12">
        <v>70067417</v>
      </c>
      <c r="C109" s="12" t="s">
        <v>552</v>
      </c>
      <c r="D109" s="12" t="s">
        <v>253</v>
      </c>
      <c r="E109" s="129">
        <f>'[2]Base Inversionistas 26'!J112/$N$1</f>
        <v>1</v>
      </c>
      <c r="F109" s="129">
        <f>'[2]Base Inversionistas 26'!K112/$N$1</f>
        <v>0</v>
      </c>
      <c r="G109" s="129">
        <f>'[2]Base Inversionistas 26'!L112/$N$1</f>
        <v>2</v>
      </c>
      <c r="H109" s="129">
        <f>'[2]Base Inversionistas 26'!M112/$N$1</f>
        <v>0</v>
      </c>
      <c r="I109" s="129">
        <f>'[2]Base Inversionistas 26'!N112/$N$1</f>
        <v>1</v>
      </c>
      <c r="J109" s="129">
        <f>'[2]Base Inversionistas 26'!O112/$N$1</f>
        <v>1</v>
      </c>
      <c r="K109" s="129">
        <f>'[2]Base Inversionistas 26'!P112/$N$1</f>
        <v>0</v>
      </c>
      <c r="L109" s="129">
        <f>'[2]Base Inversionistas 26'!Q112/$N$1</f>
        <v>1</v>
      </c>
    </row>
    <row r="110" spans="1:12">
      <c r="A110" s="16" t="s">
        <v>566</v>
      </c>
      <c r="B110" s="16">
        <v>13837081</v>
      </c>
      <c r="C110" s="16">
        <v>3208026783</v>
      </c>
      <c r="D110" s="12" t="s">
        <v>217</v>
      </c>
      <c r="E110" s="129">
        <f>'[2]Base Inversionistas 26'!J113/$N$1</f>
        <v>2.98</v>
      </c>
      <c r="F110" s="129">
        <f>'[2]Base Inversionistas 26'!K113/$N$1</f>
        <v>3.0125000000000002</v>
      </c>
      <c r="G110" s="129">
        <f>'[2]Base Inversionistas 26'!L113/$N$1</f>
        <v>1</v>
      </c>
      <c r="H110" s="129">
        <f>'[2]Base Inversionistas 26'!M113/$N$1</f>
        <v>1</v>
      </c>
      <c r="I110" s="129">
        <f>'[2]Base Inversionistas 26'!N113/$N$1</f>
        <v>0</v>
      </c>
      <c r="J110" s="129">
        <f>'[2]Base Inversionistas 26'!O113/$N$1</f>
        <v>1</v>
      </c>
      <c r="K110" s="129">
        <f>'[2]Base Inversionistas 26'!P113/$N$1</f>
        <v>0</v>
      </c>
      <c r="L110" s="129">
        <f>'[2]Base Inversionistas 26'!Q113/$N$1</f>
        <v>1</v>
      </c>
    </row>
    <row r="111" spans="1:12">
      <c r="A111" s="12" t="s">
        <v>33</v>
      </c>
      <c r="B111" s="12"/>
      <c r="C111" s="12"/>
      <c r="D111" s="12" t="s">
        <v>257</v>
      </c>
      <c r="E111" s="129">
        <f>'[2]Base Inversionistas 26'!J114/$N$1</f>
        <v>1</v>
      </c>
      <c r="F111" s="129">
        <f>'[2]Base Inversionistas 26'!K114/$N$1</f>
        <v>0</v>
      </c>
      <c r="G111" s="129">
        <f>'[2]Base Inversionistas 26'!L114/$N$1</f>
        <v>1</v>
      </c>
      <c r="H111" s="129">
        <f>'[2]Base Inversionistas 26'!M114/$N$1</f>
        <v>1</v>
      </c>
      <c r="I111" s="129">
        <f>'[2]Base Inversionistas 26'!N114/$N$1</f>
        <v>0</v>
      </c>
      <c r="J111" s="129">
        <f>'[2]Base Inversionistas 26'!O114/$N$1</f>
        <v>2</v>
      </c>
      <c r="K111" s="129">
        <f>'[2]Base Inversionistas 26'!P114/$N$1</f>
        <v>1</v>
      </c>
      <c r="L111" s="129">
        <f>'[2]Base Inversionistas 26'!Q114/$N$1</f>
        <v>0</v>
      </c>
    </row>
    <row r="112" spans="1:12">
      <c r="A112" s="12" t="s">
        <v>192</v>
      </c>
      <c r="B112" s="12"/>
      <c r="C112" s="12"/>
      <c r="D112" s="12"/>
      <c r="E112" s="129">
        <f>'[2]Base Inversionistas 26'!J115/$N$1</f>
        <v>0</v>
      </c>
      <c r="F112" s="129">
        <f>'[2]Base Inversionistas 26'!K115/$N$1</f>
        <v>0</v>
      </c>
      <c r="G112" s="129">
        <f>'[2]Base Inversionistas 26'!L115/$N$1</f>
        <v>0</v>
      </c>
      <c r="H112" s="129">
        <f>'[2]Base Inversionistas 26'!M115/$N$1</f>
        <v>0</v>
      </c>
      <c r="I112" s="129">
        <f>'[2]Base Inversionistas 26'!N115/$N$1</f>
        <v>0</v>
      </c>
      <c r="J112" s="129">
        <f>'[2]Base Inversionistas 26'!O115/$N$1</f>
        <v>0</v>
      </c>
      <c r="K112" s="129">
        <f>'[2]Base Inversionistas 26'!P115/$N$1</f>
        <v>0</v>
      </c>
      <c r="L112" s="129">
        <f>'[2]Base Inversionistas 26'!Q115/$N$1</f>
        <v>0</v>
      </c>
    </row>
    <row r="113" spans="1:12">
      <c r="A113" s="16" t="s">
        <v>446</v>
      </c>
      <c r="B113" s="16">
        <v>1065587738</v>
      </c>
      <c r="C113" s="16">
        <v>3127912471</v>
      </c>
      <c r="D113" s="12" t="s">
        <v>442</v>
      </c>
      <c r="E113" s="129">
        <f>'[2]Base Inversionistas 26'!J116/$N$1</f>
        <v>0</v>
      </c>
      <c r="F113" s="129">
        <f>'[2]Base Inversionistas 26'!K116/$N$1</f>
        <v>0</v>
      </c>
      <c r="G113" s="129">
        <f>'[2]Base Inversionistas 26'!L116/$N$1</f>
        <v>0</v>
      </c>
      <c r="H113" s="129">
        <f>'[2]Base Inversionistas 26'!M116/$N$1</f>
        <v>0</v>
      </c>
      <c r="I113" s="129">
        <f>'[2]Base Inversionistas 26'!N116/$N$1</f>
        <v>0</v>
      </c>
      <c r="J113" s="129">
        <f>'[2]Base Inversionistas 26'!O116/$N$1</f>
        <v>0</v>
      </c>
      <c r="K113" s="129">
        <f>'[2]Base Inversionistas 26'!P116/$N$1</f>
        <v>0</v>
      </c>
      <c r="L113" s="129">
        <f>'[2]Base Inversionistas 26'!Q116/$N$1</f>
        <v>0</v>
      </c>
    </row>
    <row r="114" spans="1:12">
      <c r="A114" s="16" t="s">
        <v>87</v>
      </c>
      <c r="B114" s="16"/>
      <c r="C114" s="16"/>
      <c r="D114" s="12" t="s">
        <v>257</v>
      </c>
      <c r="E114" s="129">
        <f>'[2]Base Inversionistas 26'!J117/$N$1</f>
        <v>0</v>
      </c>
      <c r="F114" s="129">
        <f>'[2]Base Inversionistas 26'!K117/$N$1</f>
        <v>0</v>
      </c>
      <c r="G114" s="129">
        <f>'[2]Base Inversionistas 26'!L117/$N$1</f>
        <v>0</v>
      </c>
      <c r="H114" s="129">
        <f>'[2]Base Inversionistas 26'!M117/$N$1</f>
        <v>0</v>
      </c>
      <c r="I114" s="129">
        <f>'[2]Base Inversionistas 26'!N117/$N$1</f>
        <v>0</v>
      </c>
      <c r="J114" s="129">
        <f>'[2]Base Inversionistas 26'!O117/$N$1</f>
        <v>0</v>
      </c>
      <c r="K114" s="129">
        <f>'[2]Base Inversionistas 26'!P117/$N$1</f>
        <v>0</v>
      </c>
      <c r="L114" s="129">
        <f>'[2]Base Inversionistas 26'!Q117/$N$1</f>
        <v>0</v>
      </c>
    </row>
    <row r="115" spans="1:12">
      <c r="A115" s="16" t="s">
        <v>105</v>
      </c>
      <c r="B115" s="16"/>
      <c r="C115" s="16"/>
      <c r="D115" s="12" t="s">
        <v>257</v>
      </c>
      <c r="E115" s="129">
        <f>'[2]Base Inversionistas 26'!J118/$N$1</f>
        <v>0</v>
      </c>
      <c r="F115" s="129">
        <f>'[2]Base Inversionistas 26'!K118/$N$1</f>
        <v>0</v>
      </c>
      <c r="G115" s="129">
        <f>'[2]Base Inversionistas 26'!L118/$N$1</f>
        <v>0</v>
      </c>
      <c r="H115" s="129">
        <f>'[2]Base Inversionistas 26'!M118/$N$1</f>
        <v>0</v>
      </c>
      <c r="I115" s="129">
        <f>'[2]Base Inversionistas 26'!N118/$N$1</f>
        <v>0</v>
      </c>
      <c r="J115" s="129">
        <f>'[2]Base Inversionistas 26'!O118/$N$1</f>
        <v>0</v>
      </c>
      <c r="K115" s="129">
        <f>'[2]Base Inversionistas 26'!P118/$N$1</f>
        <v>0</v>
      </c>
      <c r="L115" s="129">
        <f>'[2]Base Inversionistas 26'!Q118/$N$1</f>
        <v>0</v>
      </c>
    </row>
    <row r="116" spans="1:12">
      <c r="A116" s="16" t="s">
        <v>57</v>
      </c>
      <c r="B116" s="16">
        <v>38230483</v>
      </c>
      <c r="C116" s="16">
        <v>3104869126</v>
      </c>
      <c r="D116" s="12" t="s">
        <v>447</v>
      </c>
      <c r="E116" s="129">
        <f>'[2]Base Inversionistas 26'!J119/$N$1</f>
        <v>1</v>
      </c>
      <c r="F116" s="129">
        <f>'[2]Base Inversionistas 26'!K119/$N$1</f>
        <v>1</v>
      </c>
      <c r="G116" s="129">
        <f>'[2]Base Inversionistas 26'!L119/$N$1</f>
        <v>1</v>
      </c>
      <c r="H116" s="129">
        <f>'[2]Base Inversionistas 26'!M119/$N$1</f>
        <v>1</v>
      </c>
      <c r="I116" s="129">
        <f>'[2]Base Inversionistas 26'!N119/$N$1</f>
        <v>1</v>
      </c>
      <c r="J116" s="129">
        <f>'[2]Base Inversionistas 26'!O119/$N$1</f>
        <v>1</v>
      </c>
      <c r="K116" s="129">
        <f>'[2]Base Inversionistas 26'!P119/$N$1</f>
        <v>1</v>
      </c>
      <c r="L116" s="129">
        <f>'[2]Base Inversionistas 26'!Q119/$N$1</f>
        <v>1</v>
      </c>
    </row>
    <row r="117" spans="1:12">
      <c r="A117" s="12" t="s">
        <v>28</v>
      </c>
      <c r="B117" s="12"/>
      <c r="C117" s="12"/>
      <c r="D117" s="12" t="s">
        <v>257</v>
      </c>
      <c r="E117" s="129">
        <f>'[2]Base Inversionistas 26'!J120/$N$1</f>
        <v>2</v>
      </c>
      <c r="F117" s="129">
        <f>'[2]Base Inversionistas 26'!K120/$N$1</f>
        <v>3</v>
      </c>
      <c r="G117" s="129">
        <f>'[2]Base Inversionistas 26'!L120/$N$1</f>
        <v>2</v>
      </c>
      <c r="H117" s="129">
        <f>'[2]Base Inversionistas 26'!M120/$N$1</f>
        <v>3</v>
      </c>
      <c r="I117" s="129">
        <f>'[2]Base Inversionistas 26'!N120/$N$1</f>
        <v>2</v>
      </c>
      <c r="J117" s="129">
        <f>'[2]Base Inversionistas 26'!O120/$N$1</f>
        <v>2</v>
      </c>
      <c r="K117" s="129">
        <f>'[2]Base Inversionistas 26'!P120/$N$1</f>
        <v>0</v>
      </c>
      <c r="L117" s="129">
        <f>'[2]Base Inversionistas 26'!Q120/$N$1</f>
        <v>0</v>
      </c>
    </row>
    <row r="118" spans="1:12">
      <c r="A118" s="16" t="s">
        <v>60</v>
      </c>
      <c r="B118" s="16">
        <v>22579381</v>
      </c>
      <c r="C118" s="16"/>
      <c r="D118" s="12" t="s">
        <v>681</v>
      </c>
      <c r="E118" s="129">
        <f>'[2]Base Inversionistas 26'!J121/$N$1</f>
        <v>1</v>
      </c>
      <c r="F118" s="129">
        <f>'[2]Base Inversionistas 26'!K121/$N$1</f>
        <v>0</v>
      </c>
      <c r="G118" s="129">
        <f>'[2]Base Inversionistas 26'!L121/$N$1</f>
        <v>1</v>
      </c>
      <c r="H118" s="129">
        <f>'[2]Base Inversionistas 26'!M121/$N$1</f>
        <v>0</v>
      </c>
      <c r="I118" s="129">
        <f>'[2]Base Inversionistas 26'!N121/$N$1</f>
        <v>1</v>
      </c>
      <c r="J118" s="129">
        <f>'[2]Base Inversionistas 26'!O121/$N$1</f>
        <v>1</v>
      </c>
      <c r="K118" s="129">
        <f>'[2]Base Inversionistas 26'!P121/$N$1</f>
        <v>1.25</v>
      </c>
      <c r="L118" s="129">
        <f>'[2]Base Inversionistas 26'!Q121/$N$1</f>
        <v>1</v>
      </c>
    </row>
    <row r="119" spans="1:12">
      <c r="A119" s="12" t="s">
        <v>187</v>
      </c>
      <c r="B119" s="12">
        <v>32936225</v>
      </c>
      <c r="C119" s="12">
        <v>3215254487</v>
      </c>
      <c r="D119" s="12"/>
      <c r="E119" s="129">
        <f>'[2]Base Inversionistas 26'!J122/$N$1</f>
        <v>0</v>
      </c>
      <c r="F119" s="129">
        <f>'[2]Base Inversionistas 26'!K122/$N$1</f>
        <v>0</v>
      </c>
      <c r="G119" s="129">
        <f>'[2]Base Inversionistas 26'!L122/$N$1</f>
        <v>0</v>
      </c>
      <c r="H119" s="129">
        <f>'[2]Base Inversionistas 26'!M122/$N$1</f>
        <v>0</v>
      </c>
      <c r="I119" s="129">
        <f>'[2]Base Inversionistas 26'!N122/$N$1</f>
        <v>0</v>
      </c>
      <c r="J119" s="129">
        <f>'[2]Base Inversionistas 26'!O122/$N$1</f>
        <v>0</v>
      </c>
      <c r="K119" s="129">
        <f>'[2]Base Inversionistas 26'!P122/$N$1</f>
        <v>0</v>
      </c>
      <c r="L119" s="129">
        <f>'[2]Base Inversionistas 26'!Q122/$N$1</f>
        <v>0</v>
      </c>
    </row>
    <row r="120" spans="1:12">
      <c r="A120" s="16" t="s">
        <v>150</v>
      </c>
      <c r="B120" s="16"/>
      <c r="C120" s="16"/>
      <c r="D120" s="12"/>
      <c r="E120" s="129">
        <f>'[2]Base Inversionistas 26'!J123/$N$1</f>
        <v>0</v>
      </c>
      <c r="F120" s="129">
        <f>'[2]Base Inversionistas 26'!K123/$N$1</f>
        <v>0</v>
      </c>
      <c r="G120" s="129">
        <f>'[2]Base Inversionistas 26'!L123/$N$1</f>
        <v>0</v>
      </c>
      <c r="H120" s="129">
        <f>'[2]Base Inversionistas 26'!M123/$N$1</f>
        <v>0</v>
      </c>
      <c r="I120" s="129">
        <f>'[2]Base Inversionistas 26'!N123/$N$1</f>
        <v>0</v>
      </c>
      <c r="J120" s="129">
        <f>'[2]Base Inversionistas 26'!O123/$N$1</f>
        <v>0</v>
      </c>
      <c r="K120" s="129">
        <f>'[2]Base Inversionistas 26'!P123/$N$1</f>
        <v>0</v>
      </c>
      <c r="L120" s="129">
        <f>'[2]Base Inversionistas 26'!Q123/$N$1</f>
        <v>0</v>
      </c>
    </row>
    <row r="121" spans="1:12">
      <c r="A121" s="12" t="s">
        <v>140</v>
      </c>
      <c r="B121" s="12"/>
      <c r="C121" s="12"/>
      <c r="D121" s="12"/>
      <c r="E121" s="129">
        <f>'[2]Base Inversionistas 26'!J124/$N$1</f>
        <v>0</v>
      </c>
      <c r="F121" s="129">
        <f>'[2]Base Inversionistas 26'!K124/$N$1</f>
        <v>0</v>
      </c>
      <c r="G121" s="129">
        <f>'[2]Base Inversionistas 26'!L124/$N$1</f>
        <v>0</v>
      </c>
      <c r="H121" s="129">
        <f>'[2]Base Inversionistas 26'!M124/$N$1</f>
        <v>0</v>
      </c>
      <c r="I121" s="129">
        <f>'[2]Base Inversionistas 26'!N124/$N$1</f>
        <v>0</v>
      </c>
      <c r="J121" s="129">
        <f>'[2]Base Inversionistas 26'!O124/$N$1</f>
        <v>0</v>
      </c>
      <c r="K121" s="129">
        <f>'[2]Base Inversionistas 26'!P124/$N$1</f>
        <v>0</v>
      </c>
      <c r="L121" s="129">
        <f>'[2]Base Inversionistas 26'!Q124/$N$1</f>
        <v>0</v>
      </c>
    </row>
    <row r="122" spans="1:12">
      <c r="A122" s="12" t="s">
        <v>39</v>
      </c>
      <c r="B122" s="12">
        <v>11809146</v>
      </c>
      <c r="C122" s="12">
        <v>3136811706</v>
      </c>
      <c r="D122" s="12" t="s">
        <v>174</v>
      </c>
      <c r="E122" s="129">
        <f>'[2]Base Inversionistas 26'!J125/$N$1</f>
        <v>0</v>
      </c>
      <c r="F122" s="129">
        <f>'[2]Base Inversionistas 26'!K125/$N$1</f>
        <v>0</v>
      </c>
      <c r="G122" s="129">
        <f>'[2]Base Inversionistas 26'!L125/$N$1</f>
        <v>0</v>
      </c>
      <c r="H122" s="129">
        <f>'[2]Base Inversionistas 26'!M125/$N$1</f>
        <v>0</v>
      </c>
      <c r="I122" s="129">
        <f>'[2]Base Inversionistas 26'!N125/$N$1</f>
        <v>0</v>
      </c>
      <c r="J122" s="129">
        <f>'[2]Base Inversionistas 26'!O125/$N$1</f>
        <v>0</v>
      </c>
      <c r="K122" s="129">
        <f>'[2]Base Inversionistas 26'!P125/$N$1</f>
        <v>0</v>
      </c>
      <c r="L122" s="129">
        <f>'[2]Base Inversionistas 26'!Q125/$N$1</f>
        <v>0</v>
      </c>
    </row>
    <row r="123" spans="1:12">
      <c r="A123" s="16" t="s">
        <v>89</v>
      </c>
      <c r="B123" s="16"/>
      <c r="C123" s="16"/>
      <c r="D123" s="12"/>
      <c r="E123" s="129">
        <f>'[2]Base Inversionistas 26'!J126/$N$1</f>
        <v>0</v>
      </c>
      <c r="F123" s="129">
        <f>'[2]Base Inversionistas 26'!K126/$N$1</f>
        <v>0</v>
      </c>
      <c r="G123" s="129">
        <f>'[2]Base Inversionistas 26'!L126/$N$1</f>
        <v>0</v>
      </c>
      <c r="H123" s="129">
        <f>'[2]Base Inversionistas 26'!M126/$N$1</f>
        <v>0</v>
      </c>
      <c r="I123" s="129">
        <f>'[2]Base Inversionistas 26'!N126/$N$1</f>
        <v>0</v>
      </c>
      <c r="J123" s="129">
        <f>'[2]Base Inversionistas 26'!O126/$N$1</f>
        <v>0</v>
      </c>
      <c r="K123" s="129">
        <f>'[2]Base Inversionistas 26'!P126/$N$1</f>
        <v>0</v>
      </c>
      <c r="L123" s="129">
        <f>'[2]Base Inversionistas 26'!Q126/$N$1</f>
        <v>0</v>
      </c>
    </row>
    <row r="124" spans="1:12">
      <c r="A124" s="12" t="s">
        <v>156</v>
      </c>
      <c r="B124" s="12"/>
      <c r="C124" s="12"/>
      <c r="D124" s="12"/>
      <c r="E124" s="129">
        <f>'[2]Base Inversionistas 26'!J127/$N$1</f>
        <v>0</v>
      </c>
      <c r="F124" s="129">
        <f>'[2]Base Inversionistas 26'!K127/$N$1</f>
        <v>0</v>
      </c>
      <c r="G124" s="129">
        <f>'[2]Base Inversionistas 26'!L127/$N$1</f>
        <v>0</v>
      </c>
      <c r="H124" s="129">
        <f>'[2]Base Inversionistas 26'!M127/$N$1</f>
        <v>0</v>
      </c>
      <c r="I124" s="129">
        <f>'[2]Base Inversionistas 26'!N127/$N$1</f>
        <v>0</v>
      </c>
      <c r="J124" s="129">
        <f>'[2]Base Inversionistas 26'!O127/$N$1</f>
        <v>0</v>
      </c>
      <c r="K124" s="129">
        <f>'[2]Base Inversionistas 26'!P127/$N$1</f>
        <v>0</v>
      </c>
      <c r="L124" s="129">
        <f>'[2]Base Inversionistas 26'!Q127/$N$1</f>
        <v>0</v>
      </c>
    </row>
    <row r="125" spans="1:12">
      <c r="A125" s="12" t="s">
        <v>29</v>
      </c>
      <c r="B125" s="12">
        <v>8694441</v>
      </c>
      <c r="C125" s="12">
        <v>3170295457</v>
      </c>
      <c r="D125" s="12" t="s">
        <v>442</v>
      </c>
      <c r="E125" s="129">
        <f>'[2]Base Inversionistas 26'!J128/$N$1</f>
        <v>1</v>
      </c>
      <c r="F125" s="129">
        <f>'[2]Base Inversionistas 26'!K128/$N$1</f>
        <v>1</v>
      </c>
      <c r="G125" s="129">
        <f>'[2]Base Inversionistas 26'!L128/$N$1</f>
        <v>1</v>
      </c>
      <c r="H125" s="129">
        <f>'[2]Base Inversionistas 26'!M128/$N$1</f>
        <v>0</v>
      </c>
      <c r="I125" s="129">
        <f>'[2]Base Inversionistas 26'!N128/$N$1</f>
        <v>1</v>
      </c>
      <c r="J125" s="129">
        <f>'[2]Base Inversionistas 26'!O128/$N$1</f>
        <v>1</v>
      </c>
      <c r="K125" s="129">
        <f>'[2]Base Inversionistas 26'!P128/$N$1</f>
        <v>1</v>
      </c>
      <c r="L125" s="129">
        <f>'[2]Base Inversionistas 26'!Q128/$N$1</f>
        <v>0</v>
      </c>
    </row>
    <row r="126" spans="1:12">
      <c r="A126" s="16" t="s">
        <v>85</v>
      </c>
      <c r="B126" s="16">
        <v>60380993</v>
      </c>
      <c r="C126" s="16">
        <v>3213307371</v>
      </c>
      <c r="D126" s="12" t="s">
        <v>239</v>
      </c>
      <c r="E126" s="129">
        <f>'[2]Base Inversionistas 26'!J129/$N$1</f>
        <v>1</v>
      </c>
      <c r="F126" s="129">
        <f>'[2]Base Inversionistas 26'!K129/$N$1</f>
        <v>0</v>
      </c>
      <c r="G126" s="129">
        <f>'[2]Base Inversionistas 26'!L129/$N$1</f>
        <v>1</v>
      </c>
      <c r="H126" s="129">
        <f>'[2]Base Inversionistas 26'!M129/$N$1</f>
        <v>1</v>
      </c>
      <c r="I126" s="129">
        <f>'[2]Base Inversionistas 26'!N129/$N$1</f>
        <v>1</v>
      </c>
      <c r="J126" s="129">
        <f>'[2]Base Inversionistas 26'!O129/$N$1</f>
        <v>1</v>
      </c>
      <c r="K126" s="129">
        <f>'[2]Base Inversionistas 26'!P129/$N$1</f>
        <v>1</v>
      </c>
      <c r="L126" s="129">
        <f>'[2]Base Inversionistas 26'!Q129/$N$1</f>
        <v>1</v>
      </c>
    </row>
    <row r="127" spans="1:12">
      <c r="A127" s="12" t="s">
        <v>30</v>
      </c>
      <c r="B127" s="12"/>
      <c r="C127" s="12"/>
      <c r="D127" s="12"/>
      <c r="E127" s="129">
        <f>'[2]Base Inversionistas 26'!J130/$N$1</f>
        <v>0</v>
      </c>
      <c r="F127" s="129">
        <f>'[2]Base Inversionistas 26'!K130/$N$1</f>
        <v>0</v>
      </c>
      <c r="G127" s="129">
        <f>'[2]Base Inversionistas 26'!L130/$N$1</f>
        <v>0</v>
      </c>
      <c r="H127" s="129">
        <f>'[2]Base Inversionistas 26'!M130/$N$1</f>
        <v>0</v>
      </c>
      <c r="I127" s="129">
        <f>'[2]Base Inversionistas 26'!N130/$N$1</f>
        <v>0</v>
      </c>
      <c r="J127" s="129">
        <f>'[2]Base Inversionistas 26'!O130/$N$1</f>
        <v>0</v>
      </c>
      <c r="K127" s="129">
        <f>'[2]Base Inversionistas 26'!P130/$N$1</f>
        <v>0</v>
      </c>
      <c r="L127" s="129">
        <f>'[2]Base Inversionistas 26'!Q130/$N$1</f>
        <v>0</v>
      </c>
    </row>
    <row r="128" spans="1:12">
      <c r="A128" s="16" t="s">
        <v>752</v>
      </c>
      <c r="B128" s="16">
        <v>860606</v>
      </c>
      <c r="C128" s="16"/>
      <c r="D128" s="12" t="s">
        <v>257</v>
      </c>
      <c r="E128" s="129">
        <f>'[2]Base Inversionistas 26'!J131/$N$1</f>
        <v>1</v>
      </c>
      <c r="F128" s="129">
        <f>'[2]Base Inversionistas 26'!K131/$N$1</f>
        <v>0</v>
      </c>
      <c r="G128" s="129">
        <f>'[2]Base Inversionistas 26'!L131/$N$1</f>
        <v>2.25</v>
      </c>
      <c r="H128" s="129">
        <f>'[2]Base Inversionistas 26'!M131/$N$1</f>
        <v>1</v>
      </c>
      <c r="I128" s="129">
        <f>'[2]Base Inversionistas 26'!N131/$N$1</f>
        <v>0</v>
      </c>
      <c r="J128" s="129">
        <f>'[2]Base Inversionistas 26'!O131/$N$1</f>
        <v>0</v>
      </c>
      <c r="K128" s="129">
        <f>'[2]Base Inversionistas 26'!P131/$N$1</f>
        <v>1</v>
      </c>
      <c r="L128" s="129">
        <f>'[2]Base Inversionistas 26'!Q131/$N$1</f>
        <v>1</v>
      </c>
    </row>
    <row r="129" spans="1:12">
      <c r="A129" s="12" t="s">
        <v>154</v>
      </c>
      <c r="B129" s="12"/>
      <c r="C129" s="12"/>
      <c r="D129" s="12" t="s">
        <v>257</v>
      </c>
      <c r="E129" s="129">
        <f>'[2]Base Inversionistas 26'!J132/$N$1</f>
        <v>0</v>
      </c>
      <c r="F129" s="129">
        <f>'[2]Base Inversionistas 26'!K132/$N$1</f>
        <v>0</v>
      </c>
      <c r="G129" s="129">
        <f>'[2]Base Inversionistas 26'!L132/$N$1</f>
        <v>0</v>
      </c>
      <c r="H129" s="129">
        <f>'[2]Base Inversionistas 26'!M132/$N$1</f>
        <v>0</v>
      </c>
      <c r="I129" s="129">
        <f>'[2]Base Inversionistas 26'!N132/$N$1</f>
        <v>0</v>
      </c>
      <c r="J129" s="129">
        <f>'[2]Base Inversionistas 26'!O132/$N$1</f>
        <v>0</v>
      </c>
      <c r="K129" s="129">
        <f>'[2]Base Inversionistas 26'!P132/$N$1</f>
        <v>0</v>
      </c>
      <c r="L129" s="129">
        <f>'[2]Base Inversionistas 26'!Q132/$N$1</f>
        <v>0</v>
      </c>
    </row>
    <row r="130" spans="1:12">
      <c r="A130" s="16" t="s">
        <v>107</v>
      </c>
      <c r="B130" s="16"/>
      <c r="C130" s="16"/>
      <c r="D130" s="12"/>
      <c r="E130" s="129">
        <f>'[2]Base Inversionistas 26'!J133/$N$1</f>
        <v>0</v>
      </c>
      <c r="F130" s="129">
        <f>'[2]Base Inversionistas 26'!K133/$N$1</f>
        <v>0</v>
      </c>
      <c r="G130" s="129">
        <f>'[2]Base Inversionistas 26'!L133/$N$1</f>
        <v>0</v>
      </c>
      <c r="H130" s="129">
        <f>'[2]Base Inversionistas 26'!M133/$N$1</f>
        <v>0</v>
      </c>
      <c r="I130" s="129">
        <f>'[2]Base Inversionistas 26'!N133/$N$1</f>
        <v>0</v>
      </c>
      <c r="J130" s="129">
        <f>'[2]Base Inversionistas 26'!O133/$N$1</f>
        <v>0</v>
      </c>
      <c r="K130" s="129">
        <f>'[2]Base Inversionistas 26'!P133/$N$1</f>
        <v>0</v>
      </c>
      <c r="L130" s="129">
        <f>'[2]Base Inversionistas 26'!Q133/$N$1</f>
        <v>0</v>
      </c>
    </row>
    <row r="131" spans="1:12">
      <c r="A131" s="12" t="s">
        <v>152</v>
      </c>
      <c r="B131" s="12"/>
      <c r="C131" s="12"/>
      <c r="D131" s="12" t="s">
        <v>257</v>
      </c>
      <c r="E131" s="129">
        <f>'[2]Base Inversionistas 26'!J134/$N$1</f>
        <v>0</v>
      </c>
      <c r="F131" s="129">
        <f>'[2]Base Inversionistas 26'!K134/$N$1</f>
        <v>0</v>
      </c>
      <c r="G131" s="129">
        <f>'[2]Base Inversionistas 26'!L134/$N$1</f>
        <v>0</v>
      </c>
      <c r="H131" s="129">
        <f>'[2]Base Inversionistas 26'!M134/$N$1</f>
        <v>0</v>
      </c>
      <c r="I131" s="129">
        <f>'[2]Base Inversionistas 26'!N134/$N$1</f>
        <v>4</v>
      </c>
      <c r="J131" s="129">
        <f>'[2]Base Inversionistas 26'!O134/$N$1</f>
        <v>0</v>
      </c>
      <c r="K131" s="129">
        <f>'[2]Base Inversionistas 26'!P134/$N$1</f>
        <v>0</v>
      </c>
      <c r="L131" s="129">
        <f>'[2]Base Inversionistas 26'!Q134/$N$1</f>
        <v>0</v>
      </c>
    </row>
    <row r="132" spans="1:12">
      <c r="A132" s="16" t="s">
        <v>110</v>
      </c>
      <c r="B132" s="16"/>
      <c r="C132" s="16"/>
      <c r="D132" s="12" t="s">
        <v>257</v>
      </c>
      <c r="E132" s="129">
        <f>'[2]Base Inversionistas 26'!J135/$N$1</f>
        <v>0</v>
      </c>
      <c r="F132" s="129">
        <f>'[2]Base Inversionistas 26'!K135/$N$1</f>
        <v>0</v>
      </c>
      <c r="G132" s="129">
        <f>'[2]Base Inversionistas 26'!L135/$N$1</f>
        <v>0</v>
      </c>
      <c r="H132" s="129">
        <f>'[2]Base Inversionistas 26'!M135/$N$1</f>
        <v>0</v>
      </c>
      <c r="I132" s="129">
        <f>'[2]Base Inversionistas 26'!N135/$N$1</f>
        <v>0</v>
      </c>
      <c r="J132" s="129">
        <f>'[2]Base Inversionistas 26'!O135/$N$1</f>
        <v>0</v>
      </c>
      <c r="K132" s="129">
        <f>'[2]Base Inversionistas 26'!P135/$N$1</f>
        <v>0</v>
      </c>
      <c r="L132" s="129">
        <f>'[2]Base Inversionistas 26'!Q135/$N$1</f>
        <v>0</v>
      </c>
    </row>
    <row r="133" spans="1:12">
      <c r="A133" s="12" t="s">
        <v>31</v>
      </c>
      <c r="B133" s="12">
        <v>77187578</v>
      </c>
      <c r="C133" s="12">
        <v>3123048536</v>
      </c>
      <c r="D133" s="12" t="s">
        <v>257</v>
      </c>
      <c r="E133" s="129">
        <f>'[2]Base Inversionistas 26'!J136/$N$1</f>
        <v>1</v>
      </c>
      <c r="F133" s="129">
        <f>'[2]Base Inversionistas 26'!K136/$N$1</f>
        <v>1</v>
      </c>
      <c r="G133" s="129">
        <f>'[2]Base Inversionistas 26'!L136/$N$1</f>
        <v>1</v>
      </c>
      <c r="H133" s="129">
        <f>'[2]Base Inversionistas 26'!M136/$N$1</f>
        <v>0</v>
      </c>
      <c r="I133" s="129">
        <f>'[2]Base Inversionistas 26'!N136/$N$1</f>
        <v>1</v>
      </c>
      <c r="J133" s="129">
        <f>'[2]Base Inversionistas 26'!O136/$N$1</f>
        <v>1</v>
      </c>
      <c r="K133" s="129">
        <f>'[2]Base Inversionistas 26'!P136/$N$1</f>
        <v>1</v>
      </c>
      <c r="L133" s="129">
        <f>'[2]Base Inversionistas 26'!Q136/$N$1</f>
        <v>0</v>
      </c>
    </row>
    <row r="134" spans="1:12">
      <c r="A134" s="12" t="s">
        <v>32</v>
      </c>
      <c r="B134" s="12"/>
      <c r="C134" s="12"/>
      <c r="D134" s="12"/>
      <c r="E134" s="129">
        <f>'[2]Base Inversionistas 26'!J137/$N$1</f>
        <v>0</v>
      </c>
      <c r="F134" s="129">
        <f>'[2]Base Inversionistas 26'!K137/$N$1</f>
        <v>0</v>
      </c>
      <c r="G134" s="129">
        <f>'[2]Base Inversionistas 26'!L137/$N$1</f>
        <v>0</v>
      </c>
      <c r="H134" s="129">
        <f>'[2]Base Inversionistas 26'!M137/$N$1</f>
        <v>0</v>
      </c>
      <c r="I134" s="129">
        <f>'[2]Base Inversionistas 26'!N137/$N$1</f>
        <v>0</v>
      </c>
      <c r="J134" s="129">
        <f>'[2]Base Inversionistas 26'!O137/$N$1</f>
        <v>0</v>
      </c>
      <c r="K134" s="129">
        <f>'[2]Base Inversionistas 26'!P137/$N$1</f>
        <v>0</v>
      </c>
      <c r="L134" s="129">
        <f>'[2]Base Inversionistas 26'!Q137/$N$1</f>
        <v>0</v>
      </c>
    </row>
    <row r="135" spans="1:12">
      <c r="A135" s="12" t="s">
        <v>448</v>
      </c>
      <c r="B135" s="12">
        <v>41679611</v>
      </c>
      <c r="C135" s="12" t="s">
        <v>449</v>
      </c>
      <c r="D135" s="12" t="s">
        <v>450</v>
      </c>
      <c r="E135" s="129">
        <f>'[2]Base Inversionistas 26'!J138/$N$1</f>
        <v>2</v>
      </c>
      <c r="F135" s="129">
        <f>'[2]Base Inversionistas 26'!K138/$N$1</f>
        <v>2</v>
      </c>
      <c r="G135" s="129">
        <f>'[2]Base Inversionistas 26'!L138/$N$1</f>
        <v>2</v>
      </c>
      <c r="H135" s="129">
        <f>'[2]Base Inversionistas 26'!M138/$N$1</f>
        <v>2</v>
      </c>
      <c r="I135" s="129">
        <f>'[2]Base Inversionistas 26'!N138/$N$1</f>
        <v>2</v>
      </c>
      <c r="J135" s="129">
        <f>'[2]Base Inversionistas 26'!O138/$N$1</f>
        <v>2</v>
      </c>
      <c r="K135" s="129">
        <f>'[2]Base Inversionistas 26'!P138/$N$1</f>
        <v>2</v>
      </c>
      <c r="L135" s="129">
        <f>'[2]Base Inversionistas 26'!Q138/$N$1</f>
        <v>2</v>
      </c>
    </row>
    <row r="136" spans="1:12">
      <c r="A136" s="16" t="s">
        <v>66</v>
      </c>
      <c r="B136" s="16"/>
      <c r="C136" s="16"/>
      <c r="D136" s="12"/>
      <c r="E136" s="129">
        <f>'[2]Base Inversionistas 26'!J139/$N$1</f>
        <v>0</v>
      </c>
      <c r="F136" s="129">
        <f>'[2]Base Inversionistas 26'!K139/$N$1</f>
        <v>0</v>
      </c>
      <c r="G136" s="129">
        <f>'[2]Base Inversionistas 26'!L139/$N$1</f>
        <v>0</v>
      </c>
      <c r="H136" s="129">
        <f>'[2]Base Inversionistas 26'!M139/$N$1</f>
        <v>0</v>
      </c>
      <c r="I136" s="129">
        <f>'[2]Base Inversionistas 26'!N139/$N$1</f>
        <v>0</v>
      </c>
      <c r="J136" s="129">
        <f>'[2]Base Inversionistas 26'!O139/$N$1</f>
        <v>0</v>
      </c>
      <c r="K136" s="129">
        <f>'[2]Base Inversionistas 26'!P139/$N$1</f>
        <v>0</v>
      </c>
      <c r="L136" s="129">
        <f>'[2]Base Inversionistas 26'!Q139/$N$1</f>
        <v>0</v>
      </c>
    </row>
    <row r="137" spans="1:12">
      <c r="A137" s="12" t="s">
        <v>184</v>
      </c>
      <c r="B137" s="12"/>
      <c r="C137" s="12"/>
      <c r="D137" s="12"/>
      <c r="E137" s="129">
        <f>'[2]Base Inversionistas 26'!J140/$N$1</f>
        <v>0</v>
      </c>
      <c r="F137" s="129">
        <f>'[2]Base Inversionistas 26'!K140/$N$1</f>
        <v>0</v>
      </c>
      <c r="G137" s="129">
        <f>'[2]Base Inversionistas 26'!L140/$N$1</f>
        <v>0</v>
      </c>
      <c r="H137" s="129">
        <f>'[2]Base Inversionistas 26'!M140/$N$1</f>
        <v>0</v>
      </c>
      <c r="I137" s="129">
        <f>'[2]Base Inversionistas 26'!N140/$N$1</f>
        <v>0</v>
      </c>
      <c r="J137" s="129">
        <f>'[2]Base Inversionistas 26'!O140/$N$1</f>
        <v>0</v>
      </c>
      <c r="K137" s="129">
        <f>'[2]Base Inversionistas 26'!P140/$N$1</f>
        <v>0</v>
      </c>
      <c r="L137" s="129">
        <f>'[2]Base Inversionistas 26'!Q140/$N$1</f>
        <v>0</v>
      </c>
    </row>
    <row r="138" spans="1:12">
      <c r="A138" s="16" t="s">
        <v>136</v>
      </c>
      <c r="B138" s="16"/>
      <c r="C138" s="16"/>
      <c r="D138" s="12" t="s">
        <v>257</v>
      </c>
      <c r="E138" s="129">
        <f>'[2]Base Inversionistas 26'!J141/$N$1</f>
        <v>1</v>
      </c>
      <c r="F138" s="129">
        <f>'[2]Base Inversionistas 26'!K141/$N$1</f>
        <v>1</v>
      </c>
      <c r="G138" s="129">
        <f>'[2]Base Inversionistas 26'!L141/$N$1</f>
        <v>1</v>
      </c>
      <c r="H138" s="129">
        <f>'[2]Base Inversionistas 26'!M141/$N$1</f>
        <v>0</v>
      </c>
      <c r="I138" s="129">
        <f>'[2]Base Inversionistas 26'!N141/$N$1</f>
        <v>3</v>
      </c>
      <c r="J138" s="129">
        <f>'[2]Base Inversionistas 26'!O141/$N$1</f>
        <v>1</v>
      </c>
      <c r="K138" s="129">
        <f>'[2]Base Inversionistas 26'!P141/$N$1</f>
        <v>0</v>
      </c>
      <c r="L138" s="129">
        <f>'[2]Base Inversionistas 26'!Q141/$N$1</f>
        <v>1</v>
      </c>
    </row>
    <row r="139" spans="1:12">
      <c r="A139" s="16" t="s">
        <v>151</v>
      </c>
      <c r="B139" s="16">
        <v>4517739</v>
      </c>
      <c r="C139" s="16"/>
      <c r="D139" s="12" t="s">
        <v>176</v>
      </c>
      <c r="E139" s="129">
        <f>'[2]Base Inversionistas 26'!J142/$N$1</f>
        <v>0</v>
      </c>
      <c r="F139" s="129">
        <f>'[2]Base Inversionistas 26'!K142/$N$1</f>
        <v>0</v>
      </c>
      <c r="G139" s="129">
        <f>'[2]Base Inversionistas 26'!L142/$N$1</f>
        <v>0</v>
      </c>
      <c r="H139" s="129">
        <f>'[2]Base Inversionistas 26'!M142/$N$1</f>
        <v>0</v>
      </c>
      <c r="I139" s="129">
        <f>'[2]Base Inversionistas 26'!N142/$N$1</f>
        <v>0</v>
      </c>
      <c r="J139" s="129">
        <f>'[2]Base Inversionistas 26'!O142/$N$1</f>
        <v>0</v>
      </c>
      <c r="K139" s="129">
        <f>'[2]Base Inversionistas 26'!P142/$N$1</f>
        <v>0</v>
      </c>
      <c r="L139" s="129">
        <f>'[2]Base Inversionistas 26'!Q142/$N$1</f>
        <v>0</v>
      </c>
    </row>
    <row r="140" spans="1:12">
      <c r="A140" s="16" t="s">
        <v>56</v>
      </c>
      <c r="B140" s="16"/>
      <c r="C140" s="16"/>
      <c r="D140" s="12"/>
      <c r="E140" s="129">
        <f>'[2]Base Inversionistas 26'!J143/$N$1</f>
        <v>0</v>
      </c>
      <c r="F140" s="129">
        <f>'[2]Base Inversionistas 26'!K143/$N$1</f>
        <v>0</v>
      </c>
      <c r="G140" s="129">
        <f>'[2]Base Inversionistas 26'!L143/$N$1</f>
        <v>0</v>
      </c>
      <c r="H140" s="129">
        <f>'[2]Base Inversionistas 26'!M143/$N$1</f>
        <v>0</v>
      </c>
      <c r="I140" s="129">
        <f>'[2]Base Inversionistas 26'!N143/$N$1</f>
        <v>0</v>
      </c>
      <c r="J140" s="129">
        <f>'[2]Base Inversionistas 26'!O143/$N$1</f>
        <v>0</v>
      </c>
      <c r="K140" s="129">
        <f>'[2]Base Inversionistas 26'!P143/$N$1</f>
        <v>0</v>
      </c>
      <c r="L140" s="129">
        <f>'[2]Base Inversionistas 26'!Q143/$N$1</f>
        <v>0</v>
      </c>
    </row>
    <row r="141" spans="1:12">
      <c r="A141" s="16" t="s">
        <v>148</v>
      </c>
      <c r="B141" s="16"/>
      <c r="C141" s="16"/>
      <c r="D141" s="12"/>
      <c r="E141" s="129">
        <f>'[2]Base Inversionistas 26'!J144/$N$1</f>
        <v>0</v>
      </c>
      <c r="F141" s="129">
        <f>'[2]Base Inversionistas 26'!K144/$N$1</f>
        <v>0</v>
      </c>
      <c r="G141" s="129">
        <f>'[2]Base Inversionistas 26'!L144/$N$1</f>
        <v>0</v>
      </c>
      <c r="H141" s="129">
        <f>'[2]Base Inversionistas 26'!M144/$N$1</f>
        <v>0</v>
      </c>
      <c r="I141" s="129">
        <f>'[2]Base Inversionistas 26'!N144/$N$1</f>
        <v>0</v>
      </c>
      <c r="J141" s="129">
        <f>'[2]Base Inversionistas 26'!O144/$N$1</f>
        <v>0</v>
      </c>
      <c r="K141" s="129">
        <f>'[2]Base Inversionistas 26'!P144/$N$1</f>
        <v>0</v>
      </c>
      <c r="L141" s="129">
        <f>'[2]Base Inversionistas 26'!Q144/$N$1</f>
        <v>0</v>
      </c>
    </row>
    <row r="142" spans="1:12">
      <c r="A142" s="12" t="s">
        <v>155</v>
      </c>
      <c r="B142" s="12"/>
      <c r="C142" s="12"/>
      <c r="D142" s="12" t="s">
        <v>183</v>
      </c>
      <c r="E142" s="129">
        <f>'[2]Base Inversionistas 26'!J145/$N$1</f>
        <v>0</v>
      </c>
      <c r="F142" s="129">
        <f>'[2]Base Inversionistas 26'!K145/$N$1</f>
        <v>0</v>
      </c>
      <c r="G142" s="129">
        <f>'[2]Base Inversionistas 26'!L145/$N$1</f>
        <v>0</v>
      </c>
      <c r="H142" s="129">
        <f>'[2]Base Inversionistas 26'!M145/$N$1</f>
        <v>0</v>
      </c>
      <c r="I142" s="129">
        <f>'[2]Base Inversionistas 26'!N145/$N$1</f>
        <v>0</v>
      </c>
      <c r="J142" s="129">
        <f>'[2]Base Inversionistas 26'!O145/$N$1</f>
        <v>0</v>
      </c>
      <c r="K142" s="129">
        <f>'[2]Base Inversionistas 26'!P145/$N$1</f>
        <v>0</v>
      </c>
      <c r="L142" s="129">
        <f>'[2]Base Inversionistas 26'!Q145/$N$1</f>
        <v>0</v>
      </c>
    </row>
    <row r="143" spans="1:12">
      <c r="A143" s="12" t="s">
        <v>49</v>
      </c>
      <c r="B143" s="12"/>
      <c r="C143" s="12"/>
      <c r="D143" s="12"/>
      <c r="E143" s="129">
        <f>'[2]Base Inversionistas 26'!J146/$N$1</f>
        <v>0</v>
      </c>
      <c r="F143" s="129">
        <f>'[2]Base Inversionistas 26'!K146/$N$1</f>
        <v>0</v>
      </c>
      <c r="G143" s="129">
        <f>'[2]Base Inversionistas 26'!L146/$N$1</f>
        <v>0</v>
      </c>
      <c r="H143" s="129">
        <f>'[2]Base Inversionistas 26'!M146/$N$1</f>
        <v>0</v>
      </c>
      <c r="I143" s="129">
        <f>'[2]Base Inversionistas 26'!N146/$N$1</f>
        <v>0</v>
      </c>
      <c r="J143" s="129">
        <f>'[2]Base Inversionistas 26'!O146/$N$1</f>
        <v>0</v>
      </c>
      <c r="K143" s="129">
        <f>'[2]Base Inversionistas 26'!P146/$N$1</f>
        <v>0</v>
      </c>
      <c r="L143" s="129">
        <f>'[2]Base Inversionistas 26'!Q146/$N$1</f>
        <v>0</v>
      </c>
    </row>
    <row r="144" spans="1:12">
      <c r="A144" s="12" t="s">
        <v>194</v>
      </c>
      <c r="B144" s="12"/>
      <c r="C144" s="12"/>
      <c r="D144" s="12" t="s">
        <v>257</v>
      </c>
      <c r="E144" s="129">
        <f>'[2]Base Inversionistas 26'!J147/$N$1</f>
        <v>0</v>
      </c>
      <c r="F144" s="129">
        <f>'[2]Base Inversionistas 26'!K147/$N$1</f>
        <v>0</v>
      </c>
      <c r="G144" s="129">
        <f>'[2]Base Inversionistas 26'!L147/$N$1</f>
        <v>0</v>
      </c>
      <c r="H144" s="129">
        <f>'[2]Base Inversionistas 26'!M147/$N$1</f>
        <v>0</v>
      </c>
      <c r="I144" s="129">
        <f>'[2]Base Inversionistas 26'!N147/$N$1</f>
        <v>0</v>
      </c>
      <c r="J144" s="129">
        <f>'[2]Base Inversionistas 26'!O147/$N$1</f>
        <v>0</v>
      </c>
      <c r="K144" s="129">
        <f>'[2]Base Inversionistas 26'!P147/$N$1</f>
        <v>0</v>
      </c>
      <c r="L144" s="129">
        <f>'[2]Base Inversionistas 26'!Q147/$N$1</f>
        <v>0</v>
      </c>
    </row>
    <row r="145" spans="1:12">
      <c r="A145" s="12" t="s">
        <v>195</v>
      </c>
      <c r="B145" s="12">
        <v>1067849185</v>
      </c>
      <c r="C145" s="12">
        <v>3043721442</v>
      </c>
      <c r="D145" s="12" t="s">
        <v>567</v>
      </c>
      <c r="E145" s="129">
        <f>'[2]Base Inversionistas 26'!J148/$N$1</f>
        <v>1</v>
      </c>
      <c r="F145" s="129">
        <f>'[2]Base Inversionistas 26'!K148/$N$1</f>
        <v>0</v>
      </c>
      <c r="G145" s="129">
        <f>'[2]Base Inversionistas 26'!L148/$N$1</f>
        <v>1</v>
      </c>
      <c r="H145" s="129">
        <f>'[2]Base Inversionistas 26'!M148/$N$1</f>
        <v>0</v>
      </c>
      <c r="I145" s="129">
        <f>'[2]Base Inversionistas 26'!N148/$N$1</f>
        <v>4</v>
      </c>
      <c r="J145" s="129">
        <f>'[2]Base Inversionistas 26'!O148/$N$1</f>
        <v>0</v>
      </c>
      <c r="K145" s="129">
        <f>'[2]Base Inversionistas 26'!P148/$N$1</f>
        <v>1</v>
      </c>
      <c r="L145" s="129">
        <f>'[2]Base Inversionistas 26'!Q148/$N$1</f>
        <v>1</v>
      </c>
    </row>
    <row r="146" spans="1:12">
      <c r="A146" s="12" t="s">
        <v>197</v>
      </c>
      <c r="B146" s="12"/>
      <c r="C146" s="12"/>
      <c r="D146" s="12"/>
      <c r="E146" s="129">
        <f>'[2]Base Inversionistas 26'!J149/$N$1</f>
        <v>0</v>
      </c>
      <c r="F146" s="129">
        <f>'[2]Base Inversionistas 26'!K149/$N$1</f>
        <v>0</v>
      </c>
      <c r="G146" s="129">
        <f>'[2]Base Inversionistas 26'!L149/$N$1</f>
        <v>0</v>
      </c>
      <c r="H146" s="129">
        <f>'[2]Base Inversionistas 26'!M149/$N$1</f>
        <v>0</v>
      </c>
      <c r="I146" s="129">
        <f>'[2]Base Inversionistas 26'!N149/$N$1</f>
        <v>0</v>
      </c>
      <c r="J146" s="129">
        <f>'[2]Base Inversionistas 26'!O149/$N$1</f>
        <v>0</v>
      </c>
      <c r="K146" s="129">
        <f>'[2]Base Inversionistas 26'!P149/$N$1</f>
        <v>0</v>
      </c>
      <c r="L146" s="129">
        <f>'[2]Base Inversionistas 26'!Q149/$N$1</f>
        <v>0</v>
      </c>
    </row>
    <row r="147" spans="1:12">
      <c r="A147" s="12" t="s">
        <v>198</v>
      </c>
      <c r="B147" s="12"/>
      <c r="C147" s="12"/>
      <c r="D147" s="12"/>
      <c r="E147" s="129">
        <f>'[2]Base Inversionistas 26'!J150/$N$1</f>
        <v>0</v>
      </c>
      <c r="F147" s="129">
        <f>'[2]Base Inversionistas 26'!K150/$N$1</f>
        <v>0</v>
      </c>
      <c r="G147" s="129">
        <f>'[2]Base Inversionistas 26'!L150/$N$1</f>
        <v>0</v>
      </c>
      <c r="H147" s="129">
        <f>'[2]Base Inversionistas 26'!M150/$N$1</f>
        <v>0</v>
      </c>
      <c r="I147" s="129">
        <f>'[2]Base Inversionistas 26'!N150/$N$1</f>
        <v>0</v>
      </c>
      <c r="J147" s="129">
        <f>'[2]Base Inversionistas 26'!O150/$N$1</f>
        <v>0</v>
      </c>
      <c r="K147" s="129">
        <f>'[2]Base Inversionistas 26'!P150/$N$1</f>
        <v>0</v>
      </c>
      <c r="L147" s="129">
        <f>'[2]Base Inversionistas 26'!Q150/$N$1</f>
        <v>0</v>
      </c>
    </row>
    <row r="148" spans="1:12">
      <c r="A148" s="12" t="s">
        <v>199</v>
      </c>
      <c r="B148" s="12"/>
      <c r="C148" s="12"/>
      <c r="D148" s="12"/>
      <c r="E148" s="129">
        <f>'[2]Base Inversionistas 26'!J151/$N$1</f>
        <v>0</v>
      </c>
      <c r="F148" s="129">
        <f>'[2]Base Inversionistas 26'!K151/$N$1</f>
        <v>0</v>
      </c>
      <c r="G148" s="129">
        <f>'[2]Base Inversionistas 26'!L151/$N$1</f>
        <v>0</v>
      </c>
      <c r="H148" s="129">
        <f>'[2]Base Inversionistas 26'!M151/$N$1</f>
        <v>0</v>
      </c>
      <c r="I148" s="129">
        <f>'[2]Base Inversionistas 26'!N151/$N$1</f>
        <v>0</v>
      </c>
      <c r="J148" s="129">
        <f>'[2]Base Inversionistas 26'!O151/$N$1</f>
        <v>0</v>
      </c>
      <c r="K148" s="129">
        <f>'[2]Base Inversionistas 26'!P151/$N$1</f>
        <v>0</v>
      </c>
      <c r="L148" s="129">
        <f>'[2]Base Inversionistas 26'!Q151/$N$1</f>
        <v>0</v>
      </c>
    </row>
    <row r="149" spans="1:12">
      <c r="A149" s="16" t="s">
        <v>201</v>
      </c>
      <c r="B149" s="16"/>
      <c r="C149" s="16"/>
      <c r="D149" s="12"/>
      <c r="E149" s="129">
        <f>'[2]Base Inversionistas 26'!J152/$N$1</f>
        <v>0</v>
      </c>
      <c r="F149" s="129">
        <f>'[2]Base Inversionistas 26'!K152/$N$1</f>
        <v>0</v>
      </c>
      <c r="G149" s="129">
        <f>'[2]Base Inversionistas 26'!L152/$N$1</f>
        <v>0</v>
      </c>
      <c r="H149" s="129">
        <f>'[2]Base Inversionistas 26'!M152/$N$1</f>
        <v>0</v>
      </c>
      <c r="I149" s="129">
        <f>'[2]Base Inversionistas 26'!N152/$N$1</f>
        <v>0</v>
      </c>
      <c r="J149" s="129">
        <f>'[2]Base Inversionistas 26'!O152/$N$1</f>
        <v>0</v>
      </c>
      <c r="K149" s="129">
        <f>'[2]Base Inversionistas 26'!P152/$N$1</f>
        <v>0</v>
      </c>
      <c r="L149" s="129">
        <f>'[2]Base Inversionistas 26'!Q152/$N$1</f>
        <v>0</v>
      </c>
    </row>
    <row r="150" spans="1:12">
      <c r="A150" s="16" t="s">
        <v>349</v>
      </c>
      <c r="B150" s="16">
        <v>1044429200</v>
      </c>
      <c r="C150" s="16">
        <v>3008202508</v>
      </c>
      <c r="D150" s="12" t="s">
        <v>681</v>
      </c>
      <c r="E150" s="129">
        <f>'[2]Base Inversionistas 26'!J153/$N$1</f>
        <v>0.25</v>
      </c>
      <c r="F150" s="129">
        <f>'[2]Base Inversionistas 26'!K153/$N$1</f>
        <v>0.5</v>
      </c>
      <c r="G150" s="129">
        <f>'[2]Base Inversionistas 26'!L153/$N$1</f>
        <v>0</v>
      </c>
      <c r="H150" s="129">
        <f>'[2]Base Inversionistas 26'!M153/$N$1</f>
        <v>0.5</v>
      </c>
      <c r="I150" s="129">
        <f>'[2]Base Inversionistas 26'!N153/$N$1</f>
        <v>0</v>
      </c>
      <c r="J150" s="129">
        <f>'[2]Base Inversionistas 26'!O153/$N$1</f>
        <v>0.25</v>
      </c>
      <c r="K150" s="129">
        <f>'[2]Base Inversionistas 26'!P153/$N$1</f>
        <v>0.5</v>
      </c>
      <c r="L150" s="129">
        <f>'[2]Base Inversionistas 26'!Q153/$N$1</f>
        <v>0</v>
      </c>
    </row>
    <row r="151" spans="1:12">
      <c r="A151" s="16" t="s">
        <v>203</v>
      </c>
      <c r="B151" s="16">
        <v>1067594389</v>
      </c>
      <c r="C151" s="16"/>
      <c r="D151" s="12"/>
      <c r="E151" s="129">
        <f>'[2]Base Inversionistas 26'!J154/$N$1</f>
        <v>0</v>
      </c>
      <c r="F151" s="129">
        <f>'[2]Base Inversionistas 26'!K154/$N$1</f>
        <v>0</v>
      </c>
      <c r="G151" s="129">
        <f>'[2]Base Inversionistas 26'!L154/$N$1</f>
        <v>0</v>
      </c>
      <c r="H151" s="129">
        <f>'[2]Base Inversionistas 26'!M154/$N$1</f>
        <v>0</v>
      </c>
      <c r="I151" s="129">
        <f>'[2]Base Inversionistas 26'!N154/$N$1</f>
        <v>0</v>
      </c>
      <c r="J151" s="129">
        <f>'[2]Base Inversionistas 26'!O154/$N$1</f>
        <v>0</v>
      </c>
      <c r="K151" s="129">
        <f>'[2]Base Inversionistas 26'!P154/$N$1</f>
        <v>0</v>
      </c>
      <c r="L151" s="129">
        <f>'[2]Base Inversionistas 26'!Q154/$N$1</f>
        <v>0</v>
      </c>
    </row>
    <row r="152" spans="1:12">
      <c r="A152" s="16" t="s">
        <v>218</v>
      </c>
      <c r="B152" s="12">
        <v>11705775</v>
      </c>
      <c r="C152" s="12">
        <v>3127559027</v>
      </c>
      <c r="D152" s="12" t="s">
        <v>174</v>
      </c>
      <c r="E152" s="129">
        <f>'[2]Base Inversionistas 26'!J155/$N$1</f>
        <v>0</v>
      </c>
      <c r="F152" s="129">
        <f>'[2]Base Inversionistas 26'!K155/$N$1</f>
        <v>0</v>
      </c>
      <c r="G152" s="129">
        <f>'[2]Base Inversionistas 26'!L155/$N$1</f>
        <v>0</v>
      </c>
      <c r="H152" s="129">
        <f>'[2]Base Inversionistas 26'!M155/$N$1</f>
        <v>0</v>
      </c>
      <c r="I152" s="129">
        <f>'[2]Base Inversionistas 26'!N155/$N$1</f>
        <v>0</v>
      </c>
      <c r="J152" s="129">
        <f>'[2]Base Inversionistas 26'!O155/$N$1</f>
        <v>0</v>
      </c>
      <c r="K152" s="129">
        <f>'[2]Base Inversionistas 26'!P155/$N$1</f>
        <v>0</v>
      </c>
      <c r="L152" s="129">
        <f>'[2]Base Inversionistas 26'!Q155/$N$1</f>
        <v>0</v>
      </c>
    </row>
    <row r="153" spans="1:12">
      <c r="A153" s="16" t="s">
        <v>231</v>
      </c>
      <c r="B153" s="23">
        <v>1077437902</v>
      </c>
      <c r="C153" s="12">
        <v>3127867720</v>
      </c>
      <c r="D153" s="12" t="s">
        <v>347</v>
      </c>
      <c r="E153" s="129">
        <f>'[2]Base Inversionistas 26'!J156/$N$1</f>
        <v>0</v>
      </c>
      <c r="F153" s="129">
        <f>'[2]Base Inversionistas 26'!K156/$N$1</f>
        <v>0</v>
      </c>
      <c r="G153" s="129">
        <f>'[2]Base Inversionistas 26'!L156/$N$1</f>
        <v>0</v>
      </c>
      <c r="H153" s="129">
        <f>'[2]Base Inversionistas 26'!M156/$N$1</f>
        <v>2</v>
      </c>
      <c r="I153" s="129">
        <f>'[2]Base Inversionistas 26'!N156/$N$1</f>
        <v>0</v>
      </c>
      <c r="J153" s="129">
        <f>'[2]Base Inversionistas 26'!O156/$N$1</f>
        <v>1</v>
      </c>
      <c r="K153" s="129">
        <f>'[2]Base Inversionistas 26'!P156/$N$1</f>
        <v>0</v>
      </c>
      <c r="L153" s="129">
        <f>'[2]Base Inversionistas 26'!Q156/$N$1</f>
        <v>0</v>
      </c>
    </row>
    <row r="154" spans="1:12">
      <c r="A154" s="12" t="s">
        <v>219</v>
      </c>
      <c r="B154" s="23">
        <v>1003932453</v>
      </c>
      <c r="C154" s="12">
        <v>3226546627</v>
      </c>
      <c r="D154" s="12" t="s">
        <v>347</v>
      </c>
      <c r="E154" s="129">
        <f>'[2]Base Inversionistas 26'!J157/$N$1</f>
        <v>0</v>
      </c>
      <c r="F154" s="129">
        <f>'[2]Base Inversionistas 26'!K157/$N$1</f>
        <v>0</v>
      </c>
      <c r="G154" s="129">
        <f>'[2]Base Inversionistas 26'!L157/$N$1</f>
        <v>0</v>
      </c>
      <c r="H154" s="129">
        <f>'[2]Base Inversionistas 26'!M157/$N$1</f>
        <v>0</v>
      </c>
      <c r="I154" s="129">
        <f>'[2]Base Inversionistas 26'!N157/$N$1</f>
        <v>0</v>
      </c>
      <c r="J154" s="129">
        <f>'[2]Base Inversionistas 26'!O157/$N$1</f>
        <v>0</v>
      </c>
      <c r="K154" s="129">
        <f>'[2]Base Inversionistas 26'!P157/$N$1</f>
        <v>0</v>
      </c>
      <c r="L154" s="129">
        <f>'[2]Base Inversionistas 26'!Q157/$N$1</f>
        <v>0</v>
      </c>
    </row>
    <row r="155" spans="1:12">
      <c r="A155" s="16" t="s">
        <v>716</v>
      </c>
      <c r="B155" s="16"/>
      <c r="C155" s="16">
        <v>3214118979</v>
      </c>
      <c r="D155" s="12" t="s">
        <v>257</v>
      </c>
      <c r="E155" s="129">
        <f>'[2]Base Inversionistas 26'!J158/$N$1</f>
        <v>0.35</v>
      </c>
      <c r="F155" s="129">
        <f>'[2]Base Inversionistas 26'!K158/$N$1</f>
        <v>0.35</v>
      </c>
      <c r="G155" s="129">
        <f>'[2]Base Inversionistas 26'!L158/$N$1</f>
        <v>0.35</v>
      </c>
      <c r="H155" s="129">
        <f>'[2]Base Inversionistas 26'!M158/$N$1</f>
        <v>0.3</v>
      </c>
      <c r="I155" s="129">
        <f>'[2]Base Inversionistas 26'!N158/$N$1</f>
        <v>0.4</v>
      </c>
      <c r="J155" s="129">
        <f>'[2]Base Inversionistas 26'!O158/$N$1</f>
        <v>0.35</v>
      </c>
      <c r="K155" s="129">
        <f>'[2]Base Inversionistas 26'!P158/$N$1</f>
        <v>0.35</v>
      </c>
      <c r="L155" s="129">
        <f>'[2]Base Inversionistas 26'!Q158/$N$1</f>
        <v>0.35</v>
      </c>
    </row>
    <row r="156" spans="1:12">
      <c r="A156" s="16" t="s">
        <v>221</v>
      </c>
      <c r="B156" s="16"/>
      <c r="C156" s="16"/>
      <c r="D156" s="12"/>
      <c r="E156" s="129">
        <f>'[2]Base Inversionistas 26'!J159/$N$1</f>
        <v>0</v>
      </c>
      <c r="F156" s="129">
        <f>'[2]Base Inversionistas 26'!K159/$N$1</f>
        <v>0</v>
      </c>
      <c r="G156" s="129">
        <f>'[2]Base Inversionistas 26'!L159/$N$1</f>
        <v>0</v>
      </c>
      <c r="H156" s="129">
        <f>'[2]Base Inversionistas 26'!M159/$N$1</f>
        <v>0</v>
      </c>
      <c r="I156" s="129">
        <f>'[2]Base Inversionistas 26'!N159/$N$1</f>
        <v>0</v>
      </c>
      <c r="J156" s="129">
        <f>'[2]Base Inversionistas 26'!O159/$N$1</f>
        <v>0</v>
      </c>
      <c r="K156" s="129">
        <f>'[2]Base Inversionistas 26'!P159/$N$1</f>
        <v>0</v>
      </c>
      <c r="L156" s="129">
        <f>'[2]Base Inversionistas 26'!Q159/$N$1</f>
        <v>0</v>
      </c>
    </row>
    <row r="157" spans="1:12">
      <c r="A157" s="16" t="s">
        <v>250</v>
      </c>
      <c r="B157" s="16">
        <v>60267661</v>
      </c>
      <c r="C157" s="16"/>
      <c r="D157" s="12" t="s">
        <v>217</v>
      </c>
      <c r="E157" s="129">
        <f>'[2]Base Inversionistas 26'!J160/$N$1</f>
        <v>0</v>
      </c>
      <c r="F157" s="129">
        <f>'[2]Base Inversionistas 26'!K160/$N$1</f>
        <v>0</v>
      </c>
      <c r="G157" s="129">
        <f>'[2]Base Inversionistas 26'!L160/$N$1</f>
        <v>0</v>
      </c>
      <c r="H157" s="129">
        <f>'[2]Base Inversionistas 26'!M160/$N$1</f>
        <v>0</v>
      </c>
      <c r="I157" s="129">
        <f>'[2]Base Inversionistas 26'!N160/$N$1</f>
        <v>0</v>
      </c>
      <c r="J157" s="129">
        <f>'[2]Base Inversionistas 26'!O160/$N$1</f>
        <v>0</v>
      </c>
      <c r="K157" s="129">
        <f>'[2]Base Inversionistas 26'!P160/$N$1</f>
        <v>0</v>
      </c>
      <c r="L157" s="129">
        <f>'[2]Base Inversionistas 26'!Q160/$N$1</f>
        <v>0</v>
      </c>
    </row>
    <row r="158" spans="1:12">
      <c r="A158" s="16" t="s">
        <v>227</v>
      </c>
      <c r="B158" s="16">
        <v>39105075</v>
      </c>
      <c r="C158" s="16"/>
      <c r="D158" s="12"/>
      <c r="E158" s="129">
        <f>'[2]Base Inversionistas 26'!J161/$N$1</f>
        <v>0</v>
      </c>
      <c r="F158" s="129">
        <f>'[2]Base Inversionistas 26'!K161/$N$1</f>
        <v>0</v>
      </c>
      <c r="G158" s="129">
        <f>'[2]Base Inversionistas 26'!L161/$N$1</f>
        <v>0</v>
      </c>
      <c r="H158" s="129">
        <f>'[2]Base Inversionistas 26'!M161/$N$1</f>
        <v>0</v>
      </c>
      <c r="I158" s="129">
        <f>'[2]Base Inversionistas 26'!N161/$N$1</f>
        <v>0</v>
      </c>
      <c r="J158" s="129">
        <f>'[2]Base Inversionistas 26'!O161/$N$1</f>
        <v>0</v>
      </c>
      <c r="K158" s="129">
        <f>'[2]Base Inversionistas 26'!P161/$N$1</f>
        <v>0</v>
      </c>
      <c r="L158" s="129">
        <f>'[2]Base Inversionistas 26'!Q161/$N$1</f>
        <v>0</v>
      </c>
    </row>
    <row r="159" spans="1:12">
      <c r="A159" s="16" t="s">
        <v>228</v>
      </c>
      <c r="B159" s="16">
        <v>11785866</v>
      </c>
      <c r="C159" s="16">
        <v>3106178104</v>
      </c>
      <c r="D159" s="12" t="s">
        <v>347</v>
      </c>
      <c r="E159" s="129">
        <f>'[2]Base Inversionistas 26'!J162/$N$1</f>
        <v>1</v>
      </c>
      <c r="F159" s="129">
        <f>'[2]Base Inversionistas 26'!K162/$N$1</f>
        <v>1</v>
      </c>
      <c r="G159" s="129">
        <f>'[2]Base Inversionistas 26'!L162/$N$1</f>
        <v>1</v>
      </c>
      <c r="H159" s="129">
        <f>'[2]Base Inversionistas 26'!M162/$N$1</f>
        <v>6</v>
      </c>
      <c r="I159" s="129">
        <f>'[2]Base Inversionistas 26'!N162/$N$1</f>
        <v>0</v>
      </c>
      <c r="J159" s="129">
        <f>'[2]Base Inversionistas 26'!O162/$N$1</f>
        <v>2</v>
      </c>
      <c r="K159" s="129">
        <f>'[2]Base Inversionistas 26'!P162/$N$1</f>
        <v>2</v>
      </c>
      <c r="L159" s="129">
        <f>'[2]Base Inversionistas 26'!Q162/$N$1</f>
        <v>2</v>
      </c>
    </row>
    <row r="160" spans="1:12">
      <c r="A160" s="16" t="s">
        <v>636</v>
      </c>
      <c r="B160" s="16">
        <v>45591667</v>
      </c>
      <c r="C160" s="16">
        <v>3002275338</v>
      </c>
      <c r="D160" s="12" t="s">
        <v>230</v>
      </c>
      <c r="E160" s="129">
        <f>'[2]Base Inversionistas 26'!J163/$N$1</f>
        <v>0</v>
      </c>
      <c r="F160" s="129">
        <f>'[2]Base Inversionistas 26'!K163/$N$1</f>
        <v>0</v>
      </c>
      <c r="G160" s="129">
        <f>'[2]Base Inversionistas 26'!L163/$N$1</f>
        <v>1</v>
      </c>
      <c r="H160" s="129">
        <f>'[2]Base Inversionistas 26'!M163/$N$1</f>
        <v>0</v>
      </c>
      <c r="I160" s="129">
        <f>'[2]Base Inversionistas 26'!N163/$N$1</f>
        <v>1</v>
      </c>
      <c r="J160" s="129">
        <f>'[2]Base Inversionistas 26'!O163/$N$1</f>
        <v>1</v>
      </c>
      <c r="K160" s="129">
        <f>'[2]Base Inversionistas 26'!P163/$N$1</f>
        <v>1</v>
      </c>
      <c r="L160" s="129">
        <f>'[2]Base Inversionistas 26'!Q163/$N$1</f>
        <v>0</v>
      </c>
    </row>
    <row r="161" spans="1:12">
      <c r="A161" s="16" t="s">
        <v>232</v>
      </c>
      <c r="B161" s="16"/>
      <c r="C161" s="16"/>
      <c r="D161" s="12"/>
      <c r="E161" s="129">
        <f>'[2]Base Inversionistas 26'!J164/$N$1</f>
        <v>0</v>
      </c>
      <c r="F161" s="129">
        <f>'[2]Base Inversionistas 26'!K164/$N$1</f>
        <v>0</v>
      </c>
      <c r="G161" s="129">
        <f>'[2]Base Inversionistas 26'!L164/$N$1</f>
        <v>0</v>
      </c>
      <c r="H161" s="129">
        <f>'[2]Base Inversionistas 26'!M164/$N$1</f>
        <v>0</v>
      </c>
      <c r="I161" s="129">
        <f>'[2]Base Inversionistas 26'!N164/$N$1</f>
        <v>0</v>
      </c>
      <c r="J161" s="129">
        <f>'[2]Base Inversionistas 26'!O164/$N$1</f>
        <v>0</v>
      </c>
      <c r="K161" s="129">
        <f>'[2]Base Inversionistas 26'!P164/$N$1</f>
        <v>0</v>
      </c>
      <c r="L161" s="129">
        <f>'[2]Base Inversionistas 26'!Q164/$N$1</f>
        <v>0</v>
      </c>
    </row>
    <row r="162" spans="1:12">
      <c r="A162" s="16" t="s">
        <v>233</v>
      </c>
      <c r="B162" s="16">
        <v>88311237</v>
      </c>
      <c r="C162" s="16">
        <v>3157844390</v>
      </c>
      <c r="D162" s="12" t="s">
        <v>239</v>
      </c>
      <c r="E162" s="129">
        <f>'[2]Base Inversionistas 26'!J165/$N$1</f>
        <v>1</v>
      </c>
      <c r="F162" s="129">
        <f>'[2]Base Inversionistas 26'!K165/$N$1</f>
        <v>1</v>
      </c>
      <c r="G162" s="129">
        <f>'[2]Base Inversionistas 26'!L165/$N$1</f>
        <v>0</v>
      </c>
      <c r="H162" s="129">
        <f>'[2]Base Inversionistas 26'!M165/$N$1</f>
        <v>1</v>
      </c>
      <c r="I162" s="129">
        <f>'[2]Base Inversionistas 26'!N165/$N$1</f>
        <v>1</v>
      </c>
      <c r="J162" s="129">
        <f>'[2]Base Inversionistas 26'!O165/$N$1</f>
        <v>1</v>
      </c>
      <c r="K162" s="129">
        <f>'[2]Base Inversionistas 26'!P165/$N$1</f>
        <v>1</v>
      </c>
      <c r="L162" s="129">
        <f>'[2]Base Inversionistas 26'!Q165/$N$1</f>
        <v>1.71875</v>
      </c>
    </row>
    <row r="163" spans="1:12">
      <c r="A163" s="12" t="s">
        <v>234</v>
      </c>
      <c r="B163" s="12">
        <v>109042290</v>
      </c>
      <c r="C163" s="12"/>
      <c r="D163" s="12"/>
      <c r="E163" s="129">
        <f>'[2]Base Inversionistas 26'!J166/$N$1</f>
        <v>0</v>
      </c>
      <c r="F163" s="129">
        <f>'[2]Base Inversionistas 26'!K166/$N$1</f>
        <v>0</v>
      </c>
      <c r="G163" s="129">
        <f>'[2]Base Inversionistas 26'!L166/$N$1</f>
        <v>0</v>
      </c>
      <c r="H163" s="129">
        <f>'[2]Base Inversionistas 26'!M166/$N$1</f>
        <v>0</v>
      </c>
      <c r="I163" s="129">
        <f>'[2]Base Inversionistas 26'!N166/$N$1</f>
        <v>0</v>
      </c>
      <c r="J163" s="129">
        <f>'[2]Base Inversionistas 26'!O166/$N$1</f>
        <v>0</v>
      </c>
      <c r="K163" s="129">
        <f>'[2]Base Inversionistas 26'!P166/$N$1</f>
        <v>0</v>
      </c>
      <c r="L163" s="129">
        <f>'[2]Base Inversionistas 26'!Q166/$N$1</f>
        <v>0</v>
      </c>
    </row>
    <row r="164" spans="1:12">
      <c r="A164" s="12" t="s">
        <v>235</v>
      </c>
      <c r="B164" s="12">
        <v>10937503</v>
      </c>
      <c r="C164" s="12"/>
      <c r="D164" s="12"/>
      <c r="E164" s="129">
        <f>'[2]Base Inversionistas 26'!J167/$N$1</f>
        <v>0</v>
      </c>
      <c r="F164" s="129">
        <f>'[2]Base Inversionistas 26'!K167/$N$1</f>
        <v>0</v>
      </c>
      <c r="G164" s="129">
        <f>'[2]Base Inversionistas 26'!L167/$N$1</f>
        <v>0</v>
      </c>
      <c r="H164" s="129">
        <f>'[2]Base Inversionistas 26'!M167/$N$1</f>
        <v>0</v>
      </c>
      <c r="I164" s="129">
        <f>'[2]Base Inversionistas 26'!N167/$N$1</f>
        <v>0</v>
      </c>
      <c r="J164" s="129">
        <f>'[2]Base Inversionistas 26'!O167/$N$1</f>
        <v>0</v>
      </c>
      <c r="K164" s="129">
        <f>'[2]Base Inversionistas 26'!P167/$N$1</f>
        <v>0</v>
      </c>
      <c r="L164" s="129">
        <f>'[2]Base Inversionistas 26'!Q167/$N$1</f>
        <v>0</v>
      </c>
    </row>
    <row r="165" spans="1:12">
      <c r="A165" s="12" t="s">
        <v>236</v>
      </c>
      <c r="B165" s="12">
        <v>60442867</v>
      </c>
      <c r="C165" s="12"/>
      <c r="D165" s="12"/>
      <c r="E165" s="129">
        <f>'[2]Base Inversionistas 26'!J168/$N$1</f>
        <v>0</v>
      </c>
      <c r="F165" s="129">
        <f>'[2]Base Inversionistas 26'!K168/$N$1</f>
        <v>0</v>
      </c>
      <c r="G165" s="129">
        <f>'[2]Base Inversionistas 26'!L168/$N$1</f>
        <v>0</v>
      </c>
      <c r="H165" s="129">
        <f>'[2]Base Inversionistas 26'!M168/$N$1</f>
        <v>0</v>
      </c>
      <c r="I165" s="129">
        <f>'[2]Base Inversionistas 26'!N168/$N$1</f>
        <v>0</v>
      </c>
      <c r="J165" s="129">
        <f>'[2]Base Inversionistas 26'!O168/$N$1</f>
        <v>0</v>
      </c>
      <c r="K165" s="129">
        <f>'[2]Base Inversionistas 26'!P168/$N$1</f>
        <v>0</v>
      </c>
      <c r="L165" s="129">
        <f>'[2]Base Inversionistas 26'!Q168/$N$1</f>
        <v>0</v>
      </c>
    </row>
    <row r="166" spans="1:12">
      <c r="A166" s="12" t="s">
        <v>238</v>
      </c>
      <c r="B166" s="12">
        <v>1090397309</v>
      </c>
      <c r="C166" s="12"/>
      <c r="D166" s="12" t="s">
        <v>239</v>
      </c>
      <c r="E166" s="129">
        <f>'[2]Base Inversionistas 26'!J169/$N$1</f>
        <v>0</v>
      </c>
      <c r="F166" s="129">
        <f>'[2]Base Inversionistas 26'!K169/$N$1</f>
        <v>0</v>
      </c>
      <c r="G166" s="129">
        <f>'[2]Base Inversionistas 26'!L169/$N$1</f>
        <v>0</v>
      </c>
      <c r="H166" s="129">
        <f>'[2]Base Inversionistas 26'!M169/$N$1</f>
        <v>0</v>
      </c>
      <c r="I166" s="129">
        <f>'[2]Base Inversionistas 26'!N169/$N$1</f>
        <v>0</v>
      </c>
      <c r="J166" s="129">
        <f>'[2]Base Inversionistas 26'!O169/$N$1</f>
        <v>0</v>
      </c>
      <c r="K166" s="129">
        <f>'[2]Base Inversionistas 26'!P169/$N$1</f>
        <v>0</v>
      </c>
      <c r="L166" s="129">
        <f>'[2]Base Inversionistas 26'!Q169/$N$1</f>
        <v>0</v>
      </c>
    </row>
    <row r="167" spans="1:12">
      <c r="A167" s="16" t="s">
        <v>240</v>
      </c>
      <c r="B167" s="12"/>
      <c r="C167" s="16"/>
      <c r="D167" s="12"/>
      <c r="E167" s="129">
        <f>'[2]Base Inversionistas 26'!J170/$N$1</f>
        <v>0</v>
      </c>
      <c r="F167" s="129">
        <f>'[2]Base Inversionistas 26'!K170/$N$1</f>
        <v>0</v>
      </c>
      <c r="G167" s="129">
        <f>'[2]Base Inversionistas 26'!L170/$N$1</f>
        <v>0</v>
      </c>
      <c r="H167" s="129">
        <f>'[2]Base Inversionistas 26'!M170/$N$1</f>
        <v>0</v>
      </c>
      <c r="I167" s="129">
        <f>'[2]Base Inversionistas 26'!N170/$N$1</f>
        <v>0</v>
      </c>
      <c r="J167" s="129">
        <f>'[2]Base Inversionistas 26'!O170/$N$1</f>
        <v>0</v>
      </c>
      <c r="K167" s="129">
        <f>'[2]Base Inversionistas 26'!P170/$N$1</f>
        <v>0</v>
      </c>
      <c r="L167" s="129">
        <f>'[2]Base Inversionistas 26'!Q170/$N$1</f>
        <v>0</v>
      </c>
    </row>
    <row r="168" spans="1:12">
      <c r="A168" s="16" t="s">
        <v>241</v>
      </c>
      <c r="B168" s="16">
        <v>1093786204</v>
      </c>
      <c r="C168" s="16">
        <v>3212596253</v>
      </c>
      <c r="D168" s="12" t="s">
        <v>239</v>
      </c>
      <c r="E168" s="129">
        <f>'[2]Base Inversionistas 26'!J171/$N$1</f>
        <v>0</v>
      </c>
      <c r="F168" s="129">
        <f>'[2]Base Inversionistas 26'!K171/$N$1</f>
        <v>0</v>
      </c>
      <c r="G168" s="129">
        <f>'[2]Base Inversionistas 26'!L171/$N$1</f>
        <v>0</v>
      </c>
      <c r="H168" s="129">
        <f>'[2]Base Inversionistas 26'!M171/$N$1</f>
        <v>3</v>
      </c>
      <c r="I168" s="129">
        <f>'[2]Base Inversionistas 26'!N171/$N$1</f>
        <v>0</v>
      </c>
      <c r="J168" s="129">
        <f>'[2]Base Inversionistas 26'!O171/$N$1</f>
        <v>5</v>
      </c>
      <c r="K168" s="129">
        <f>'[2]Base Inversionistas 26'!P171/$N$1</f>
        <v>3</v>
      </c>
      <c r="L168" s="129">
        <f>'[2]Base Inversionistas 26'!Q171/$N$1</f>
        <v>0</v>
      </c>
    </row>
    <row r="169" spans="1:12">
      <c r="A169" s="16" t="s">
        <v>242</v>
      </c>
      <c r="B169" s="16"/>
      <c r="C169" s="16"/>
      <c r="D169" s="12" t="s">
        <v>547</v>
      </c>
      <c r="E169" s="129">
        <f>'[2]Base Inversionistas 26'!J172/$N$1</f>
        <v>0</v>
      </c>
      <c r="F169" s="129">
        <f>'[2]Base Inversionistas 26'!K172/$N$1</f>
        <v>0</v>
      </c>
      <c r="G169" s="129">
        <f>'[2]Base Inversionistas 26'!L172/$N$1</f>
        <v>0</v>
      </c>
      <c r="H169" s="129">
        <f>'[2]Base Inversionistas 26'!M172/$N$1</f>
        <v>0</v>
      </c>
      <c r="I169" s="129">
        <f>'[2]Base Inversionistas 26'!N172/$N$1</f>
        <v>0</v>
      </c>
      <c r="J169" s="129">
        <f>'[2]Base Inversionistas 26'!O172/$N$1</f>
        <v>0</v>
      </c>
      <c r="K169" s="129">
        <f>'[2]Base Inversionistas 26'!P172/$N$1</f>
        <v>0</v>
      </c>
      <c r="L169" s="129">
        <f>'[2]Base Inversionistas 26'!Q172/$N$1</f>
        <v>0</v>
      </c>
    </row>
    <row r="170" spans="1:12">
      <c r="A170" s="16" t="s">
        <v>246</v>
      </c>
      <c r="B170" s="16"/>
      <c r="C170" s="16"/>
      <c r="D170" s="12" t="s">
        <v>619</v>
      </c>
      <c r="E170" s="129">
        <f>'[2]Base Inversionistas 26'!J173/$N$1</f>
        <v>2</v>
      </c>
      <c r="F170" s="129">
        <f>'[2]Base Inversionistas 26'!K173/$N$1</f>
        <v>1</v>
      </c>
      <c r="G170" s="129">
        <f>'[2]Base Inversionistas 26'!L173/$N$1</f>
        <v>2</v>
      </c>
      <c r="H170" s="129">
        <f>'[2]Base Inversionistas 26'!M173/$N$1</f>
        <v>2</v>
      </c>
      <c r="I170" s="129">
        <f>'[2]Base Inversionistas 26'!N173/$N$1</f>
        <v>2</v>
      </c>
      <c r="J170" s="129">
        <f>'[2]Base Inversionistas 26'!O173/$N$1</f>
        <v>2</v>
      </c>
      <c r="K170" s="129">
        <f>'[2]Base Inversionistas 26'!P173/$N$1</f>
        <v>2</v>
      </c>
      <c r="L170" s="129">
        <f>'[2]Base Inversionistas 26'!Q173/$N$1</f>
        <v>0</v>
      </c>
    </row>
    <row r="171" spans="1:12">
      <c r="A171" s="16" t="s">
        <v>247</v>
      </c>
      <c r="B171" s="16">
        <v>79772077</v>
      </c>
      <c r="C171" s="16"/>
      <c r="D171" s="12"/>
      <c r="E171" s="129">
        <f>'[2]Base Inversionistas 26'!J174/$N$1</f>
        <v>0</v>
      </c>
      <c r="F171" s="129">
        <f>'[2]Base Inversionistas 26'!K174/$N$1</f>
        <v>0</v>
      </c>
      <c r="G171" s="129">
        <f>'[2]Base Inversionistas 26'!L174/$N$1</f>
        <v>0</v>
      </c>
      <c r="H171" s="129">
        <f>'[2]Base Inversionistas 26'!M174/$N$1</f>
        <v>0</v>
      </c>
      <c r="I171" s="129">
        <f>'[2]Base Inversionistas 26'!N174/$N$1</f>
        <v>0</v>
      </c>
      <c r="J171" s="129">
        <f>'[2]Base Inversionistas 26'!O174/$N$1</f>
        <v>0</v>
      </c>
      <c r="K171" s="129">
        <f>'[2]Base Inversionistas 26'!P174/$N$1</f>
        <v>0</v>
      </c>
      <c r="L171" s="129">
        <f>'[2]Base Inversionistas 26'!Q174/$N$1</f>
        <v>0</v>
      </c>
    </row>
    <row r="172" spans="1:12">
      <c r="A172" s="16" t="s">
        <v>248</v>
      </c>
      <c r="B172" s="16">
        <v>1093775115</v>
      </c>
      <c r="C172" s="16"/>
      <c r="D172" s="12" t="s">
        <v>729</v>
      </c>
      <c r="E172" s="129">
        <f>'[2]Base Inversionistas 26'!J175/$N$1</f>
        <v>0</v>
      </c>
      <c r="F172" s="129">
        <f>'[2]Base Inversionistas 26'!K175/$N$1</f>
        <v>0</v>
      </c>
      <c r="G172" s="129">
        <f>'[2]Base Inversionistas 26'!L175/$N$1</f>
        <v>1</v>
      </c>
      <c r="H172" s="129">
        <f>'[2]Base Inversionistas 26'!M175/$N$1</f>
        <v>1</v>
      </c>
      <c r="I172" s="129">
        <f>'[2]Base Inversionistas 26'!N175/$N$1</f>
        <v>1</v>
      </c>
      <c r="J172" s="129">
        <f>'[2]Base Inversionistas 26'!O175/$N$1</f>
        <v>0</v>
      </c>
      <c r="K172" s="129">
        <f>'[2]Base Inversionistas 26'!P175/$N$1</f>
        <v>0</v>
      </c>
      <c r="L172" s="129">
        <f>'[2]Base Inversionistas 26'!Q175/$N$1</f>
        <v>0</v>
      </c>
    </row>
    <row r="173" spans="1:12">
      <c r="A173" s="16" t="s">
        <v>249</v>
      </c>
      <c r="B173" s="16">
        <v>1048020150</v>
      </c>
      <c r="C173" s="16">
        <v>3012225929</v>
      </c>
      <c r="D173" s="12" t="s">
        <v>345</v>
      </c>
      <c r="E173" s="129">
        <f>'[2]Base Inversionistas 26'!J176/$N$1</f>
        <v>2</v>
      </c>
      <c r="F173" s="129">
        <f>'[2]Base Inversionistas 26'!K176/$N$1</f>
        <v>0</v>
      </c>
      <c r="G173" s="129">
        <f>'[2]Base Inversionistas 26'!L176/$N$1</f>
        <v>0</v>
      </c>
      <c r="H173" s="129">
        <f>'[2]Base Inversionistas 26'!M176/$N$1</f>
        <v>0</v>
      </c>
      <c r="I173" s="129">
        <f>'[2]Base Inversionistas 26'!N176/$N$1</f>
        <v>1</v>
      </c>
      <c r="J173" s="129">
        <f>'[2]Base Inversionistas 26'!O176/$N$1</f>
        <v>1</v>
      </c>
      <c r="K173" s="129">
        <f>'[2]Base Inversionistas 26'!P176/$N$1</f>
        <v>1</v>
      </c>
      <c r="L173" s="129">
        <f>'[2]Base Inversionistas 26'!Q176/$N$1</f>
        <v>1</v>
      </c>
    </row>
    <row r="174" spans="1:12">
      <c r="A174" s="16" t="s">
        <v>553</v>
      </c>
      <c r="B174" s="16">
        <v>1042767190</v>
      </c>
      <c r="C174" s="16">
        <v>3146496028</v>
      </c>
      <c r="D174" s="12" t="s">
        <v>351</v>
      </c>
      <c r="E174" s="129">
        <f>'[2]Base Inversionistas 26'!J177/$N$1</f>
        <v>3</v>
      </c>
      <c r="F174" s="129">
        <f>'[2]Base Inversionistas 26'!K177/$N$1</f>
        <v>0</v>
      </c>
      <c r="G174" s="129">
        <f>'[2]Base Inversionistas 26'!L177/$N$1</f>
        <v>1.5</v>
      </c>
      <c r="H174" s="129">
        <f>'[2]Base Inversionistas 26'!M177/$N$1</f>
        <v>1.5</v>
      </c>
      <c r="I174" s="129">
        <f>'[2]Base Inversionistas 26'!N177/$N$1</f>
        <v>0</v>
      </c>
      <c r="J174" s="129">
        <f>'[2]Base Inversionistas 26'!O177/$N$1</f>
        <v>3.5</v>
      </c>
      <c r="K174" s="129">
        <f>'[2]Base Inversionistas 26'!P177/$N$1</f>
        <v>2</v>
      </c>
      <c r="L174" s="129">
        <f>'[2]Base Inversionistas 26'!Q177/$N$1</f>
        <v>2</v>
      </c>
    </row>
    <row r="175" spans="1:12">
      <c r="A175" s="16" t="s">
        <v>569</v>
      </c>
      <c r="B175" s="16">
        <v>54252099</v>
      </c>
      <c r="C175" s="16" t="s">
        <v>451</v>
      </c>
      <c r="D175" s="12" t="s">
        <v>347</v>
      </c>
      <c r="E175" s="129">
        <f>'[2]Base Inversionistas 26'!J178/$N$1</f>
        <v>0</v>
      </c>
      <c r="F175" s="129">
        <f>'[2]Base Inversionistas 26'!K178/$N$1</f>
        <v>1</v>
      </c>
      <c r="G175" s="129">
        <f>'[2]Base Inversionistas 26'!L178/$N$1</f>
        <v>1</v>
      </c>
      <c r="H175" s="129">
        <f>'[2]Base Inversionistas 26'!M178/$N$1</f>
        <v>1</v>
      </c>
      <c r="I175" s="129">
        <f>'[2]Base Inversionistas 26'!N178/$N$1</f>
        <v>1</v>
      </c>
      <c r="J175" s="129">
        <f>'[2]Base Inversionistas 26'!O178/$N$1</f>
        <v>1</v>
      </c>
      <c r="K175" s="129">
        <f>'[2]Base Inversionistas 26'!P178/$N$1</f>
        <v>1</v>
      </c>
      <c r="L175" s="129">
        <f>'[2]Base Inversionistas 26'!Q178/$N$1</f>
        <v>1</v>
      </c>
    </row>
    <row r="176" spans="1:12">
      <c r="A176" s="16" t="s">
        <v>452</v>
      </c>
      <c r="B176" s="16">
        <v>64543061</v>
      </c>
      <c r="C176" s="16">
        <v>3007191532</v>
      </c>
      <c r="D176" s="12" t="s">
        <v>230</v>
      </c>
      <c r="E176" s="129">
        <f>'[2]Base Inversionistas 26'!J179/$N$1</f>
        <v>1</v>
      </c>
      <c r="F176" s="129">
        <f>'[2]Base Inversionistas 26'!K179/$N$1</f>
        <v>1</v>
      </c>
      <c r="G176" s="129">
        <f>'[2]Base Inversionistas 26'!L179/$N$1</f>
        <v>1</v>
      </c>
      <c r="H176" s="129">
        <f>'[2]Base Inversionistas 26'!M179/$N$1</f>
        <v>1</v>
      </c>
      <c r="I176" s="129">
        <f>'[2]Base Inversionistas 26'!N179/$N$1</f>
        <v>1</v>
      </c>
      <c r="J176" s="129">
        <f>'[2]Base Inversionistas 26'!O179/$N$1</f>
        <v>2</v>
      </c>
      <c r="K176" s="129">
        <f>'[2]Base Inversionistas 26'!P179/$N$1</f>
        <v>1</v>
      </c>
      <c r="L176" s="129">
        <f>'[2]Base Inversionistas 26'!Q179/$N$1</f>
        <v>1</v>
      </c>
    </row>
    <row r="177" spans="1:12">
      <c r="A177" s="16" t="s">
        <v>252</v>
      </c>
      <c r="B177" s="16">
        <v>1128051565</v>
      </c>
      <c r="C177" s="16"/>
      <c r="D177" s="12"/>
      <c r="E177" s="129">
        <f>'[2]Base Inversionistas 26'!J180/$N$1</f>
        <v>0</v>
      </c>
      <c r="F177" s="129">
        <f>'[2]Base Inversionistas 26'!K180/$N$1</f>
        <v>0</v>
      </c>
      <c r="G177" s="129">
        <f>'[2]Base Inversionistas 26'!L180/$N$1</f>
        <v>0</v>
      </c>
      <c r="H177" s="129">
        <f>'[2]Base Inversionistas 26'!M180/$N$1</f>
        <v>0</v>
      </c>
      <c r="I177" s="129">
        <f>'[2]Base Inversionistas 26'!N180/$N$1</f>
        <v>0</v>
      </c>
      <c r="J177" s="129">
        <f>'[2]Base Inversionistas 26'!O180/$N$1</f>
        <v>0</v>
      </c>
      <c r="K177" s="129">
        <f>'[2]Base Inversionistas 26'!P180/$N$1</f>
        <v>0</v>
      </c>
      <c r="L177" s="129">
        <f>'[2]Base Inversionistas 26'!Q180/$N$1</f>
        <v>0</v>
      </c>
    </row>
    <row r="178" spans="1:12">
      <c r="A178" s="16" t="s">
        <v>282</v>
      </c>
      <c r="B178" s="16">
        <v>98533404</v>
      </c>
      <c r="C178" s="16">
        <v>3016089190</v>
      </c>
      <c r="D178" s="12" t="s">
        <v>253</v>
      </c>
      <c r="E178" s="129">
        <f>'[2]Base Inversionistas 26'!J181/$N$1</f>
        <v>1</v>
      </c>
      <c r="F178" s="129">
        <f>'[2]Base Inversionistas 26'!K181/$N$1</f>
        <v>1</v>
      </c>
      <c r="G178" s="129">
        <f>'[2]Base Inversionistas 26'!L181/$N$1</f>
        <v>1</v>
      </c>
      <c r="H178" s="129">
        <f>'[2]Base Inversionistas 26'!M181/$N$1</f>
        <v>1</v>
      </c>
      <c r="I178" s="129">
        <f>'[2]Base Inversionistas 26'!N181/$N$1</f>
        <v>1</v>
      </c>
      <c r="J178" s="129">
        <f>'[2]Base Inversionistas 26'!O181/$N$1</f>
        <v>0</v>
      </c>
      <c r="K178" s="129">
        <f>'[2]Base Inversionistas 26'!P181/$N$1</f>
        <v>1</v>
      </c>
      <c r="L178" s="129">
        <f>'[2]Base Inversionistas 26'!Q181/$N$1</f>
        <v>0</v>
      </c>
    </row>
    <row r="179" spans="1:12">
      <c r="A179" s="16" t="s">
        <v>254</v>
      </c>
      <c r="B179" s="16"/>
      <c r="C179" s="16"/>
      <c r="D179" s="12" t="s">
        <v>465</v>
      </c>
      <c r="E179" s="129">
        <f>'[2]Base Inversionistas 26'!J182/$N$1</f>
        <v>0</v>
      </c>
      <c r="F179" s="129">
        <f>'[2]Base Inversionistas 26'!K182/$N$1</f>
        <v>2</v>
      </c>
      <c r="G179" s="129">
        <f>'[2]Base Inversionistas 26'!L182/$N$1</f>
        <v>0</v>
      </c>
      <c r="H179" s="129">
        <f>'[2]Base Inversionistas 26'!M182/$N$1</f>
        <v>0</v>
      </c>
      <c r="I179" s="129">
        <f>'[2]Base Inversionistas 26'!N182/$N$1</f>
        <v>0</v>
      </c>
      <c r="J179" s="129">
        <f>'[2]Base Inversionistas 26'!O182/$N$1</f>
        <v>0</v>
      </c>
      <c r="K179" s="129">
        <f>'[2]Base Inversionistas 26'!P182/$N$1</f>
        <v>0</v>
      </c>
      <c r="L179" s="129">
        <f>'[2]Base Inversionistas 26'!Q182/$N$1</f>
        <v>0</v>
      </c>
    </row>
    <row r="180" spans="1:12">
      <c r="A180" s="16" t="s">
        <v>255</v>
      </c>
      <c r="B180" s="16"/>
      <c r="C180" s="16"/>
      <c r="D180" s="12"/>
      <c r="E180" s="129">
        <f>'[2]Base Inversionistas 26'!J183/$N$1</f>
        <v>0</v>
      </c>
      <c r="F180" s="129">
        <f>'[2]Base Inversionistas 26'!K183/$N$1</f>
        <v>0</v>
      </c>
      <c r="G180" s="129">
        <f>'[2]Base Inversionistas 26'!L183/$N$1</f>
        <v>0</v>
      </c>
      <c r="H180" s="129">
        <f>'[2]Base Inversionistas 26'!M183/$N$1</f>
        <v>0</v>
      </c>
      <c r="I180" s="129">
        <f>'[2]Base Inversionistas 26'!N183/$N$1</f>
        <v>0</v>
      </c>
      <c r="J180" s="129">
        <f>'[2]Base Inversionistas 26'!O183/$N$1</f>
        <v>0</v>
      </c>
      <c r="K180" s="129">
        <f>'[2]Base Inversionistas 26'!P183/$N$1</f>
        <v>0</v>
      </c>
      <c r="L180" s="129">
        <f>'[2]Base Inversionistas 26'!Q183/$N$1</f>
        <v>0</v>
      </c>
    </row>
    <row r="181" spans="1:12">
      <c r="A181" s="16" t="s">
        <v>256</v>
      </c>
      <c r="B181" s="16"/>
      <c r="C181" s="16"/>
      <c r="D181" s="12" t="s">
        <v>257</v>
      </c>
      <c r="E181" s="129">
        <f>'[2]Base Inversionistas 26'!J184/$N$1</f>
        <v>0</v>
      </c>
      <c r="F181" s="129">
        <f>'[2]Base Inversionistas 26'!K184/$N$1</f>
        <v>0</v>
      </c>
      <c r="G181" s="129">
        <f>'[2]Base Inversionistas 26'!L184/$N$1</f>
        <v>0</v>
      </c>
      <c r="H181" s="129">
        <f>'[2]Base Inversionistas 26'!M184/$N$1</f>
        <v>0</v>
      </c>
      <c r="I181" s="129">
        <f>'[2]Base Inversionistas 26'!N184/$N$1</f>
        <v>0</v>
      </c>
      <c r="J181" s="129">
        <f>'[2]Base Inversionistas 26'!O184/$N$1</f>
        <v>0</v>
      </c>
      <c r="K181" s="129">
        <f>'[2]Base Inversionistas 26'!P184/$N$1</f>
        <v>0</v>
      </c>
      <c r="L181" s="129">
        <f>'[2]Base Inversionistas 26'!Q184/$N$1</f>
        <v>0</v>
      </c>
    </row>
    <row r="182" spans="1:12">
      <c r="A182" s="16" t="s">
        <v>258</v>
      </c>
      <c r="B182" s="16"/>
      <c r="C182" s="16"/>
      <c r="D182" s="12" t="s">
        <v>181</v>
      </c>
      <c r="E182" s="129">
        <f>'[2]Base Inversionistas 26'!J185/$N$1</f>
        <v>0</v>
      </c>
      <c r="F182" s="129">
        <f>'[2]Base Inversionistas 26'!K185/$N$1</f>
        <v>0</v>
      </c>
      <c r="G182" s="129">
        <f>'[2]Base Inversionistas 26'!L185/$N$1</f>
        <v>0</v>
      </c>
      <c r="H182" s="129">
        <f>'[2]Base Inversionistas 26'!M185/$N$1</f>
        <v>0</v>
      </c>
      <c r="I182" s="129">
        <f>'[2]Base Inversionistas 26'!N185/$N$1</f>
        <v>0</v>
      </c>
      <c r="J182" s="129">
        <f>'[2]Base Inversionistas 26'!O185/$N$1</f>
        <v>0</v>
      </c>
      <c r="K182" s="129">
        <f>'[2]Base Inversionistas 26'!P185/$N$1</f>
        <v>3.25</v>
      </c>
      <c r="L182" s="129">
        <f>'[2]Base Inversionistas 26'!Q185/$N$1</f>
        <v>0</v>
      </c>
    </row>
    <row r="183" spans="1:12">
      <c r="A183" s="16" t="s">
        <v>473</v>
      </c>
      <c r="B183" s="16">
        <v>39302237</v>
      </c>
      <c r="C183" s="16">
        <v>3187333883</v>
      </c>
      <c r="D183" s="12" t="s">
        <v>474</v>
      </c>
      <c r="E183" s="129">
        <f>'[2]Base Inversionistas 26'!J186/$N$1</f>
        <v>1</v>
      </c>
      <c r="F183" s="129">
        <f>'[2]Base Inversionistas 26'!K186/$N$1</f>
        <v>1</v>
      </c>
      <c r="G183" s="129">
        <f>'[2]Base Inversionistas 26'!L186/$N$1</f>
        <v>1</v>
      </c>
      <c r="H183" s="129">
        <f>'[2]Base Inversionistas 26'!M186/$N$1</f>
        <v>1</v>
      </c>
      <c r="I183" s="129">
        <f>'[2]Base Inversionistas 26'!N186/$N$1</f>
        <v>1</v>
      </c>
      <c r="J183" s="129">
        <f>'[2]Base Inversionistas 26'!O186/$N$1</f>
        <v>1</v>
      </c>
      <c r="K183" s="129">
        <f>'[2]Base Inversionistas 26'!P186/$N$1</f>
        <v>1</v>
      </c>
      <c r="L183" s="129">
        <f>'[2]Base Inversionistas 26'!Q186/$N$1</f>
        <v>1</v>
      </c>
    </row>
    <row r="184" spans="1:12">
      <c r="A184" s="16" t="s">
        <v>259</v>
      </c>
      <c r="B184" s="16"/>
      <c r="C184" s="16"/>
      <c r="D184" s="12" t="s">
        <v>765</v>
      </c>
      <c r="E184" s="129">
        <f>'[2]Base Inversionistas 26'!J187/$N$1</f>
        <v>0</v>
      </c>
      <c r="F184" s="129">
        <f>'[2]Base Inversionistas 26'!K187/$N$1</f>
        <v>0</v>
      </c>
      <c r="G184" s="129">
        <f>'[2]Base Inversionistas 26'!L187/$N$1</f>
        <v>0</v>
      </c>
      <c r="H184" s="129">
        <f>'[2]Base Inversionistas 26'!M187/$N$1</f>
        <v>0</v>
      </c>
      <c r="I184" s="129">
        <f>'[2]Base Inversionistas 26'!N187/$N$1</f>
        <v>0</v>
      </c>
      <c r="J184" s="129">
        <f>'[2]Base Inversionistas 26'!O187/$N$1</f>
        <v>2.5</v>
      </c>
      <c r="K184" s="129">
        <f>'[2]Base Inversionistas 26'!P187/$N$1</f>
        <v>0</v>
      </c>
      <c r="L184" s="129">
        <f>'[2]Base Inversionistas 26'!Q187/$N$1</f>
        <v>1</v>
      </c>
    </row>
    <row r="185" spans="1:12">
      <c r="A185" s="16" t="s">
        <v>261</v>
      </c>
      <c r="B185" s="12">
        <v>49741498</v>
      </c>
      <c r="C185" s="16"/>
      <c r="D185" s="12"/>
      <c r="E185" s="129">
        <f>'[2]Base Inversionistas 26'!J188/$N$1</f>
        <v>0</v>
      </c>
      <c r="F185" s="129">
        <f>'[2]Base Inversionistas 26'!K188/$N$1</f>
        <v>0</v>
      </c>
      <c r="G185" s="129">
        <f>'[2]Base Inversionistas 26'!L188/$N$1</f>
        <v>0</v>
      </c>
      <c r="H185" s="129">
        <f>'[2]Base Inversionistas 26'!M188/$N$1</f>
        <v>0</v>
      </c>
      <c r="I185" s="129">
        <f>'[2]Base Inversionistas 26'!N188/$N$1</f>
        <v>0</v>
      </c>
      <c r="J185" s="129">
        <f>'[2]Base Inversionistas 26'!O188/$N$1</f>
        <v>0</v>
      </c>
      <c r="K185" s="129">
        <f>'[2]Base Inversionistas 26'!P188/$N$1</f>
        <v>0</v>
      </c>
      <c r="L185" s="129">
        <f>'[2]Base Inversionistas 26'!Q188/$N$1</f>
        <v>0</v>
      </c>
    </row>
    <row r="186" spans="1:12">
      <c r="A186" s="16" t="s">
        <v>263</v>
      </c>
      <c r="B186" s="16">
        <v>92257868</v>
      </c>
      <c r="C186" s="16">
        <v>3014216556</v>
      </c>
      <c r="D186" s="12" t="s">
        <v>529</v>
      </c>
      <c r="E186" s="129">
        <f>'[2]Base Inversionistas 26'!J189/$N$1</f>
        <v>0</v>
      </c>
      <c r="F186" s="129">
        <f>'[2]Base Inversionistas 26'!K189/$N$1</f>
        <v>0</v>
      </c>
      <c r="G186" s="129">
        <f>'[2]Base Inversionistas 26'!L189/$N$1</f>
        <v>0</v>
      </c>
      <c r="H186" s="129">
        <f>'[2]Base Inversionistas 26'!M189/$N$1</f>
        <v>1</v>
      </c>
      <c r="I186" s="129">
        <f>'[2]Base Inversionistas 26'!N189/$N$1</f>
        <v>0</v>
      </c>
      <c r="J186" s="129">
        <f>'[2]Base Inversionistas 26'!O189/$N$1</f>
        <v>0</v>
      </c>
      <c r="K186" s="129">
        <f>'[2]Base Inversionistas 26'!P189/$N$1</f>
        <v>0</v>
      </c>
      <c r="L186" s="129">
        <f>'[2]Base Inversionistas 26'!Q189/$N$1</f>
        <v>0</v>
      </c>
    </row>
    <row r="187" spans="1:12">
      <c r="A187" s="16" t="s">
        <v>268</v>
      </c>
      <c r="B187" s="16">
        <v>12610911</v>
      </c>
      <c r="C187" s="16">
        <v>3102029563</v>
      </c>
      <c r="D187" s="12" t="s">
        <v>253</v>
      </c>
      <c r="E187" s="129">
        <f>'[2]Base Inversionistas 26'!J190/$N$1</f>
        <v>0</v>
      </c>
      <c r="F187" s="129">
        <f>'[2]Base Inversionistas 26'!K190/$N$1</f>
        <v>1.25</v>
      </c>
      <c r="G187" s="129">
        <f>'[2]Base Inversionistas 26'!L190/$N$1</f>
        <v>0</v>
      </c>
      <c r="H187" s="129">
        <f>'[2]Base Inversionistas 26'!M190/$N$1</f>
        <v>0</v>
      </c>
      <c r="I187" s="129">
        <f>'[2]Base Inversionistas 26'!N190/$N$1</f>
        <v>0</v>
      </c>
      <c r="J187" s="129">
        <f>'[2]Base Inversionistas 26'!O190/$N$1</f>
        <v>0</v>
      </c>
      <c r="K187" s="129">
        <f>'[2]Base Inversionistas 26'!P190/$N$1</f>
        <v>0</v>
      </c>
      <c r="L187" s="129">
        <f>'[2]Base Inversionistas 26'!Q190/$N$1</f>
        <v>1</v>
      </c>
    </row>
    <row r="188" spans="1:12">
      <c r="A188" s="16" t="s">
        <v>269</v>
      </c>
      <c r="B188" s="16"/>
      <c r="C188" s="16"/>
      <c r="D188" s="12"/>
      <c r="E188" s="129">
        <f>'[2]Base Inversionistas 26'!J191/$N$1</f>
        <v>0</v>
      </c>
      <c r="F188" s="129">
        <f>'[2]Base Inversionistas 26'!K191/$N$1</f>
        <v>0</v>
      </c>
      <c r="G188" s="129">
        <f>'[2]Base Inversionistas 26'!L191/$N$1</f>
        <v>0</v>
      </c>
      <c r="H188" s="129">
        <f>'[2]Base Inversionistas 26'!M191/$N$1</f>
        <v>0</v>
      </c>
      <c r="I188" s="129">
        <f>'[2]Base Inversionistas 26'!N191/$N$1</f>
        <v>0</v>
      </c>
      <c r="J188" s="129">
        <f>'[2]Base Inversionistas 26'!O191/$N$1</f>
        <v>0</v>
      </c>
      <c r="K188" s="129">
        <f>'[2]Base Inversionistas 26'!P191/$N$1</f>
        <v>0</v>
      </c>
      <c r="L188" s="129">
        <f>'[2]Base Inversionistas 26'!Q191/$N$1</f>
        <v>0</v>
      </c>
    </row>
    <row r="189" spans="1:12">
      <c r="A189" s="16" t="s">
        <v>637</v>
      </c>
      <c r="B189" s="16">
        <v>1093795671</v>
      </c>
      <c r="C189" s="16">
        <v>3202805549</v>
      </c>
      <c r="D189" s="12" t="s">
        <v>239</v>
      </c>
      <c r="E189" s="129">
        <f>'[2]Base Inversionistas 26'!J192/$N$1</f>
        <v>0</v>
      </c>
      <c r="F189" s="129">
        <f>'[2]Base Inversionistas 26'!K192/$N$1</f>
        <v>1</v>
      </c>
      <c r="G189" s="129">
        <f>'[2]Base Inversionistas 26'!L192/$N$1</f>
        <v>1</v>
      </c>
      <c r="H189" s="129">
        <f>'[2]Base Inversionistas 26'!M192/$N$1</f>
        <v>2</v>
      </c>
      <c r="I189" s="129">
        <f>'[2]Base Inversionistas 26'!N192/$N$1</f>
        <v>1</v>
      </c>
      <c r="J189" s="129">
        <f>'[2]Base Inversionistas 26'!O192/$N$1</f>
        <v>0</v>
      </c>
      <c r="K189" s="129">
        <f>'[2]Base Inversionistas 26'!P192/$N$1</f>
        <v>0</v>
      </c>
      <c r="L189" s="129">
        <f>'[2]Base Inversionistas 26'!Q192/$N$1</f>
        <v>0</v>
      </c>
    </row>
    <row r="190" spans="1:12">
      <c r="A190" s="16" t="s">
        <v>453</v>
      </c>
      <c r="B190" s="16">
        <v>11794402</v>
      </c>
      <c r="C190" s="16">
        <v>3107027375</v>
      </c>
      <c r="D190" s="12" t="s">
        <v>347</v>
      </c>
      <c r="E190" s="129">
        <f>'[2]Base Inversionistas 26'!J193/$N$1</f>
        <v>2</v>
      </c>
      <c r="F190" s="129">
        <f>'[2]Base Inversionistas 26'!K193/$N$1</f>
        <v>2</v>
      </c>
      <c r="G190" s="129">
        <f>'[2]Base Inversionistas 26'!L193/$N$1</f>
        <v>2</v>
      </c>
      <c r="H190" s="129">
        <f>'[2]Base Inversionistas 26'!M193/$N$1</f>
        <v>2</v>
      </c>
      <c r="I190" s="129">
        <f>'[2]Base Inversionistas 26'!N193/$N$1</f>
        <v>2</v>
      </c>
      <c r="J190" s="129">
        <f>'[2]Base Inversionistas 26'!O193/$N$1</f>
        <v>2</v>
      </c>
      <c r="K190" s="129">
        <f>'[2]Base Inversionistas 26'!P193/$N$1</f>
        <v>2</v>
      </c>
      <c r="L190" s="129">
        <f>'[2]Base Inversionistas 26'!Q193/$N$1</f>
        <v>2</v>
      </c>
    </row>
    <row r="191" spans="1:12">
      <c r="A191" s="16" t="s">
        <v>272</v>
      </c>
      <c r="B191" s="16"/>
      <c r="C191" s="16"/>
      <c r="D191" s="12" t="s">
        <v>547</v>
      </c>
      <c r="E191" s="129">
        <f>'[2]Base Inversionistas 26'!J194/$N$1</f>
        <v>1</v>
      </c>
      <c r="F191" s="129">
        <f>'[2]Base Inversionistas 26'!K194/$N$1</f>
        <v>1</v>
      </c>
      <c r="G191" s="129">
        <f>'[2]Base Inversionistas 26'!L194/$N$1</f>
        <v>1</v>
      </c>
      <c r="H191" s="129">
        <f>'[2]Base Inversionistas 26'!M194/$N$1</f>
        <v>0</v>
      </c>
      <c r="I191" s="129">
        <f>'[2]Base Inversionistas 26'!N194/$N$1</f>
        <v>1</v>
      </c>
      <c r="J191" s="129">
        <f>'[2]Base Inversionistas 26'!O194/$N$1</f>
        <v>0</v>
      </c>
      <c r="K191" s="129">
        <f>'[2]Base Inversionistas 26'!P194/$N$1</f>
        <v>0</v>
      </c>
      <c r="L191" s="129">
        <f>'[2]Base Inversionistas 26'!Q194/$N$1</f>
        <v>0</v>
      </c>
    </row>
    <row r="192" spans="1:12">
      <c r="A192" s="16" t="s">
        <v>273</v>
      </c>
      <c r="B192" s="16">
        <v>22528383</v>
      </c>
      <c r="C192" s="16"/>
      <c r="D192" s="12" t="s">
        <v>353</v>
      </c>
      <c r="E192" s="129">
        <f>'[2]Base Inversionistas 26'!J195/$N$1</f>
        <v>1</v>
      </c>
      <c r="F192" s="129">
        <f>'[2]Base Inversionistas 26'!K195/$N$1</f>
        <v>1</v>
      </c>
      <c r="G192" s="129">
        <f>'[2]Base Inversionistas 26'!L195/$N$1</f>
        <v>2.25</v>
      </c>
      <c r="H192" s="129">
        <f>'[2]Base Inversionistas 26'!M195/$N$1</f>
        <v>0</v>
      </c>
      <c r="I192" s="129">
        <f>'[2]Base Inversionistas 26'!N195/$N$1</f>
        <v>1.125</v>
      </c>
      <c r="J192" s="129">
        <f>'[2]Base Inversionistas 26'!O195/$N$1</f>
        <v>1.125</v>
      </c>
      <c r="K192" s="129">
        <f>'[2]Base Inversionistas 26'!P195/$N$1</f>
        <v>0</v>
      </c>
      <c r="L192" s="129">
        <f>'[2]Base Inversionistas 26'!Q195/$N$1</f>
        <v>1.125</v>
      </c>
    </row>
    <row r="193" spans="1:12">
      <c r="A193" s="16" t="s">
        <v>276</v>
      </c>
      <c r="B193" s="16"/>
      <c r="C193" s="16"/>
      <c r="D193" s="12" t="s">
        <v>257</v>
      </c>
      <c r="E193" s="129">
        <f>'[2]Base Inversionistas 26'!J196/$N$1</f>
        <v>1</v>
      </c>
      <c r="F193" s="129">
        <f>'[2]Base Inversionistas 26'!K196/$N$1</f>
        <v>1</v>
      </c>
      <c r="G193" s="129">
        <f>'[2]Base Inversionistas 26'!L196/$N$1</f>
        <v>1</v>
      </c>
      <c r="H193" s="129">
        <f>'[2]Base Inversionistas 26'!M196/$N$1</f>
        <v>2</v>
      </c>
      <c r="I193" s="129">
        <f>'[2]Base Inversionistas 26'!N196/$N$1</f>
        <v>1</v>
      </c>
      <c r="J193" s="129">
        <f>'[2]Base Inversionistas 26'!O196/$N$1</f>
        <v>0</v>
      </c>
      <c r="K193" s="129">
        <f>'[2]Base Inversionistas 26'!P196/$N$1</f>
        <v>1</v>
      </c>
      <c r="L193" s="129">
        <f>'[2]Base Inversionistas 26'!Q196/$N$1</f>
        <v>0</v>
      </c>
    </row>
    <row r="194" spans="1:12">
      <c r="A194" s="16" t="s">
        <v>554</v>
      </c>
      <c r="B194" s="16">
        <v>37315263</v>
      </c>
      <c r="C194" s="16">
        <v>3187750056</v>
      </c>
      <c r="D194" s="12" t="s">
        <v>344</v>
      </c>
      <c r="E194" s="129">
        <f>'[2]Base Inversionistas 26'!J197/$N$1</f>
        <v>1</v>
      </c>
      <c r="F194" s="129">
        <f>'[2]Base Inversionistas 26'!K197/$N$1</f>
        <v>0</v>
      </c>
      <c r="G194" s="129">
        <f>'[2]Base Inversionistas 26'!L197/$N$1</f>
        <v>2</v>
      </c>
      <c r="H194" s="129">
        <f>'[2]Base Inversionistas 26'!M197/$N$1</f>
        <v>1</v>
      </c>
      <c r="I194" s="129">
        <f>'[2]Base Inversionistas 26'!N197/$N$1</f>
        <v>1</v>
      </c>
      <c r="J194" s="129">
        <f>'[2]Base Inversionistas 26'!O197/$N$1</f>
        <v>0</v>
      </c>
      <c r="K194" s="129">
        <f>'[2]Base Inversionistas 26'!P197/$N$1</f>
        <v>0</v>
      </c>
      <c r="L194" s="129">
        <f>'[2]Base Inversionistas 26'!Q197/$N$1</f>
        <v>0.25</v>
      </c>
    </row>
    <row r="195" spans="1:12">
      <c r="A195" s="16" t="s">
        <v>279</v>
      </c>
      <c r="B195" s="16">
        <v>1067960477</v>
      </c>
      <c r="C195" s="16">
        <v>3196090283</v>
      </c>
      <c r="D195" s="12" t="s">
        <v>230</v>
      </c>
      <c r="E195" s="129">
        <f>'[2]Base Inversionistas 26'!J198/$N$1</f>
        <v>0</v>
      </c>
      <c r="F195" s="129">
        <f>'[2]Base Inversionistas 26'!K198/$N$1</f>
        <v>0</v>
      </c>
      <c r="G195" s="129">
        <f>'[2]Base Inversionistas 26'!L198/$N$1</f>
        <v>0</v>
      </c>
      <c r="H195" s="129">
        <f>'[2]Base Inversionistas 26'!M198/$N$1</f>
        <v>0</v>
      </c>
      <c r="I195" s="129">
        <f>'[2]Base Inversionistas 26'!N198/$N$1</f>
        <v>0</v>
      </c>
      <c r="J195" s="129">
        <f>'[2]Base Inversionistas 26'!O198/$N$1</f>
        <v>0</v>
      </c>
      <c r="K195" s="129">
        <f>'[2]Base Inversionistas 26'!P198/$N$1</f>
        <v>0</v>
      </c>
      <c r="L195" s="129">
        <f>'[2]Base Inversionistas 26'!Q198/$N$1</f>
        <v>0</v>
      </c>
    </row>
    <row r="196" spans="1:12">
      <c r="A196" s="16" t="s">
        <v>454</v>
      </c>
      <c r="B196" s="16">
        <v>1091669219</v>
      </c>
      <c r="C196" s="16">
        <v>3182787563</v>
      </c>
      <c r="D196" s="12" t="s">
        <v>344</v>
      </c>
      <c r="E196" s="129">
        <f>'[2]Base Inversionistas 26'!J199/$N$1</f>
        <v>0</v>
      </c>
      <c r="F196" s="129">
        <f>'[2]Base Inversionistas 26'!K199/$N$1</f>
        <v>0</v>
      </c>
      <c r="G196" s="129">
        <f>'[2]Base Inversionistas 26'!L199/$N$1</f>
        <v>0</v>
      </c>
      <c r="H196" s="129">
        <f>'[2]Base Inversionistas 26'!M199/$N$1</f>
        <v>0</v>
      </c>
      <c r="I196" s="129">
        <f>'[2]Base Inversionistas 26'!N199/$N$1</f>
        <v>0</v>
      </c>
      <c r="J196" s="129">
        <f>'[2]Base Inversionistas 26'!O199/$N$1</f>
        <v>0</v>
      </c>
      <c r="K196" s="129">
        <f>'[2]Base Inversionistas 26'!P199/$N$1</f>
        <v>0</v>
      </c>
      <c r="L196" s="129">
        <f>'[2]Base Inversionistas 26'!Q199/$N$1</f>
        <v>0</v>
      </c>
    </row>
    <row r="197" spans="1:12">
      <c r="A197" s="16" t="s">
        <v>753</v>
      </c>
      <c r="B197" s="16">
        <v>94557010</v>
      </c>
      <c r="C197" s="16">
        <v>3188525416</v>
      </c>
      <c r="D197" s="12" t="s">
        <v>344</v>
      </c>
      <c r="E197" s="129">
        <f>'[2]Base Inversionistas 26'!J200/$N$1</f>
        <v>0</v>
      </c>
      <c r="F197" s="129">
        <f>'[2]Base Inversionistas 26'!K200/$N$1</f>
        <v>1</v>
      </c>
      <c r="G197" s="129">
        <f>'[2]Base Inversionistas 26'!L200/$N$1</f>
        <v>1</v>
      </c>
      <c r="H197" s="129">
        <f>'[2]Base Inversionistas 26'!M200/$N$1</f>
        <v>1</v>
      </c>
      <c r="I197" s="129">
        <f>'[2]Base Inversionistas 26'!N200/$N$1</f>
        <v>0</v>
      </c>
      <c r="J197" s="129">
        <f>'[2]Base Inversionistas 26'!O200/$N$1</f>
        <v>1.25</v>
      </c>
      <c r="K197" s="129">
        <f>'[2]Base Inversionistas 26'!P200/$N$1</f>
        <v>1.25</v>
      </c>
      <c r="L197" s="129">
        <f>'[2]Base Inversionistas 26'!Q200/$N$1</f>
        <v>1</v>
      </c>
    </row>
    <row r="198" spans="1:12">
      <c r="A198" s="16" t="s">
        <v>281</v>
      </c>
      <c r="B198" s="16"/>
      <c r="C198" s="16"/>
      <c r="D198" s="12"/>
      <c r="E198" s="129">
        <f>'[2]Base Inversionistas 26'!J201/$N$1</f>
        <v>0</v>
      </c>
      <c r="F198" s="129">
        <f>'[2]Base Inversionistas 26'!K201/$N$1</f>
        <v>0</v>
      </c>
      <c r="G198" s="129">
        <f>'[2]Base Inversionistas 26'!L201/$N$1</f>
        <v>0</v>
      </c>
      <c r="H198" s="129">
        <f>'[2]Base Inversionistas 26'!M201/$N$1</f>
        <v>0</v>
      </c>
      <c r="I198" s="129">
        <f>'[2]Base Inversionistas 26'!N201/$N$1</f>
        <v>0</v>
      </c>
      <c r="J198" s="129">
        <f>'[2]Base Inversionistas 26'!O201/$N$1</f>
        <v>0</v>
      </c>
      <c r="K198" s="129">
        <f>'[2]Base Inversionistas 26'!P201/$N$1</f>
        <v>0</v>
      </c>
      <c r="L198" s="129">
        <f>'[2]Base Inversionistas 26'!Q201/$N$1</f>
        <v>0</v>
      </c>
    </row>
    <row r="199" spans="1:12">
      <c r="A199" s="16" t="s">
        <v>283</v>
      </c>
      <c r="B199" s="16">
        <v>52809513</v>
      </c>
      <c r="C199" s="16">
        <v>3053034243</v>
      </c>
      <c r="D199" s="12" t="s">
        <v>455</v>
      </c>
      <c r="E199" s="129">
        <f>'[2]Base Inversionistas 26'!J202/$N$1</f>
        <v>1</v>
      </c>
      <c r="F199" s="129">
        <f>'[2]Base Inversionistas 26'!K202/$N$1</f>
        <v>0</v>
      </c>
      <c r="G199" s="129">
        <f>'[2]Base Inversionistas 26'!L202/$N$1</f>
        <v>1</v>
      </c>
      <c r="H199" s="129">
        <f>'[2]Base Inversionistas 26'!M202/$N$1</f>
        <v>1</v>
      </c>
      <c r="I199" s="129">
        <f>'[2]Base Inversionistas 26'!N202/$N$1</f>
        <v>0</v>
      </c>
      <c r="J199" s="129">
        <f>'[2]Base Inversionistas 26'!O202/$N$1</f>
        <v>1</v>
      </c>
      <c r="K199" s="129">
        <f>'[2]Base Inversionistas 26'!P202/$N$1</f>
        <v>0</v>
      </c>
      <c r="L199" s="129">
        <f>'[2]Base Inversionistas 26'!Q202/$N$1</f>
        <v>0</v>
      </c>
    </row>
    <row r="200" spans="1:12">
      <c r="A200" s="16" t="s">
        <v>285</v>
      </c>
      <c r="B200" s="16">
        <v>1091681333</v>
      </c>
      <c r="C200" s="16">
        <v>3158769403</v>
      </c>
      <c r="D200" s="12" t="s">
        <v>729</v>
      </c>
      <c r="E200" s="129">
        <f>'[2]Base Inversionistas 26'!J203/$N$1</f>
        <v>3</v>
      </c>
      <c r="F200" s="129">
        <f>'[2]Base Inversionistas 26'!K203/$N$1</f>
        <v>0</v>
      </c>
      <c r="G200" s="129">
        <f>'[2]Base Inversionistas 26'!L203/$N$1</f>
        <v>0</v>
      </c>
      <c r="H200" s="129">
        <f>'[2]Base Inversionistas 26'!M203/$N$1</f>
        <v>0</v>
      </c>
      <c r="I200" s="129">
        <f>'[2]Base Inversionistas 26'!N203/$N$1</f>
        <v>0</v>
      </c>
      <c r="J200" s="129">
        <f>'[2]Base Inversionistas 26'!O203/$N$1</f>
        <v>0</v>
      </c>
      <c r="K200" s="129">
        <f>'[2]Base Inversionistas 26'!P203/$N$1</f>
        <v>0</v>
      </c>
      <c r="L200" s="129">
        <f>'[2]Base Inversionistas 26'!Q203/$N$1</f>
        <v>0</v>
      </c>
    </row>
    <row r="201" spans="1:12">
      <c r="A201" s="16" t="s">
        <v>286</v>
      </c>
      <c r="B201" s="16"/>
      <c r="C201" s="16"/>
      <c r="D201" s="12"/>
      <c r="E201" s="129">
        <f>'[2]Base Inversionistas 26'!J204/$N$1</f>
        <v>0</v>
      </c>
      <c r="F201" s="129">
        <f>'[2]Base Inversionistas 26'!K204/$N$1</f>
        <v>0</v>
      </c>
      <c r="G201" s="129">
        <f>'[2]Base Inversionistas 26'!L204/$N$1</f>
        <v>0</v>
      </c>
      <c r="H201" s="129">
        <f>'[2]Base Inversionistas 26'!M204/$N$1</f>
        <v>0</v>
      </c>
      <c r="I201" s="129">
        <f>'[2]Base Inversionistas 26'!N204/$N$1</f>
        <v>0</v>
      </c>
      <c r="J201" s="129">
        <f>'[2]Base Inversionistas 26'!O204/$N$1</f>
        <v>0</v>
      </c>
      <c r="K201" s="129">
        <f>'[2]Base Inversionistas 26'!P204/$N$1</f>
        <v>0</v>
      </c>
      <c r="L201" s="129">
        <f>'[2]Base Inversionistas 26'!Q204/$N$1</f>
        <v>0</v>
      </c>
    </row>
    <row r="202" spans="1:12">
      <c r="A202" s="16" t="s">
        <v>288</v>
      </c>
      <c r="B202" s="16"/>
      <c r="C202" s="16"/>
      <c r="D202" s="12" t="s">
        <v>353</v>
      </c>
      <c r="E202" s="129">
        <f>'[2]Base Inversionistas 26'!J205/$N$1</f>
        <v>0</v>
      </c>
      <c r="F202" s="129">
        <f>'[2]Base Inversionistas 26'!K205/$N$1</f>
        <v>0</v>
      </c>
      <c r="G202" s="129">
        <f>'[2]Base Inversionistas 26'!L205/$N$1</f>
        <v>0</v>
      </c>
      <c r="H202" s="129">
        <f>'[2]Base Inversionistas 26'!M205/$N$1</f>
        <v>0</v>
      </c>
      <c r="I202" s="129">
        <f>'[2]Base Inversionistas 26'!N205/$N$1</f>
        <v>0</v>
      </c>
      <c r="J202" s="129">
        <f>'[2]Base Inversionistas 26'!O205/$N$1</f>
        <v>0</v>
      </c>
      <c r="K202" s="129">
        <f>'[2]Base Inversionistas 26'!P205/$N$1</f>
        <v>0</v>
      </c>
      <c r="L202" s="129">
        <f>'[2]Base Inversionistas 26'!Q205/$N$1</f>
        <v>0</v>
      </c>
    </row>
    <row r="203" spans="1:12">
      <c r="A203" s="16" t="s">
        <v>289</v>
      </c>
      <c r="B203" s="16" t="s">
        <v>570</v>
      </c>
      <c r="C203" s="16">
        <v>3170295457</v>
      </c>
      <c r="D203" s="12" t="s">
        <v>346</v>
      </c>
      <c r="E203" s="129">
        <f>'[2]Base Inversionistas 26'!J206/$N$1</f>
        <v>3</v>
      </c>
      <c r="F203" s="129">
        <f>'[2]Base Inversionistas 26'!K206/$N$1</f>
        <v>3</v>
      </c>
      <c r="G203" s="129">
        <f>'[2]Base Inversionistas 26'!L206/$N$1</f>
        <v>0</v>
      </c>
      <c r="H203" s="129">
        <f>'[2]Base Inversionistas 26'!M206/$N$1</f>
        <v>2</v>
      </c>
      <c r="I203" s="129">
        <f>'[2]Base Inversionistas 26'!N206/$N$1</f>
        <v>0</v>
      </c>
      <c r="J203" s="129">
        <f>'[2]Base Inversionistas 26'!O206/$N$1</f>
        <v>3</v>
      </c>
      <c r="K203" s="129">
        <f>'[2]Base Inversionistas 26'!P206/$N$1</f>
        <v>0</v>
      </c>
      <c r="L203" s="129">
        <f>'[2]Base Inversionistas 26'!Q206/$N$1</f>
        <v>6</v>
      </c>
    </row>
    <row r="204" spans="1:12">
      <c r="A204" s="16" t="s">
        <v>290</v>
      </c>
      <c r="B204" s="16"/>
      <c r="C204" s="16"/>
      <c r="D204" s="12"/>
      <c r="E204" s="129">
        <f>'[2]Base Inversionistas 26'!J207/$N$1</f>
        <v>0</v>
      </c>
      <c r="F204" s="129">
        <f>'[2]Base Inversionistas 26'!K207/$N$1</f>
        <v>0</v>
      </c>
      <c r="G204" s="129">
        <f>'[2]Base Inversionistas 26'!L207/$N$1</f>
        <v>0</v>
      </c>
      <c r="H204" s="129">
        <f>'[2]Base Inversionistas 26'!M207/$N$1</f>
        <v>0</v>
      </c>
      <c r="I204" s="129">
        <f>'[2]Base Inversionistas 26'!N207/$N$1</f>
        <v>0</v>
      </c>
      <c r="J204" s="129">
        <f>'[2]Base Inversionistas 26'!O207/$N$1</f>
        <v>0</v>
      </c>
      <c r="K204" s="129">
        <f>'[2]Base Inversionistas 26'!P207/$N$1</f>
        <v>0</v>
      </c>
      <c r="L204" s="129">
        <f>'[2]Base Inversionistas 26'!Q207/$N$1</f>
        <v>0</v>
      </c>
    </row>
    <row r="205" spans="1:12">
      <c r="A205" s="16" t="s">
        <v>354</v>
      </c>
      <c r="B205" s="16">
        <v>91175909</v>
      </c>
      <c r="C205" s="16">
        <v>3188566515</v>
      </c>
      <c r="D205" s="12" t="s">
        <v>253</v>
      </c>
      <c r="E205" s="129">
        <f>'[2]Base Inversionistas 26'!J208/$N$1</f>
        <v>0</v>
      </c>
      <c r="F205" s="129">
        <f>'[2]Base Inversionistas 26'!K208/$N$1</f>
        <v>0</v>
      </c>
      <c r="G205" s="129">
        <f>'[2]Base Inversionistas 26'!L208/$N$1</f>
        <v>0</v>
      </c>
      <c r="H205" s="129">
        <f>'[2]Base Inversionistas 26'!M208/$N$1</f>
        <v>2</v>
      </c>
      <c r="I205" s="129">
        <f>'[2]Base Inversionistas 26'!N208/$N$1</f>
        <v>0</v>
      </c>
      <c r="J205" s="129">
        <f>'[2]Base Inversionistas 26'!O208/$N$1</f>
        <v>0</v>
      </c>
      <c r="K205" s="129">
        <f>'[2]Base Inversionistas 26'!P208/$N$1</f>
        <v>0</v>
      </c>
      <c r="L205" s="129">
        <f>'[2]Base Inversionistas 26'!Q208/$N$1</f>
        <v>0</v>
      </c>
    </row>
    <row r="206" spans="1:12">
      <c r="A206" s="16" t="s">
        <v>355</v>
      </c>
      <c r="B206" s="16">
        <v>15517784</v>
      </c>
      <c r="C206" s="16">
        <v>3206175921</v>
      </c>
      <c r="D206" s="12" t="s">
        <v>356</v>
      </c>
      <c r="E206" s="129">
        <f>'[2]Base Inversionistas 26'!J209/$N$1</f>
        <v>0</v>
      </c>
      <c r="F206" s="129">
        <f>'[2]Base Inversionistas 26'!K209/$N$1</f>
        <v>0</v>
      </c>
      <c r="G206" s="129">
        <f>'[2]Base Inversionistas 26'!L209/$N$1</f>
        <v>0</v>
      </c>
      <c r="H206" s="129">
        <f>'[2]Base Inversionistas 26'!M209/$N$1</f>
        <v>1</v>
      </c>
      <c r="I206" s="129">
        <f>'[2]Base Inversionistas 26'!N209/$N$1</f>
        <v>1</v>
      </c>
      <c r="J206" s="129">
        <f>'[2]Base Inversionistas 26'!O209/$N$1</f>
        <v>1</v>
      </c>
      <c r="K206" s="129">
        <f>'[2]Base Inversionistas 26'!P209/$N$1</f>
        <v>1</v>
      </c>
      <c r="L206" s="129">
        <f>'[2]Base Inversionistas 26'!Q209/$N$1</f>
        <v>0</v>
      </c>
    </row>
    <row r="207" spans="1:12">
      <c r="A207" s="16" t="s">
        <v>357</v>
      </c>
      <c r="B207" s="16">
        <v>1114884317</v>
      </c>
      <c r="C207" s="16">
        <v>3128481002</v>
      </c>
      <c r="D207" s="12" t="s">
        <v>358</v>
      </c>
      <c r="E207" s="129">
        <f>'[2]Base Inversionistas 26'!J210/$N$1</f>
        <v>1</v>
      </c>
      <c r="F207" s="129">
        <f>'[2]Base Inversionistas 26'!K210/$N$1</f>
        <v>1</v>
      </c>
      <c r="G207" s="129">
        <f>'[2]Base Inversionistas 26'!L210/$N$1</f>
        <v>0</v>
      </c>
      <c r="H207" s="129">
        <f>'[2]Base Inversionistas 26'!M210/$N$1</f>
        <v>0</v>
      </c>
      <c r="I207" s="129">
        <f>'[2]Base Inversionistas 26'!N210/$N$1</f>
        <v>0</v>
      </c>
      <c r="J207" s="129">
        <f>'[2]Base Inversionistas 26'!O210/$N$1</f>
        <v>0</v>
      </c>
      <c r="K207" s="129">
        <f>'[2]Base Inversionistas 26'!P210/$N$1</f>
        <v>0</v>
      </c>
      <c r="L207" s="129">
        <f>'[2]Base Inversionistas 26'!Q210/$N$1</f>
        <v>0</v>
      </c>
    </row>
    <row r="208" spans="1:12">
      <c r="A208" s="16" t="s">
        <v>359</v>
      </c>
      <c r="B208" s="16">
        <v>49742240</v>
      </c>
      <c r="C208" s="16">
        <v>3207260191</v>
      </c>
      <c r="D208" s="12" t="s">
        <v>358</v>
      </c>
      <c r="E208" s="129">
        <f>'[2]Base Inversionistas 26'!J211/$N$1</f>
        <v>0</v>
      </c>
      <c r="F208" s="129">
        <f>'[2]Base Inversionistas 26'!K211/$N$1</f>
        <v>1.5</v>
      </c>
      <c r="G208" s="129">
        <f>'[2]Base Inversionistas 26'!L211/$N$1</f>
        <v>0</v>
      </c>
      <c r="H208" s="129">
        <f>'[2]Base Inversionistas 26'!M211/$N$1</f>
        <v>0</v>
      </c>
      <c r="I208" s="129">
        <f>'[2]Base Inversionistas 26'!N211/$N$1</f>
        <v>0</v>
      </c>
      <c r="J208" s="129">
        <f>'[2]Base Inversionistas 26'!O211/$N$1</f>
        <v>0</v>
      </c>
      <c r="K208" s="129">
        <f>'[2]Base Inversionistas 26'!P211/$N$1</f>
        <v>0.5</v>
      </c>
      <c r="L208" s="129">
        <f>'[2]Base Inversionistas 26'!Q211/$N$1</f>
        <v>0</v>
      </c>
    </row>
    <row r="209" spans="1:12">
      <c r="A209" s="16" t="s">
        <v>360</v>
      </c>
      <c r="B209" s="16">
        <v>1143355775</v>
      </c>
      <c r="C209" s="16">
        <v>3042425180</v>
      </c>
      <c r="D209" s="12" t="s">
        <v>681</v>
      </c>
      <c r="E209" s="129">
        <f>'[2]Base Inversionistas 26'!J212/$N$1</f>
        <v>1</v>
      </c>
      <c r="F209" s="129">
        <f>'[2]Base Inversionistas 26'!K212/$N$1</f>
        <v>0</v>
      </c>
      <c r="G209" s="129">
        <f>'[2]Base Inversionistas 26'!L212/$N$1</f>
        <v>0</v>
      </c>
      <c r="H209" s="129">
        <f>'[2]Base Inversionistas 26'!M212/$N$1</f>
        <v>0</v>
      </c>
      <c r="I209" s="129">
        <f>'[2]Base Inversionistas 26'!N212/$N$1</f>
        <v>1</v>
      </c>
      <c r="J209" s="129">
        <f>'[2]Base Inversionistas 26'!O212/$N$1</f>
        <v>0</v>
      </c>
      <c r="K209" s="129">
        <f>'[2]Base Inversionistas 26'!P212/$N$1</f>
        <v>0</v>
      </c>
      <c r="L209" s="129">
        <f>'[2]Base Inversionistas 26'!Q212/$N$1</f>
        <v>0</v>
      </c>
    </row>
    <row r="210" spans="1:12">
      <c r="A210" s="16" t="s">
        <v>456</v>
      </c>
      <c r="B210" s="16">
        <v>1015997321</v>
      </c>
      <c r="C210" s="16">
        <v>3177392885</v>
      </c>
      <c r="D210" s="12" t="s">
        <v>257</v>
      </c>
      <c r="E210" s="129">
        <f>'[2]Base Inversionistas 26'!J213/$N$1</f>
        <v>0</v>
      </c>
      <c r="F210" s="129">
        <f>'[2]Base Inversionistas 26'!K213/$N$1</f>
        <v>0</v>
      </c>
      <c r="G210" s="129">
        <f>'[2]Base Inversionistas 26'!L213/$N$1</f>
        <v>0</v>
      </c>
      <c r="H210" s="129">
        <f>'[2]Base Inversionistas 26'!M213/$N$1</f>
        <v>0</v>
      </c>
      <c r="I210" s="129">
        <f>'[2]Base Inversionistas 26'!N213/$N$1</f>
        <v>0</v>
      </c>
      <c r="J210" s="129">
        <f>'[2]Base Inversionistas 26'!O213/$N$1</f>
        <v>0</v>
      </c>
      <c r="K210" s="129">
        <f>'[2]Base Inversionistas 26'!P213/$N$1</f>
        <v>0</v>
      </c>
      <c r="L210" s="129">
        <f>'[2]Base Inversionistas 26'!Q213/$N$1</f>
        <v>0</v>
      </c>
    </row>
    <row r="211" spans="1:12">
      <c r="A211" s="16" t="s">
        <v>457</v>
      </c>
      <c r="B211" s="16" t="s">
        <v>458</v>
      </c>
      <c r="C211" s="16">
        <v>3115871915</v>
      </c>
      <c r="D211" s="12" t="s">
        <v>239</v>
      </c>
      <c r="E211" s="129">
        <f>'[2]Base Inversionistas 26'!J214/$N$1</f>
        <v>0</v>
      </c>
      <c r="F211" s="129">
        <f>'[2]Base Inversionistas 26'!K214/$N$1</f>
        <v>2</v>
      </c>
      <c r="G211" s="129">
        <f>'[2]Base Inversionistas 26'!L214/$N$1</f>
        <v>1</v>
      </c>
      <c r="H211" s="129">
        <f>'[2]Base Inversionistas 26'!M214/$N$1</f>
        <v>1</v>
      </c>
      <c r="I211" s="129">
        <f>'[2]Base Inversionistas 26'!N214/$N$1</f>
        <v>1</v>
      </c>
      <c r="J211" s="129">
        <f>'[2]Base Inversionistas 26'!O214/$N$1</f>
        <v>0</v>
      </c>
      <c r="K211" s="129">
        <f>'[2]Base Inversionistas 26'!P214/$N$1</f>
        <v>0</v>
      </c>
      <c r="L211" s="129">
        <f>'[2]Base Inversionistas 26'!Q214/$N$1</f>
        <v>3</v>
      </c>
    </row>
    <row r="212" spans="1:12">
      <c r="A212" s="16" t="s">
        <v>459</v>
      </c>
      <c r="B212" s="16">
        <v>1045737100</v>
      </c>
      <c r="C212" s="16">
        <v>3015184734</v>
      </c>
      <c r="D212" s="12" t="s">
        <v>681</v>
      </c>
      <c r="E212" s="129">
        <f>'[2]Base Inversionistas 26'!J215/$N$1</f>
        <v>1</v>
      </c>
      <c r="F212" s="129">
        <f>'[2]Base Inversionistas 26'!K215/$N$1</f>
        <v>0</v>
      </c>
      <c r="G212" s="129">
        <f>'[2]Base Inversionistas 26'!L215/$N$1</f>
        <v>1</v>
      </c>
      <c r="H212" s="129">
        <f>'[2]Base Inversionistas 26'!M215/$N$1</f>
        <v>1</v>
      </c>
      <c r="I212" s="129">
        <f>'[2]Base Inversionistas 26'!N215/$N$1</f>
        <v>0</v>
      </c>
      <c r="J212" s="129">
        <f>'[2]Base Inversionistas 26'!O215/$N$1</f>
        <v>0</v>
      </c>
      <c r="K212" s="129">
        <f>'[2]Base Inversionistas 26'!P215/$N$1</f>
        <v>1</v>
      </c>
      <c r="L212" s="129">
        <f>'[2]Base Inversionistas 26'!Q215/$N$1</f>
        <v>0</v>
      </c>
    </row>
    <row r="213" spans="1:12">
      <c r="A213" s="16" t="s">
        <v>460</v>
      </c>
      <c r="B213" s="16">
        <v>26258801</v>
      </c>
      <c r="C213" s="16">
        <v>3206877280</v>
      </c>
      <c r="D213" s="12" t="s">
        <v>347</v>
      </c>
      <c r="E213" s="129">
        <f>'[2]Base Inversionistas 26'!J216/$N$1</f>
        <v>0</v>
      </c>
      <c r="F213" s="129">
        <f>'[2]Base Inversionistas 26'!K216/$N$1</f>
        <v>0</v>
      </c>
      <c r="G213" s="129">
        <f>'[2]Base Inversionistas 26'!L216/$N$1</f>
        <v>0</v>
      </c>
      <c r="H213" s="129">
        <f>'[2]Base Inversionistas 26'!M216/$N$1</f>
        <v>0</v>
      </c>
      <c r="I213" s="129">
        <f>'[2]Base Inversionistas 26'!N216/$N$1</f>
        <v>1</v>
      </c>
      <c r="J213" s="129">
        <f>'[2]Base Inversionistas 26'!O216/$N$1</f>
        <v>1</v>
      </c>
      <c r="K213" s="129">
        <f>'[2]Base Inversionistas 26'!P216/$N$1</f>
        <v>1</v>
      </c>
      <c r="L213" s="129">
        <f>'[2]Base Inversionistas 26'!Q216/$N$1</f>
        <v>0</v>
      </c>
    </row>
    <row r="214" spans="1:12">
      <c r="A214" s="16" t="s">
        <v>461</v>
      </c>
      <c r="B214" s="16">
        <v>88309418</v>
      </c>
      <c r="C214" s="16">
        <v>3203034511</v>
      </c>
      <c r="D214" s="12" t="s">
        <v>239</v>
      </c>
      <c r="E214" s="129">
        <f>'[2]Base Inversionistas 26'!J217/$N$1</f>
        <v>1</v>
      </c>
      <c r="F214" s="129">
        <f>'[2]Base Inversionistas 26'!K217/$N$1</f>
        <v>1</v>
      </c>
      <c r="G214" s="129">
        <f>'[2]Base Inversionistas 26'!L217/$N$1</f>
        <v>1</v>
      </c>
      <c r="H214" s="129">
        <f>'[2]Base Inversionistas 26'!M217/$N$1</f>
        <v>1</v>
      </c>
      <c r="I214" s="129">
        <f>'[2]Base Inversionistas 26'!N217/$N$1</f>
        <v>1</v>
      </c>
      <c r="J214" s="129">
        <f>'[2]Base Inversionistas 26'!O217/$N$1</f>
        <v>1</v>
      </c>
      <c r="K214" s="129">
        <f>'[2]Base Inversionistas 26'!P217/$N$1</f>
        <v>1</v>
      </c>
      <c r="L214" s="129">
        <f>'[2]Base Inversionistas 26'!Q217/$N$1</f>
        <v>1</v>
      </c>
    </row>
    <row r="215" spans="1:12">
      <c r="A215" s="16" t="s">
        <v>462</v>
      </c>
      <c r="B215" s="16">
        <v>9093848</v>
      </c>
      <c r="C215" s="16">
        <v>3184909196</v>
      </c>
      <c r="D215" s="12" t="s">
        <v>463</v>
      </c>
      <c r="E215" s="129">
        <f>'[2]Base Inversionistas 26'!J218/$N$1</f>
        <v>1</v>
      </c>
      <c r="F215" s="129">
        <f>'[2]Base Inversionistas 26'!K218/$N$1</f>
        <v>1</v>
      </c>
      <c r="G215" s="129">
        <f>'[2]Base Inversionistas 26'!L218/$N$1</f>
        <v>1</v>
      </c>
      <c r="H215" s="129">
        <f>'[2]Base Inversionistas 26'!M218/$N$1</f>
        <v>0</v>
      </c>
      <c r="I215" s="129">
        <f>'[2]Base Inversionistas 26'!N218/$N$1</f>
        <v>1</v>
      </c>
      <c r="J215" s="129">
        <f>'[2]Base Inversionistas 26'!O218/$N$1</f>
        <v>1</v>
      </c>
      <c r="K215" s="129">
        <f>'[2]Base Inversionistas 26'!P218/$N$1</f>
        <v>1</v>
      </c>
      <c r="L215" s="129">
        <f>'[2]Base Inversionistas 26'!Q218/$N$1</f>
        <v>0</v>
      </c>
    </row>
    <row r="216" spans="1:12">
      <c r="A216" s="16" t="s">
        <v>464</v>
      </c>
      <c r="B216" s="16">
        <v>1053798897</v>
      </c>
      <c r="C216" s="16">
        <v>3142872429</v>
      </c>
      <c r="D216" s="12" t="s">
        <v>465</v>
      </c>
      <c r="E216" s="129">
        <f>'[2]Base Inversionistas 26'!J219/$N$1</f>
        <v>0.75</v>
      </c>
      <c r="F216" s="129">
        <f>'[2]Base Inversionistas 26'!K219/$N$1</f>
        <v>0.75</v>
      </c>
      <c r="G216" s="129">
        <f>'[2]Base Inversionistas 26'!L219/$N$1</f>
        <v>0.5</v>
      </c>
      <c r="H216" s="129">
        <f>'[2]Base Inversionistas 26'!M219/$N$1</f>
        <v>0</v>
      </c>
      <c r="I216" s="129">
        <f>'[2]Base Inversionistas 26'!N219/$N$1</f>
        <v>0</v>
      </c>
      <c r="J216" s="129">
        <f>'[2]Base Inversionistas 26'!O219/$N$1</f>
        <v>0</v>
      </c>
      <c r="K216" s="129">
        <f>'[2]Base Inversionistas 26'!P219/$N$1</f>
        <v>0</v>
      </c>
      <c r="L216" s="129">
        <f>'[2]Base Inversionistas 26'!Q219/$N$1</f>
        <v>0</v>
      </c>
    </row>
    <row r="217" spans="1:12">
      <c r="A217" s="16" t="s">
        <v>735</v>
      </c>
      <c r="B217" s="16">
        <v>32556538</v>
      </c>
      <c r="C217" s="16">
        <v>3108936691</v>
      </c>
      <c r="D217" s="12" t="s">
        <v>571</v>
      </c>
      <c r="E217" s="129">
        <f>'[2]Base Inversionistas 26'!J220/$N$1</f>
        <v>0.05</v>
      </c>
      <c r="F217" s="129">
        <f>'[2]Base Inversionistas 26'!K220/$N$1</f>
        <v>7.4999999999999997E-2</v>
      </c>
      <c r="G217" s="129">
        <f>'[2]Base Inversionistas 26'!L220/$N$1</f>
        <v>7.4999999999999997E-2</v>
      </c>
      <c r="H217" s="129">
        <f>'[2]Base Inversionistas 26'!M220/$N$1</f>
        <v>0.125</v>
      </c>
      <c r="I217" s="129">
        <f>'[2]Base Inversionistas 26'!N220/$N$1</f>
        <v>0.125</v>
      </c>
      <c r="J217" s="129">
        <f>'[2]Base Inversionistas 26'!O220/$N$1</f>
        <v>0.125</v>
      </c>
      <c r="K217" s="129">
        <f>'[2]Base Inversionistas 26'!P220/$N$1</f>
        <v>7.4999999999999997E-2</v>
      </c>
      <c r="L217" s="129">
        <f>'[2]Base Inversionistas 26'!Q220/$N$1</f>
        <v>0.1</v>
      </c>
    </row>
    <row r="218" spans="1:12">
      <c r="A218" s="16" t="s">
        <v>467</v>
      </c>
      <c r="B218" s="16">
        <v>28967914</v>
      </c>
      <c r="C218" s="16">
        <v>336684935</v>
      </c>
      <c r="D218" s="12" t="s">
        <v>468</v>
      </c>
      <c r="E218" s="129">
        <f>'[2]Base Inversionistas 26'!J221/$N$1</f>
        <v>0</v>
      </c>
      <c r="F218" s="129">
        <f>'[2]Base Inversionistas 26'!K221/$N$1</f>
        <v>0</v>
      </c>
      <c r="G218" s="129">
        <f>'[2]Base Inversionistas 26'!L221/$N$1</f>
        <v>0</v>
      </c>
      <c r="H218" s="129">
        <f>'[2]Base Inversionistas 26'!M221/$N$1</f>
        <v>0</v>
      </c>
      <c r="I218" s="129">
        <f>'[2]Base Inversionistas 26'!N221/$N$1</f>
        <v>0</v>
      </c>
      <c r="J218" s="129">
        <f>'[2]Base Inversionistas 26'!O221/$N$1</f>
        <v>0</v>
      </c>
      <c r="K218" s="129">
        <f>'[2]Base Inversionistas 26'!P221/$N$1</f>
        <v>0</v>
      </c>
      <c r="L218" s="129">
        <f>'[2]Base Inversionistas 26'!Q221/$N$1</f>
        <v>0</v>
      </c>
    </row>
    <row r="219" spans="1:12">
      <c r="A219" s="16" t="s">
        <v>475</v>
      </c>
      <c r="B219" s="16">
        <v>1094228628</v>
      </c>
      <c r="C219" s="16">
        <v>3124214946</v>
      </c>
      <c r="D219" s="12" t="s">
        <v>239</v>
      </c>
      <c r="E219" s="129">
        <f>'[2]Base Inversionistas 26'!J222/$N$1</f>
        <v>0.5</v>
      </c>
      <c r="F219" s="129">
        <f>'[2]Base Inversionistas 26'!K222/$N$1</f>
        <v>0</v>
      </c>
      <c r="G219" s="129">
        <f>'[2]Base Inversionistas 26'!L222/$N$1</f>
        <v>0</v>
      </c>
      <c r="H219" s="129">
        <f>'[2]Base Inversionistas 26'!M222/$N$1</f>
        <v>1</v>
      </c>
      <c r="I219" s="129">
        <f>'[2]Base Inversionistas 26'!N222/$N$1</f>
        <v>1</v>
      </c>
      <c r="J219" s="129">
        <f>'[2]Base Inversionistas 26'!O222/$N$1</f>
        <v>0</v>
      </c>
      <c r="K219" s="129">
        <f>'[2]Base Inversionistas 26'!P222/$N$1</f>
        <v>0</v>
      </c>
      <c r="L219" s="129">
        <f>'[2]Base Inversionistas 26'!Q222/$N$1</f>
        <v>0</v>
      </c>
    </row>
    <row r="220" spans="1:12">
      <c r="A220" s="16" t="s">
        <v>476</v>
      </c>
      <c r="B220" s="16">
        <v>88237561</v>
      </c>
      <c r="C220" s="16">
        <v>3204473656</v>
      </c>
      <c r="D220" s="12" t="s">
        <v>239</v>
      </c>
      <c r="E220" s="129">
        <f>'[2]Base Inversionistas 26'!J223/$N$1</f>
        <v>1</v>
      </c>
      <c r="F220" s="129">
        <f>'[2]Base Inversionistas 26'!K223/$N$1</f>
        <v>1</v>
      </c>
      <c r="G220" s="129">
        <f>'[2]Base Inversionistas 26'!L223/$N$1</f>
        <v>1</v>
      </c>
      <c r="H220" s="129">
        <f>'[2]Base Inversionistas 26'!M223/$N$1</f>
        <v>1</v>
      </c>
      <c r="I220" s="129">
        <f>'[2]Base Inversionistas 26'!N223/$N$1</f>
        <v>1</v>
      </c>
      <c r="J220" s="129">
        <f>'[2]Base Inversionistas 26'!O223/$N$1</f>
        <v>0</v>
      </c>
      <c r="K220" s="129">
        <f>'[2]Base Inversionistas 26'!P223/$N$1</f>
        <v>1</v>
      </c>
      <c r="L220" s="129">
        <f>'[2]Base Inversionistas 26'!Q223/$N$1</f>
        <v>0</v>
      </c>
    </row>
    <row r="221" spans="1:12">
      <c r="A221" s="16" t="s">
        <v>477</v>
      </c>
      <c r="B221" s="16" t="s">
        <v>478</v>
      </c>
      <c r="C221" s="16">
        <v>3102212862</v>
      </c>
      <c r="D221" s="12" t="s">
        <v>479</v>
      </c>
      <c r="E221" s="129">
        <f>'[2]Base Inversionistas 26'!J224/$N$1</f>
        <v>0</v>
      </c>
      <c r="F221" s="129">
        <f>'[2]Base Inversionistas 26'!K224/$N$1</f>
        <v>0</v>
      </c>
      <c r="G221" s="129">
        <f>'[2]Base Inversionistas 26'!L224/$N$1</f>
        <v>0</v>
      </c>
      <c r="H221" s="129">
        <f>'[2]Base Inversionistas 26'!M224/$N$1</f>
        <v>0</v>
      </c>
      <c r="I221" s="129">
        <f>'[2]Base Inversionistas 26'!N224/$N$1</f>
        <v>0</v>
      </c>
      <c r="J221" s="129">
        <f>'[2]Base Inversionistas 26'!O224/$N$1</f>
        <v>0</v>
      </c>
      <c r="K221" s="129">
        <f>'[2]Base Inversionistas 26'!P224/$N$1</f>
        <v>0</v>
      </c>
      <c r="L221" s="129">
        <f>'[2]Base Inversionistas 26'!Q224/$N$1</f>
        <v>2</v>
      </c>
    </row>
    <row r="222" spans="1:12">
      <c r="A222" s="16" t="s">
        <v>480</v>
      </c>
      <c r="B222" s="16" t="s">
        <v>481</v>
      </c>
      <c r="C222" s="16">
        <v>3173802748</v>
      </c>
      <c r="D222" s="12" t="s">
        <v>479</v>
      </c>
      <c r="E222" s="129">
        <f>'[2]Base Inversionistas 26'!J225/$N$1</f>
        <v>0</v>
      </c>
      <c r="F222" s="129">
        <f>'[2]Base Inversionistas 26'!K225/$N$1</f>
        <v>0</v>
      </c>
      <c r="G222" s="129">
        <f>'[2]Base Inversionistas 26'!L225/$N$1</f>
        <v>0</v>
      </c>
      <c r="H222" s="129">
        <f>'[2]Base Inversionistas 26'!M225/$N$1</f>
        <v>0</v>
      </c>
      <c r="I222" s="129">
        <f>'[2]Base Inversionistas 26'!N225/$N$1</f>
        <v>0</v>
      </c>
      <c r="J222" s="129">
        <f>'[2]Base Inversionistas 26'!O225/$N$1</f>
        <v>0</v>
      </c>
      <c r="K222" s="129">
        <f>'[2]Base Inversionistas 26'!P225/$N$1</f>
        <v>0</v>
      </c>
      <c r="L222" s="129">
        <f>'[2]Base Inversionistas 26'!Q225/$N$1</f>
        <v>0</v>
      </c>
    </row>
    <row r="223" spans="1:12">
      <c r="A223" s="16" t="s">
        <v>482</v>
      </c>
      <c r="B223" s="16" t="s">
        <v>483</v>
      </c>
      <c r="C223" s="16">
        <v>3174007835</v>
      </c>
      <c r="D223" s="12" t="s">
        <v>479</v>
      </c>
      <c r="E223" s="129">
        <f>'[2]Base Inversionistas 26'!J226/$N$1</f>
        <v>0</v>
      </c>
      <c r="F223" s="129">
        <f>'[2]Base Inversionistas 26'!K226/$N$1</f>
        <v>0</v>
      </c>
      <c r="G223" s="129">
        <f>'[2]Base Inversionistas 26'!L226/$N$1</f>
        <v>0</v>
      </c>
      <c r="H223" s="129">
        <f>'[2]Base Inversionistas 26'!M226/$N$1</f>
        <v>0</v>
      </c>
      <c r="I223" s="129">
        <f>'[2]Base Inversionistas 26'!N226/$N$1</f>
        <v>0</v>
      </c>
      <c r="J223" s="129">
        <f>'[2]Base Inversionistas 26'!O226/$N$1</f>
        <v>0</v>
      </c>
      <c r="K223" s="129">
        <f>'[2]Base Inversionistas 26'!P226/$N$1</f>
        <v>0</v>
      </c>
      <c r="L223" s="129">
        <f>'[2]Base Inversionistas 26'!Q226/$N$1</f>
        <v>1</v>
      </c>
    </row>
    <row r="224" spans="1:12">
      <c r="A224" s="16" t="s">
        <v>484</v>
      </c>
      <c r="B224" s="16" t="s">
        <v>485</v>
      </c>
      <c r="C224" s="16">
        <v>3008286649</v>
      </c>
      <c r="D224" s="12" t="s">
        <v>479</v>
      </c>
      <c r="E224" s="129">
        <f>'[2]Base Inversionistas 26'!J227/$N$1</f>
        <v>0</v>
      </c>
      <c r="F224" s="129">
        <f>'[2]Base Inversionistas 26'!K227/$N$1</f>
        <v>0</v>
      </c>
      <c r="G224" s="129">
        <f>'[2]Base Inversionistas 26'!L227/$N$1</f>
        <v>0</v>
      </c>
      <c r="H224" s="129">
        <f>'[2]Base Inversionistas 26'!M227/$N$1</f>
        <v>0</v>
      </c>
      <c r="I224" s="129">
        <f>'[2]Base Inversionistas 26'!N227/$N$1</f>
        <v>0</v>
      </c>
      <c r="J224" s="129">
        <f>'[2]Base Inversionistas 26'!O227/$N$1</f>
        <v>0</v>
      </c>
      <c r="K224" s="129">
        <f>'[2]Base Inversionistas 26'!P227/$N$1</f>
        <v>0</v>
      </c>
      <c r="L224" s="129">
        <f>'[2]Base Inversionistas 26'!Q227/$N$1</f>
        <v>1</v>
      </c>
    </row>
    <row r="225" spans="1:12">
      <c r="A225" s="16" t="s">
        <v>486</v>
      </c>
      <c r="B225" s="16" t="s">
        <v>487</v>
      </c>
      <c r="C225" s="16">
        <v>3212079648</v>
      </c>
      <c r="D225" s="12" t="s">
        <v>479</v>
      </c>
      <c r="E225" s="129">
        <f>'[2]Base Inversionistas 26'!J228/$N$1</f>
        <v>0</v>
      </c>
      <c r="F225" s="129">
        <f>'[2]Base Inversionistas 26'!K228/$N$1</f>
        <v>0</v>
      </c>
      <c r="G225" s="129">
        <f>'[2]Base Inversionistas 26'!L228/$N$1</f>
        <v>0</v>
      </c>
      <c r="H225" s="129">
        <f>'[2]Base Inversionistas 26'!M228/$N$1</f>
        <v>0</v>
      </c>
      <c r="I225" s="129">
        <f>'[2]Base Inversionistas 26'!N228/$N$1</f>
        <v>0</v>
      </c>
      <c r="J225" s="129">
        <f>'[2]Base Inversionistas 26'!O228/$N$1</f>
        <v>0</v>
      </c>
      <c r="K225" s="129">
        <f>'[2]Base Inversionistas 26'!P228/$N$1</f>
        <v>0</v>
      </c>
      <c r="L225" s="129">
        <f>'[2]Base Inversionistas 26'!Q228/$N$1</f>
        <v>0</v>
      </c>
    </row>
    <row r="226" spans="1:12">
      <c r="A226" s="16" t="s">
        <v>488</v>
      </c>
      <c r="B226" s="16" t="s">
        <v>489</v>
      </c>
      <c r="C226" s="16">
        <v>3212648565</v>
      </c>
      <c r="D226" s="12" t="s">
        <v>490</v>
      </c>
      <c r="E226" s="129">
        <f>'[2]Base Inversionistas 26'!J229/$N$1</f>
        <v>0</v>
      </c>
      <c r="F226" s="129">
        <f>'[2]Base Inversionistas 26'!K229/$N$1</f>
        <v>0</v>
      </c>
      <c r="G226" s="129">
        <f>'[2]Base Inversionistas 26'!L229/$N$1</f>
        <v>0</v>
      </c>
      <c r="H226" s="129">
        <f>'[2]Base Inversionistas 26'!M229/$N$1</f>
        <v>0</v>
      </c>
      <c r="I226" s="129">
        <f>'[2]Base Inversionistas 26'!N229/$N$1</f>
        <v>0</v>
      </c>
      <c r="J226" s="129">
        <f>'[2]Base Inversionistas 26'!O229/$N$1</f>
        <v>0</v>
      </c>
      <c r="K226" s="129">
        <f>'[2]Base Inversionistas 26'!P229/$N$1</f>
        <v>0</v>
      </c>
      <c r="L226" s="129">
        <f>'[2]Base Inversionistas 26'!Q229/$N$1</f>
        <v>0</v>
      </c>
    </row>
    <row r="227" spans="1:12">
      <c r="A227" s="16" t="s">
        <v>491</v>
      </c>
      <c r="B227" s="16" t="s">
        <v>492</v>
      </c>
      <c r="C227" s="16">
        <v>3156601344</v>
      </c>
      <c r="D227" s="12" t="s">
        <v>493</v>
      </c>
      <c r="E227" s="129">
        <f>'[2]Base Inversionistas 26'!J230/$N$1</f>
        <v>0</v>
      </c>
      <c r="F227" s="129">
        <f>'[2]Base Inversionistas 26'!K230/$N$1</f>
        <v>0</v>
      </c>
      <c r="G227" s="129">
        <f>'[2]Base Inversionistas 26'!L230/$N$1</f>
        <v>0</v>
      </c>
      <c r="H227" s="129">
        <f>'[2]Base Inversionistas 26'!M230/$N$1</f>
        <v>0</v>
      </c>
      <c r="I227" s="129">
        <f>'[2]Base Inversionistas 26'!N230/$N$1</f>
        <v>0</v>
      </c>
      <c r="J227" s="129">
        <f>'[2]Base Inversionistas 26'!O230/$N$1</f>
        <v>0</v>
      </c>
      <c r="K227" s="129">
        <f>'[2]Base Inversionistas 26'!P230/$N$1</f>
        <v>0</v>
      </c>
      <c r="L227" s="129">
        <f>'[2]Base Inversionistas 26'!Q230/$N$1</f>
        <v>1</v>
      </c>
    </row>
    <row r="228" spans="1:12">
      <c r="A228" s="16" t="s">
        <v>494</v>
      </c>
      <c r="B228" s="16" t="s">
        <v>495</v>
      </c>
      <c r="C228" s="16">
        <v>3114967016</v>
      </c>
      <c r="D228" s="12" t="s">
        <v>496</v>
      </c>
      <c r="E228" s="129">
        <f>'[2]Base Inversionistas 26'!J231/$N$1</f>
        <v>0</v>
      </c>
      <c r="F228" s="129">
        <f>'[2]Base Inversionistas 26'!K231/$N$1</f>
        <v>0</v>
      </c>
      <c r="G228" s="129">
        <f>'[2]Base Inversionistas 26'!L231/$N$1</f>
        <v>0</v>
      </c>
      <c r="H228" s="129">
        <f>'[2]Base Inversionistas 26'!M231/$N$1</f>
        <v>0</v>
      </c>
      <c r="I228" s="129">
        <f>'[2]Base Inversionistas 26'!N231/$N$1</f>
        <v>0</v>
      </c>
      <c r="J228" s="129">
        <f>'[2]Base Inversionistas 26'!O231/$N$1</f>
        <v>0</v>
      </c>
      <c r="K228" s="129">
        <f>'[2]Base Inversionistas 26'!P231/$N$1</f>
        <v>0</v>
      </c>
      <c r="L228" s="129">
        <f>'[2]Base Inversionistas 26'!Q231/$N$1</f>
        <v>0</v>
      </c>
    </row>
    <row r="229" spans="1:12">
      <c r="A229" s="16" t="s">
        <v>497</v>
      </c>
      <c r="B229" s="16" t="s">
        <v>498</v>
      </c>
      <c r="C229" s="16">
        <v>3214289394</v>
      </c>
      <c r="D229" s="12" t="s">
        <v>496</v>
      </c>
      <c r="E229" s="129">
        <f>'[2]Base Inversionistas 26'!J232/$N$1</f>
        <v>0</v>
      </c>
      <c r="F229" s="129">
        <f>'[2]Base Inversionistas 26'!K232/$N$1</f>
        <v>0</v>
      </c>
      <c r="G229" s="129">
        <f>'[2]Base Inversionistas 26'!L232/$N$1</f>
        <v>0</v>
      </c>
      <c r="H229" s="129">
        <f>'[2]Base Inversionistas 26'!M232/$N$1</f>
        <v>0</v>
      </c>
      <c r="I229" s="129">
        <f>'[2]Base Inversionistas 26'!N232/$N$1</f>
        <v>0</v>
      </c>
      <c r="J229" s="129">
        <f>'[2]Base Inversionistas 26'!O232/$N$1</f>
        <v>0</v>
      </c>
      <c r="K229" s="129">
        <f>'[2]Base Inversionistas 26'!P232/$N$1</f>
        <v>0</v>
      </c>
      <c r="L229" s="129">
        <f>'[2]Base Inversionistas 26'!Q232/$N$1</f>
        <v>0</v>
      </c>
    </row>
    <row r="230" spans="1:12">
      <c r="A230" s="16" t="s">
        <v>499</v>
      </c>
      <c r="B230" s="16" t="s">
        <v>500</v>
      </c>
      <c r="C230" s="16">
        <v>3214411717</v>
      </c>
      <c r="D230" s="12" t="s">
        <v>501</v>
      </c>
      <c r="E230" s="129">
        <f>'[2]Base Inversionistas 26'!J233/$N$1</f>
        <v>0</v>
      </c>
      <c r="F230" s="129">
        <f>'[2]Base Inversionistas 26'!K233/$N$1</f>
        <v>0</v>
      </c>
      <c r="G230" s="129">
        <f>'[2]Base Inversionistas 26'!L233/$N$1</f>
        <v>0</v>
      </c>
      <c r="H230" s="129">
        <f>'[2]Base Inversionistas 26'!M233/$N$1</f>
        <v>0</v>
      </c>
      <c r="I230" s="129">
        <f>'[2]Base Inversionistas 26'!N233/$N$1</f>
        <v>0</v>
      </c>
      <c r="J230" s="129">
        <f>'[2]Base Inversionistas 26'!O233/$N$1</f>
        <v>0</v>
      </c>
      <c r="K230" s="129">
        <f>'[2]Base Inversionistas 26'!P233/$N$1</f>
        <v>0</v>
      </c>
      <c r="L230" s="129">
        <f>'[2]Base Inversionistas 26'!Q233/$N$1</f>
        <v>0</v>
      </c>
    </row>
    <row r="231" spans="1:12">
      <c r="A231" s="16" t="s">
        <v>502</v>
      </c>
      <c r="B231" s="16" t="s">
        <v>503</v>
      </c>
      <c r="C231" s="16">
        <v>3204014480</v>
      </c>
      <c r="D231" s="12" t="s">
        <v>504</v>
      </c>
      <c r="E231" s="129">
        <f>'[2]Base Inversionistas 26'!J234/$N$1</f>
        <v>0</v>
      </c>
      <c r="F231" s="129">
        <f>'[2]Base Inversionistas 26'!K234/$N$1</f>
        <v>0</v>
      </c>
      <c r="G231" s="129">
        <f>'[2]Base Inversionistas 26'!L234/$N$1</f>
        <v>0</v>
      </c>
      <c r="H231" s="129">
        <f>'[2]Base Inversionistas 26'!M234/$N$1</f>
        <v>0</v>
      </c>
      <c r="I231" s="129">
        <f>'[2]Base Inversionistas 26'!N234/$N$1</f>
        <v>0</v>
      </c>
      <c r="J231" s="129">
        <f>'[2]Base Inversionistas 26'!O234/$N$1</f>
        <v>0</v>
      </c>
      <c r="K231" s="129">
        <f>'[2]Base Inversionistas 26'!P234/$N$1</f>
        <v>0</v>
      </c>
      <c r="L231" s="129">
        <f>'[2]Base Inversionistas 26'!Q234/$N$1</f>
        <v>0</v>
      </c>
    </row>
    <row r="232" spans="1:12">
      <c r="A232" s="16" t="s">
        <v>505</v>
      </c>
      <c r="B232" s="16" t="s">
        <v>506</v>
      </c>
      <c r="C232" s="16">
        <v>3114612778</v>
      </c>
      <c r="D232" s="12" t="s">
        <v>501</v>
      </c>
      <c r="E232" s="129">
        <f>'[2]Base Inversionistas 26'!J235/$N$1</f>
        <v>0</v>
      </c>
      <c r="F232" s="129">
        <f>'[2]Base Inversionistas 26'!K235/$N$1</f>
        <v>0</v>
      </c>
      <c r="G232" s="129">
        <f>'[2]Base Inversionistas 26'!L235/$N$1</f>
        <v>0</v>
      </c>
      <c r="H232" s="129">
        <f>'[2]Base Inversionistas 26'!M235/$N$1</f>
        <v>0</v>
      </c>
      <c r="I232" s="129">
        <f>'[2]Base Inversionistas 26'!N235/$N$1</f>
        <v>0</v>
      </c>
      <c r="J232" s="129">
        <f>'[2]Base Inversionistas 26'!O235/$N$1</f>
        <v>0</v>
      </c>
      <c r="K232" s="129">
        <f>'[2]Base Inversionistas 26'!P235/$N$1</f>
        <v>0</v>
      </c>
      <c r="L232" s="129">
        <f>'[2]Base Inversionistas 26'!Q235/$N$1</f>
        <v>1</v>
      </c>
    </row>
    <row r="233" spans="1:12">
      <c r="A233" s="16" t="s">
        <v>507</v>
      </c>
      <c r="B233" s="16">
        <v>85203032</v>
      </c>
      <c r="C233" s="16">
        <v>3107315557</v>
      </c>
      <c r="D233" s="12" t="s">
        <v>620</v>
      </c>
      <c r="E233" s="129">
        <f>'[2]Base Inversionistas 26'!J236/$N$1</f>
        <v>0</v>
      </c>
      <c r="F233" s="129">
        <f>'[2]Base Inversionistas 26'!K236/$N$1</f>
        <v>0</v>
      </c>
      <c r="G233" s="129">
        <f>'[2]Base Inversionistas 26'!L236/$N$1</f>
        <v>0</v>
      </c>
      <c r="H233" s="129">
        <f>'[2]Base Inversionistas 26'!M236/$N$1</f>
        <v>0</v>
      </c>
      <c r="I233" s="129">
        <f>'[2]Base Inversionistas 26'!N236/$N$1</f>
        <v>0</v>
      </c>
      <c r="J233" s="129">
        <f>'[2]Base Inversionistas 26'!O236/$N$1</f>
        <v>0</v>
      </c>
      <c r="K233" s="129">
        <f>'[2]Base Inversionistas 26'!P236/$N$1</f>
        <v>0</v>
      </c>
      <c r="L233" s="129">
        <f>'[2]Base Inversionistas 26'!Q236/$N$1</f>
        <v>0</v>
      </c>
    </row>
    <row r="234" spans="1:12">
      <c r="A234" s="16" t="s">
        <v>509</v>
      </c>
      <c r="B234" s="16">
        <v>1067904102</v>
      </c>
      <c r="C234" s="16">
        <v>3137896402</v>
      </c>
      <c r="D234" s="12" t="s">
        <v>572</v>
      </c>
      <c r="E234" s="129">
        <f>'[2]Base Inversionistas 26'!J237/$N$1</f>
        <v>0</v>
      </c>
      <c r="F234" s="129">
        <f>'[2]Base Inversionistas 26'!K237/$N$1</f>
        <v>0</v>
      </c>
      <c r="G234" s="129">
        <f>'[2]Base Inversionistas 26'!L237/$N$1</f>
        <v>0</v>
      </c>
      <c r="H234" s="129">
        <f>'[2]Base Inversionistas 26'!M237/$N$1</f>
        <v>0</v>
      </c>
      <c r="I234" s="129">
        <f>'[2]Base Inversionistas 26'!N237/$N$1</f>
        <v>0</v>
      </c>
      <c r="J234" s="129">
        <f>'[2]Base Inversionistas 26'!O237/$N$1</f>
        <v>0</v>
      </c>
      <c r="K234" s="129">
        <f>'[2]Base Inversionistas 26'!P237/$N$1</f>
        <v>10</v>
      </c>
      <c r="L234" s="129">
        <f>'[2]Base Inversionistas 26'!Q237/$N$1</f>
        <v>0</v>
      </c>
    </row>
    <row r="235" spans="1:12">
      <c r="A235" s="16" t="s">
        <v>510</v>
      </c>
      <c r="B235" s="16">
        <v>50901037</v>
      </c>
      <c r="C235" s="16">
        <v>3205707487</v>
      </c>
      <c r="D235" s="12"/>
      <c r="E235" s="129">
        <f>'[2]Base Inversionistas 26'!J238/$N$1</f>
        <v>0</v>
      </c>
      <c r="F235" s="129">
        <f>'[2]Base Inversionistas 26'!K238/$N$1</f>
        <v>0</v>
      </c>
      <c r="G235" s="129">
        <f>'[2]Base Inversionistas 26'!L238/$N$1</f>
        <v>0</v>
      </c>
      <c r="H235" s="129">
        <f>'[2]Base Inversionistas 26'!M238/$N$1</f>
        <v>0</v>
      </c>
      <c r="I235" s="129">
        <f>'[2]Base Inversionistas 26'!N238/$N$1</f>
        <v>0</v>
      </c>
      <c r="J235" s="129">
        <f>'[2]Base Inversionistas 26'!O238/$N$1</f>
        <v>0</v>
      </c>
      <c r="K235" s="129">
        <f>'[2]Base Inversionistas 26'!P238/$N$1</f>
        <v>0</v>
      </c>
      <c r="L235" s="129">
        <f>'[2]Base Inversionistas 26'!Q238/$N$1</f>
        <v>0</v>
      </c>
    </row>
    <row r="236" spans="1:12">
      <c r="A236" s="16" t="s">
        <v>511</v>
      </c>
      <c r="B236" s="16">
        <v>1002371747</v>
      </c>
      <c r="C236" s="16">
        <v>3017076403</v>
      </c>
      <c r="D236" s="12" t="s">
        <v>512</v>
      </c>
      <c r="E236" s="129">
        <f>'[2]Base Inversionistas 26'!J239/$N$1</f>
        <v>0</v>
      </c>
      <c r="F236" s="129">
        <f>'[2]Base Inversionistas 26'!K239/$N$1</f>
        <v>0</v>
      </c>
      <c r="G236" s="129">
        <f>'[2]Base Inversionistas 26'!L239/$N$1</f>
        <v>0</v>
      </c>
      <c r="H236" s="129">
        <f>'[2]Base Inversionistas 26'!M239/$N$1</f>
        <v>0</v>
      </c>
      <c r="I236" s="129">
        <f>'[2]Base Inversionistas 26'!N239/$N$1</f>
        <v>0</v>
      </c>
      <c r="J236" s="129">
        <f>'[2]Base Inversionistas 26'!O239/$N$1</f>
        <v>0</v>
      </c>
      <c r="K236" s="129">
        <f>'[2]Base Inversionistas 26'!P239/$N$1</f>
        <v>0</v>
      </c>
      <c r="L236" s="129">
        <f>'[2]Base Inversionistas 26'!Q239/$N$1</f>
        <v>0</v>
      </c>
    </row>
    <row r="237" spans="1:12">
      <c r="A237" s="16" t="s">
        <v>513</v>
      </c>
      <c r="B237" s="16">
        <v>1066737038</v>
      </c>
      <c r="C237" s="16">
        <v>3122228619</v>
      </c>
      <c r="D237" s="12" t="s">
        <v>514</v>
      </c>
      <c r="E237" s="129">
        <f>'[2]Base Inversionistas 26'!J240/$N$1</f>
        <v>0</v>
      </c>
      <c r="F237" s="129">
        <f>'[2]Base Inversionistas 26'!K240/$N$1</f>
        <v>0</v>
      </c>
      <c r="G237" s="129">
        <f>'[2]Base Inversionistas 26'!L240/$N$1</f>
        <v>0</v>
      </c>
      <c r="H237" s="129">
        <f>'[2]Base Inversionistas 26'!M240/$N$1</f>
        <v>0</v>
      </c>
      <c r="I237" s="129">
        <f>'[2]Base Inversionistas 26'!N240/$N$1</f>
        <v>0</v>
      </c>
      <c r="J237" s="129">
        <f>'[2]Base Inversionistas 26'!O240/$N$1</f>
        <v>0</v>
      </c>
      <c r="K237" s="129">
        <f>'[2]Base Inversionistas 26'!P240/$N$1</f>
        <v>0</v>
      </c>
      <c r="L237" s="129">
        <f>'[2]Base Inversionistas 26'!Q240/$N$1</f>
        <v>0</v>
      </c>
    </row>
    <row r="238" spans="1:12">
      <c r="A238" s="16" t="s">
        <v>515</v>
      </c>
      <c r="B238" s="16">
        <v>1064996539</v>
      </c>
      <c r="C238" s="16">
        <v>3135513063</v>
      </c>
      <c r="D238" s="12" t="s">
        <v>620</v>
      </c>
      <c r="E238" s="129">
        <f>'[2]Base Inversionistas 26'!J241/$N$1</f>
        <v>0</v>
      </c>
      <c r="F238" s="129">
        <f>'[2]Base Inversionistas 26'!K241/$N$1</f>
        <v>0</v>
      </c>
      <c r="G238" s="129">
        <f>'[2]Base Inversionistas 26'!L241/$N$1</f>
        <v>0</v>
      </c>
      <c r="H238" s="129">
        <f>'[2]Base Inversionistas 26'!M241/$N$1</f>
        <v>0</v>
      </c>
      <c r="I238" s="129">
        <f>'[2]Base Inversionistas 26'!N241/$N$1</f>
        <v>0</v>
      </c>
      <c r="J238" s="129">
        <f>'[2]Base Inversionistas 26'!O241/$N$1</f>
        <v>0</v>
      </c>
      <c r="K238" s="129">
        <f>'[2]Base Inversionistas 26'!P241/$N$1</f>
        <v>0</v>
      </c>
      <c r="L238" s="129">
        <f>'[2]Base Inversionistas 26'!Q241/$N$1</f>
        <v>0</v>
      </c>
    </row>
    <row r="239" spans="1:12">
      <c r="A239" s="16" t="s">
        <v>516</v>
      </c>
      <c r="B239" s="16">
        <v>1067884505</v>
      </c>
      <c r="C239" s="16">
        <v>3215857733</v>
      </c>
      <c r="D239" s="12" t="s">
        <v>572</v>
      </c>
      <c r="E239" s="129">
        <f>'[2]Base Inversionistas 26'!J242/$N$1</f>
        <v>0</v>
      </c>
      <c r="F239" s="129">
        <f>'[2]Base Inversionistas 26'!K242/$N$1</f>
        <v>0</v>
      </c>
      <c r="G239" s="129">
        <f>'[2]Base Inversionistas 26'!L242/$N$1</f>
        <v>0</v>
      </c>
      <c r="H239" s="129">
        <f>'[2]Base Inversionistas 26'!M242/$N$1</f>
        <v>0</v>
      </c>
      <c r="I239" s="129">
        <f>'[2]Base Inversionistas 26'!N242/$N$1</f>
        <v>0</v>
      </c>
      <c r="J239" s="129">
        <f>'[2]Base Inversionistas 26'!O242/$N$1</f>
        <v>0</v>
      </c>
      <c r="K239" s="129">
        <f>'[2]Base Inversionistas 26'!P242/$N$1</f>
        <v>0</v>
      </c>
      <c r="L239" s="129">
        <f>'[2]Base Inversionistas 26'!Q242/$N$1</f>
        <v>0</v>
      </c>
    </row>
    <row r="240" spans="1:12">
      <c r="A240" s="16" t="s">
        <v>518</v>
      </c>
      <c r="B240" s="16">
        <v>30777006</v>
      </c>
      <c r="C240" s="16">
        <v>3186436044</v>
      </c>
      <c r="D240" s="12" t="s">
        <v>620</v>
      </c>
      <c r="E240" s="129">
        <f>'[2]Base Inversionistas 26'!J243/$N$1</f>
        <v>0</v>
      </c>
      <c r="F240" s="129">
        <f>'[2]Base Inversionistas 26'!K243/$N$1</f>
        <v>0</v>
      </c>
      <c r="G240" s="129">
        <f>'[2]Base Inversionistas 26'!L243/$N$1</f>
        <v>0</v>
      </c>
      <c r="H240" s="129">
        <f>'[2]Base Inversionistas 26'!M243/$N$1</f>
        <v>0</v>
      </c>
      <c r="I240" s="129">
        <f>'[2]Base Inversionistas 26'!N243/$N$1</f>
        <v>0</v>
      </c>
      <c r="J240" s="129">
        <f>'[2]Base Inversionistas 26'!O243/$N$1</f>
        <v>0</v>
      </c>
      <c r="K240" s="129">
        <f>'[2]Base Inversionistas 26'!P243/$N$1</f>
        <v>0</v>
      </c>
      <c r="L240" s="129">
        <f>'[2]Base Inversionistas 26'!Q243/$N$1</f>
        <v>0</v>
      </c>
    </row>
    <row r="241" spans="1:12">
      <c r="A241" s="16" t="s">
        <v>519</v>
      </c>
      <c r="B241" s="16">
        <v>34962463</v>
      </c>
      <c r="C241" s="16">
        <v>3205294049</v>
      </c>
      <c r="D241" s="12" t="s">
        <v>620</v>
      </c>
      <c r="E241" s="129">
        <f>'[2]Base Inversionistas 26'!J244/$N$1</f>
        <v>0</v>
      </c>
      <c r="F241" s="129">
        <f>'[2]Base Inversionistas 26'!K244/$N$1</f>
        <v>0</v>
      </c>
      <c r="G241" s="129">
        <f>'[2]Base Inversionistas 26'!L244/$N$1</f>
        <v>0</v>
      </c>
      <c r="H241" s="129">
        <f>'[2]Base Inversionistas 26'!M244/$N$1</f>
        <v>0</v>
      </c>
      <c r="I241" s="129">
        <f>'[2]Base Inversionistas 26'!N244/$N$1</f>
        <v>0</v>
      </c>
      <c r="J241" s="129">
        <f>'[2]Base Inversionistas 26'!O244/$N$1</f>
        <v>0</v>
      </c>
      <c r="K241" s="129">
        <f>'[2]Base Inversionistas 26'!P244/$N$1</f>
        <v>0</v>
      </c>
      <c r="L241" s="129">
        <f>'[2]Base Inversionistas 26'!Q244/$N$1</f>
        <v>0</v>
      </c>
    </row>
    <row r="242" spans="1:12">
      <c r="A242" s="16" t="s">
        <v>520</v>
      </c>
      <c r="B242" s="16">
        <v>1067922782</v>
      </c>
      <c r="C242" s="16">
        <v>3013999279</v>
      </c>
      <c r="D242" s="12" t="s">
        <v>572</v>
      </c>
      <c r="E242" s="129">
        <f>'[2]Base Inversionistas 26'!J245/$N$1</f>
        <v>0</v>
      </c>
      <c r="F242" s="129">
        <f>'[2]Base Inversionistas 26'!K245/$N$1</f>
        <v>0</v>
      </c>
      <c r="G242" s="129">
        <f>'[2]Base Inversionistas 26'!L245/$N$1</f>
        <v>0</v>
      </c>
      <c r="H242" s="129">
        <f>'[2]Base Inversionistas 26'!M245/$N$1</f>
        <v>0</v>
      </c>
      <c r="I242" s="129">
        <f>'[2]Base Inversionistas 26'!N245/$N$1</f>
        <v>0</v>
      </c>
      <c r="J242" s="129">
        <f>'[2]Base Inversionistas 26'!O245/$N$1</f>
        <v>0</v>
      </c>
      <c r="K242" s="129">
        <f>'[2]Base Inversionistas 26'!P245/$N$1</f>
        <v>0</v>
      </c>
      <c r="L242" s="129">
        <f>'[2]Base Inversionistas 26'!Q245/$N$1</f>
        <v>0</v>
      </c>
    </row>
    <row r="243" spans="1:12">
      <c r="A243" s="16" t="s">
        <v>521</v>
      </c>
      <c r="B243" s="16">
        <v>1133795577</v>
      </c>
      <c r="C243" s="16">
        <v>3013994780</v>
      </c>
      <c r="D243" s="12" t="s">
        <v>572</v>
      </c>
      <c r="E243" s="129">
        <f>'[2]Base Inversionistas 26'!J246/$N$1</f>
        <v>0</v>
      </c>
      <c r="F243" s="129">
        <f>'[2]Base Inversionistas 26'!K246/$N$1</f>
        <v>0</v>
      </c>
      <c r="G243" s="129">
        <f>'[2]Base Inversionistas 26'!L246/$N$1</f>
        <v>0</v>
      </c>
      <c r="H243" s="129">
        <f>'[2]Base Inversionistas 26'!M246/$N$1</f>
        <v>0</v>
      </c>
      <c r="I243" s="129">
        <f>'[2]Base Inversionistas 26'!N246/$N$1</f>
        <v>0</v>
      </c>
      <c r="J243" s="129">
        <f>'[2]Base Inversionistas 26'!O246/$N$1</f>
        <v>0</v>
      </c>
      <c r="K243" s="129">
        <f>'[2]Base Inversionistas 26'!P246/$N$1</f>
        <v>0</v>
      </c>
      <c r="L243" s="129">
        <f>'[2]Base Inversionistas 26'!Q246/$N$1</f>
        <v>0</v>
      </c>
    </row>
    <row r="244" spans="1:12">
      <c r="A244" s="16" t="s">
        <v>522</v>
      </c>
      <c r="B244" s="16">
        <v>78753440</v>
      </c>
      <c r="C244" s="16">
        <v>3217473284</v>
      </c>
      <c r="D244" s="12" t="s">
        <v>620</v>
      </c>
      <c r="E244" s="129">
        <f>'[2]Base Inversionistas 26'!J247/$N$1</f>
        <v>0</v>
      </c>
      <c r="F244" s="129">
        <f>'[2]Base Inversionistas 26'!K247/$N$1</f>
        <v>0</v>
      </c>
      <c r="G244" s="129">
        <f>'[2]Base Inversionistas 26'!L247/$N$1</f>
        <v>0</v>
      </c>
      <c r="H244" s="129">
        <f>'[2]Base Inversionistas 26'!M247/$N$1</f>
        <v>0</v>
      </c>
      <c r="I244" s="129">
        <f>'[2]Base Inversionistas 26'!N247/$N$1</f>
        <v>0</v>
      </c>
      <c r="J244" s="129">
        <f>'[2]Base Inversionistas 26'!O247/$N$1</f>
        <v>0</v>
      </c>
      <c r="K244" s="129">
        <f>'[2]Base Inversionistas 26'!P247/$N$1</f>
        <v>0</v>
      </c>
      <c r="L244" s="129">
        <f>'[2]Base Inversionistas 26'!Q247/$N$1</f>
        <v>0</v>
      </c>
    </row>
    <row r="245" spans="1:12">
      <c r="A245" s="16" t="s">
        <v>523</v>
      </c>
      <c r="B245" s="16">
        <v>34979435</v>
      </c>
      <c r="C245" s="16">
        <v>3205025275</v>
      </c>
      <c r="D245" s="12" t="s">
        <v>620</v>
      </c>
      <c r="E245" s="129">
        <f>'[2]Base Inversionistas 26'!J248/$N$1</f>
        <v>0</v>
      </c>
      <c r="F245" s="129">
        <f>'[2]Base Inversionistas 26'!K248/$N$1</f>
        <v>0</v>
      </c>
      <c r="G245" s="129">
        <f>'[2]Base Inversionistas 26'!L248/$N$1</f>
        <v>0</v>
      </c>
      <c r="H245" s="129">
        <f>'[2]Base Inversionistas 26'!M248/$N$1</f>
        <v>0</v>
      </c>
      <c r="I245" s="129">
        <f>'[2]Base Inversionistas 26'!N248/$N$1</f>
        <v>0</v>
      </c>
      <c r="J245" s="129">
        <f>'[2]Base Inversionistas 26'!O248/$N$1</f>
        <v>0</v>
      </c>
      <c r="K245" s="129">
        <f>'[2]Base Inversionistas 26'!P248/$N$1</f>
        <v>0</v>
      </c>
      <c r="L245" s="129">
        <f>'[2]Base Inversionistas 26'!Q248/$N$1</f>
        <v>0</v>
      </c>
    </row>
    <row r="246" spans="1:12">
      <c r="A246" s="16" t="s">
        <v>524</v>
      </c>
      <c r="B246" s="16">
        <v>78323723</v>
      </c>
      <c r="C246" s="16">
        <v>3136913916</v>
      </c>
      <c r="D246" s="12" t="s">
        <v>514</v>
      </c>
      <c r="E246" s="129">
        <f>'[2]Base Inversionistas 26'!J249/$N$1</f>
        <v>0</v>
      </c>
      <c r="F246" s="129">
        <f>'[2]Base Inversionistas 26'!K249/$N$1</f>
        <v>0</v>
      </c>
      <c r="G246" s="129">
        <f>'[2]Base Inversionistas 26'!L249/$N$1</f>
        <v>0</v>
      </c>
      <c r="H246" s="129">
        <f>'[2]Base Inversionistas 26'!M249/$N$1</f>
        <v>0</v>
      </c>
      <c r="I246" s="129">
        <f>'[2]Base Inversionistas 26'!N249/$N$1</f>
        <v>0</v>
      </c>
      <c r="J246" s="129">
        <f>'[2]Base Inversionistas 26'!O249/$N$1</f>
        <v>0</v>
      </c>
      <c r="K246" s="129">
        <f>'[2]Base Inversionistas 26'!P249/$N$1</f>
        <v>0</v>
      </c>
      <c r="L246" s="129">
        <f>'[2]Base Inversionistas 26'!Q249/$N$1</f>
        <v>0</v>
      </c>
    </row>
    <row r="247" spans="1:12">
      <c r="A247" s="16" t="s">
        <v>525</v>
      </c>
      <c r="B247" s="16">
        <v>1003404028</v>
      </c>
      <c r="C247" s="16">
        <v>3205172305</v>
      </c>
      <c r="D247" s="12" t="s">
        <v>620</v>
      </c>
      <c r="E247" s="129">
        <f>'[2]Base Inversionistas 26'!J250/$N$1</f>
        <v>0</v>
      </c>
      <c r="F247" s="129">
        <f>'[2]Base Inversionistas 26'!K250/$N$1</f>
        <v>0</v>
      </c>
      <c r="G247" s="129">
        <f>'[2]Base Inversionistas 26'!L250/$N$1</f>
        <v>0</v>
      </c>
      <c r="H247" s="129">
        <f>'[2]Base Inversionistas 26'!M250/$N$1</f>
        <v>0</v>
      </c>
      <c r="I247" s="129">
        <f>'[2]Base Inversionistas 26'!N250/$N$1</f>
        <v>0</v>
      </c>
      <c r="J247" s="129">
        <f>'[2]Base Inversionistas 26'!O250/$N$1</f>
        <v>0</v>
      </c>
      <c r="K247" s="129">
        <f>'[2]Base Inversionistas 26'!P250/$N$1</f>
        <v>0</v>
      </c>
      <c r="L247" s="129">
        <f>'[2]Base Inversionistas 26'!Q250/$N$1</f>
        <v>0</v>
      </c>
    </row>
    <row r="248" spans="1:12">
      <c r="A248" s="16" t="s">
        <v>526</v>
      </c>
      <c r="B248" s="16">
        <v>30843113</v>
      </c>
      <c r="C248" s="16">
        <v>3135249664</v>
      </c>
      <c r="D248" s="12" t="s">
        <v>512</v>
      </c>
      <c r="E248" s="129">
        <f>'[2]Base Inversionistas 26'!J251/$N$1</f>
        <v>0</v>
      </c>
      <c r="F248" s="129">
        <f>'[2]Base Inversionistas 26'!K251/$N$1</f>
        <v>0</v>
      </c>
      <c r="G248" s="129">
        <f>'[2]Base Inversionistas 26'!L251/$N$1</f>
        <v>0</v>
      </c>
      <c r="H248" s="129">
        <f>'[2]Base Inversionistas 26'!M251/$N$1</f>
        <v>0</v>
      </c>
      <c r="I248" s="129">
        <f>'[2]Base Inversionistas 26'!N251/$N$1</f>
        <v>0</v>
      </c>
      <c r="J248" s="129">
        <f>'[2]Base Inversionistas 26'!O251/$N$1</f>
        <v>0</v>
      </c>
      <c r="K248" s="129">
        <f>'[2]Base Inversionistas 26'!P251/$N$1</f>
        <v>0</v>
      </c>
      <c r="L248" s="129">
        <f>'[2]Base Inversionistas 26'!Q251/$N$1</f>
        <v>0</v>
      </c>
    </row>
    <row r="249" spans="1:12">
      <c r="A249" s="16" t="s">
        <v>527</v>
      </c>
      <c r="B249" s="16">
        <v>15647945</v>
      </c>
      <c r="C249" s="16">
        <v>3105193541</v>
      </c>
      <c r="D249" s="12" t="s">
        <v>512</v>
      </c>
      <c r="E249" s="129">
        <f>'[2]Base Inversionistas 26'!J252/$N$1</f>
        <v>0</v>
      </c>
      <c r="F249" s="129">
        <f>'[2]Base Inversionistas 26'!K252/$N$1</f>
        <v>0</v>
      </c>
      <c r="G249" s="129">
        <f>'[2]Base Inversionistas 26'!L252/$N$1</f>
        <v>0</v>
      </c>
      <c r="H249" s="129">
        <f>'[2]Base Inversionistas 26'!M252/$N$1</f>
        <v>0</v>
      </c>
      <c r="I249" s="129">
        <f>'[2]Base Inversionistas 26'!N252/$N$1</f>
        <v>0</v>
      </c>
      <c r="J249" s="129">
        <f>'[2]Base Inversionistas 26'!O252/$N$1</f>
        <v>0</v>
      </c>
      <c r="K249" s="129">
        <f>'[2]Base Inversionistas 26'!P252/$N$1</f>
        <v>0</v>
      </c>
      <c r="L249" s="129">
        <f>'[2]Base Inversionistas 26'!Q252/$N$1</f>
        <v>0</v>
      </c>
    </row>
    <row r="250" spans="1:12">
      <c r="A250" s="16" t="s">
        <v>530</v>
      </c>
      <c r="B250" s="16">
        <v>1088296001</v>
      </c>
      <c r="C250" s="16"/>
      <c r="D250" s="12" t="s">
        <v>455</v>
      </c>
      <c r="E250" s="129">
        <f>'[2]Base Inversionistas 26'!J253/$N$1</f>
        <v>0</v>
      </c>
      <c r="F250" s="129">
        <f>'[2]Base Inversionistas 26'!K253/$N$1</f>
        <v>0</v>
      </c>
      <c r="G250" s="129">
        <f>'[2]Base Inversionistas 26'!L253/$N$1</f>
        <v>1</v>
      </c>
      <c r="H250" s="129">
        <f>'[2]Base Inversionistas 26'!M253/$N$1</f>
        <v>1</v>
      </c>
      <c r="I250" s="129">
        <f>'[2]Base Inversionistas 26'!N253/$N$1</f>
        <v>0</v>
      </c>
      <c r="J250" s="129">
        <f>'[2]Base Inversionistas 26'!O253/$N$1</f>
        <v>0</v>
      </c>
      <c r="K250" s="129">
        <f>'[2]Base Inversionistas 26'!P253/$N$1</f>
        <v>1</v>
      </c>
      <c r="L250" s="129">
        <f>'[2]Base Inversionistas 26'!Q253/$N$1</f>
        <v>0</v>
      </c>
    </row>
    <row r="251" spans="1:12">
      <c r="A251" s="16" t="s">
        <v>531</v>
      </c>
      <c r="B251" s="16">
        <v>60319496</v>
      </c>
      <c r="C251" s="16">
        <v>3114112215</v>
      </c>
      <c r="D251" s="12" t="s">
        <v>239</v>
      </c>
      <c r="E251" s="129">
        <f>'[2]Base Inversionistas 26'!J254/$N$1</f>
        <v>0</v>
      </c>
      <c r="F251" s="129">
        <f>'[2]Base Inversionistas 26'!K254/$N$1</f>
        <v>0.5</v>
      </c>
      <c r="G251" s="129">
        <f>'[2]Base Inversionistas 26'!L254/$N$1</f>
        <v>0</v>
      </c>
      <c r="H251" s="129">
        <f>'[2]Base Inversionistas 26'!M254/$N$1</f>
        <v>1</v>
      </c>
      <c r="I251" s="129">
        <f>'[2]Base Inversionistas 26'!N254/$N$1</f>
        <v>0</v>
      </c>
      <c r="J251" s="129">
        <f>'[2]Base Inversionistas 26'!O254/$N$1</f>
        <v>0</v>
      </c>
      <c r="K251" s="129">
        <f>'[2]Base Inversionistas 26'!P254/$N$1</f>
        <v>0</v>
      </c>
      <c r="L251" s="129">
        <f>'[2]Base Inversionistas 26'!Q254/$N$1</f>
        <v>0</v>
      </c>
    </row>
    <row r="252" spans="1:12">
      <c r="A252" s="16" t="s">
        <v>532</v>
      </c>
      <c r="B252" s="16">
        <v>1121969843</v>
      </c>
      <c r="C252" s="16">
        <v>3026352060</v>
      </c>
      <c r="D252" s="12" t="s">
        <v>533</v>
      </c>
      <c r="E252" s="129">
        <f>'[2]Base Inversionistas 26'!J255/$N$1</f>
        <v>0</v>
      </c>
      <c r="F252" s="129">
        <f>'[2]Base Inversionistas 26'!K255/$N$1</f>
        <v>0</v>
      </c>
      <c r="G252" s="129">
        <f>'[2]Base Inversionistas 26'!L255/$N$1</f>
        <v>0</v>
      </c>
      <c r="H252" s="129">
        <f>'[2]Base Inversionistas 26'!M255/$N$1</f>
        <v>0</v>
      </c>
      <c r="I252" s="129">
        <f>'[2]Base Inversionistas 26'!N255/$N$1</f>
        <v>1.35</v>
      </c>
      <c r="J252" s="129">
        <f>'[2]Base Inversionistas 26'!O255/$N$1</f>
        <v>1.125</v>
      </c>
      <c r="K252" s="129">
        <f>'[2]Base Inversionistas 26'!P255/$N$1</f>
        <v>0</v>
      </c>
      <c r="L252" s="129">
        <f>'[2]Base Inversionistas 26'!Q255/$N$1</f>
        <v>0</v>
      </c>
    </row>
    <row r="253" spans="1:12">
      <c r="A253" s="16" t="s">
        <v>535</v>
      </c>
      <c r="B253" s="16">
        <v>70322335</v>
      </c>
      <c r="C253" s="16">
        <v>3106907142</v>
      </c>
      <c r="D253" s="12" t="s">
        <v>356</v>
      </c>
      <c r="E253" s="129">
        <f>'[2]Base Inversionistas 26'!J256/$N$1</f>
        <v>1</v>
      </c>
      <c r="F253" s="129">
        <f>'[2]Base Inversionistas 26'!K256/$N$1</f>
        <v>1</v>
      </c>
      <c r="G253" s="129">
        <f>'[2]Base Inversionistas 26'!L256/$N$1</f>
        <v>1</v>
      </c>
      <c r="H253" s="129">
        <f>'[2]Base Inversionistas 26'!M256/$N$1</f>
        <v>1</v>
      </c>
      <c r="I253" s="129">
        <f>'[2]Base Inversionistas 26'!N256/$N$1</f>
        <v>0</v>
      </c>
      <c r="J253" s="129">
        <f>'[2]Base Inversionistas 26'!O256/$N$1</f>
        <v>1</v>
      </c>
      <c r="K253" s="129">
        <f>'[2]Base Inversionistas 26'!P256/$N$1</f>
        <v>0</v>
      </c>
      <c r="L253" s="129">
        <f>'[2]Base Inversionistas 26'!Q256/$N$1</f>
        <v>0</v>
      </c>
    </row>
    <row r="254" spans="1:12">
      <c r="A254" s="16" t="s">
        <v>536</v>
      </c>
      <c r="B254" s="16">
        <v>72049339</v>
      </c>
      <c r="C254" s="16">
        <v>3148093554</v>
      </c>
      <c r="D254" s="12" t="s">
        <v>356</v>
      </c>
      <c r="E254" s="129">
        <f>'[2]Base Inversionistas 26'!J257/$N$1</f>
        <v>0</v>
      </c>
      <c r="F254" s="129">
        <f>'[2]Base Inversionistas 26'!K257/$N$1</f>
        <v>0</v>
      </c>
      <c r="G254" s="129">
        <f>'[2]Base Inversionistas 26'!L257/$N$1</f>
        <v>0</v>
      </c>
      <c r="H254" s="129">
        <f>'[2]Base Inversionistas 26'!M257/$N$1</f>
        <v>0</v>
      </c>
      <c r="I254" s="129">
        <f>'[2]Base Inversionistas 26'!N257/$N$1</f>
        <v>0</v>
      </c>
      <c r="J254" s="129">
        <f>'[2]Base Inversionistas 26'!O257/$N$1</f>
        <v>0</v>
      </c>
      <c r="K254" s="129">
        <f>'[2]Base Inversionistas 26'!P257/$N$1</f>
        <v>0</v>
      </c>
      <c r="L254" s="129">
        <f>'[2]Base Inversionistas 26'!Q257/$N$1</f>
        <v>0</v>
      </c>
    </row>
    <row r="255" spans="1:12">
      <c r="A255" s="16" t="s">
        <v>537</v>
      </c>
      <c r="B255" s="16">
        <v>71273662</v>
      </c>
      <c r="C255" s="16">
        <v>3103476233</v>
      </c>
      <c r="D255" s="12" t="s">
        <v>352</v>
      </c>
      <c r="E255" s="129">
        <f>'[2]Base Inversionistas 26'!J258/$N$1</f>
        <v>1</v>
      </c>
      <c r="F255" s="129">
        <f>'[2]Base Inversionistas 26'!K258/$N$1</f>
        <v>1</v>
      </c>
      <c r="G255" s="129">
        <f>'[2]Base Inversionistas 26'!L258/$N$1</f>
        <v>1</v>
      </c>
      <c r="H255" s="129">
        <f>'[2]Base Inversionistas 26'!M258/$N$1</f>
        <v>0</v>
      </c>
      <c r="I255" s="129">
        <f>'[2]Base Inversionistas 26'!N258/$N$1</f>
        <v>1</v>
      </c>
      <c r="J255" s="129">
        <f>'[2]Base Inversionistas 26'!O258/$N$1</f>
        <v>1</v>
      </c>
      <c r="K255" s="129">
        <f>'[2]Base Inversionistas 26'!P258/$N$1</f>
        <v>1</v>
      </c>
      <c r="L255" s="129">
        <f>'[2]Base Inversionistas 26'!Q258/$N$1</f>
        <v>0</v>
      </c>
    </row>
    <row r="256" spans="1:12">
      <c r="A256" s="16" t="s">
        <v>538</v>
      </c>
      <c r="B256" s="16">
        <v>64556783</v>
      </c>
      <c r="C256" s="16">
        <v>3017981102</v>
      </c>
      <c r="D256" s="12" t="s">
        <v>539</v>
      </c>
      <c r="E256" s="129">
        <f>'[2]Base Inversionistas 26'!J259/$N$1</f>
        <v>0</v>
      </c>
      <c r="F256" s="129">
        <f>'[2]Base Inversionistas 26'!K259/$N$1</f>
        <v>0</v>
      </c>
      <c r="G256" s="129">
        <f>'[2]Base Inversionistas 26'!L259/$N$1</f>
        <v>0</v>
      </c>
      <c r="H256" s="129">
        <f>'[2]Base Inversionistas 26'!M259/$N$1</f>
        <v>0</v>
      </c>
      <c r="I256" s="129">
        <f>'[2]Base Inversionistas 26'!N259/$N$1</f>
        <v>0</v>
      </c>
      <c r="J256" s="129">
        <f>'[2]Base Inversionistas 26'!O259/$N$1</f>
        <v>0</v>
      </c>
      <c r="K256" s="129">
        <f>'[2]Base Inversionistas 26'!P259/$N$1</f>
        <v>0</v>
      </c>
      <c r="L256" s="129">
        <f>'[2]Base Inversionistas 26'!Q259/$N$1</f>
        <v>0</v>
      </c>
    </row>
    <row r="257" spans="1:12">
      <c r="A257" s="16" t="s">
        <v>540</v>
      </c>
      <c r="B257" s="16">
        <v>30771251</v>
      </c>
      <c r="C257" s="16" t="s">
        <v>541</v>
      </c>
      <c r="D257" s="12" t="s">
        <v>539</v>
      </c>
      <c r="E257" s="129">
        <f>'[2]Base Inversionistas 26'!J260/$N$1</f>
        <v>0</v>
      </c>
      <c r="F257" s="129">
        <f>'[2]Base Inversionistas 26'!K260/$N$1</f>
        <v>0</v>
      </c>
      <c r="G257" s="129">
        <f>'[2]Base Inversionistas 26'!L260/$N$1</f>
        <v>0</v>
      </c>
      <c r="H257" s="129">
        <f>'[2]Base Inversionistas 26'!M260/$N$1</f>
        <v>0</v>
      </c>
      <c r="I257" s="129">
        <f>'[2]Base Inversionistas 26'!N260/$N$1</f>
        <v>0</v>
      </c>
      <c r="J257" s="129">
        <f>'[2]Base Inversionistas 26'!O260/$N$1</f>
        <v>0</v>
      </c>
      <c r="K257" s="129">
        <f>'[2]Base Inversionistas 26'!P260/$N$1</f>
        <v>0</v>
      </c>
      <c r="L257" s="129">
        <f>'[2]Base Inversionistas 26'!Q260/$N$1</f>
        <v>0</v>
      </c>
    </row>
    <row r="258" spans="1:12">
      <c r="A258" s="16" t="s">
        <v>542</v>
      </c>
      <c r="B258" s="16">
        <v>45758051</v>
      </c>
      <c r="C258" s="16" t="s">
        <v>543</v>
      </c>
      <c r="D258" s="12" t="s">
        <v>539</v>
      </c>
      <c r="E258" s="129">
        <f>'[2]Base Inversionistas 26'!J261/$N$1</f>
        <v>0</v>
      </c>
      <c r="F258" s="129">
        <f>'[2]Base Inversionistas 26'!K261/$N$1</f>
        <v>0</v>
      </c>
      <c r="G258" s="129">
        <f>'[2]Base Inversionistas 26'!L261/$N$1</f>
        <v>0</v>
      </c>
      <c r="H258" s="129">
        <f>'[2]Base Inversionistas 26'!M261/$N$1</f>
        <v>0</v>
      </c>
      <c r="I258" s="129">
        <f>'[2]Base Inversionistas 26'!N261/$N$1</f>
        <v>0</v>
      </c>
      <c r="J258" s="129">
        <f>'[2]Base Inversionistas 26'!O261/$N$1</f>
        <v>0</v>
      </c>
      <c r="K258" s="129">
        <f>'[2]Base Inversionistas 26'!P261/$N$1</f>
        <v>0</v>
      </c>
      <c r="L258" s="129">
        <f>'[2]Base Inversionistas 26'!Q261/$N$1</f>
        <v>0</v>
      </c>
    </row>
    <row r="259" spans="1:12">
      <c r="A259" s="16" t="s">
        <v>544</v>
      </c>
      <c r="B259" s="16">
        <v>88137146</v>
      </c>
      <c r="C259" s="16">
        <v>3157943643</v>
      </c>
      <c r="D259" s="12" t="s">
        <v>344</v>
      </c>
      <c r="E259" s="129">
        <f>'[2]Base Inversionistas 26'!J262/$N$1</f>
        <v>0</v>
      </c>
      <c r="F259" s="129">
        <f>'[2]Base Inversionistas 26'!K262/$N$1</f>
        <v>1</v>
      </c>
      <c r="G259" s="129">
        <f>'[2]Base Inversionistas 26'!L262/$N$1</f>
        <v>1</v>
      </c>
      <c r="H259" s="129">
        <f>'[2]Base Inversionistas 26'!M262/$N$1</f>
        <v>1</v>
      </c>
      <c r="I259" s="129">
        <f>'[2]Base Inversionistas 26'!N262/$N$1</f>
        <v>0</v>
      </c>
      <c r="J259" s="129">
        <f>'[2]Base Inversionistas 26'!O262/$N$1</f>
        <v>0</v>
      </c>
      <c r="K259" s="129">
        <f>'[2]Base Inversionistas 26'!P262/$N$1</f>
        <v>1</v>
      </c>
      <c r="L259" s="129">
        <f>'[2]Base Inversionistas 26'!Q262/$N$1</f>
        <v>1</v>
      </c>
    </row>
    <row r="260" spans="1:12">
      <c r="A260" s="16" t="s">
        <v>545</v>
      </c>
      <c r="B260" s="16">
        <v>88284263</v>
      </c>
      <c r="C260" s="16">
        <v>88284263</v>
      </c>
      <c r="D260" s="12" t="s">
        <v>344</v>
      </c>
      <c r="E260" s="129">
        <f>'[2]Base Inversionistas 26'!J263/$N$1</f>
        <v>1</v>
      </c>
      <c r="F260" s="129">
        <f>'[2]Base Inversionistas 26'!K263/$N$1</f>
        <v>0</v>
      </c>
      <c r="G260" s="129">
        <f>'[2]Base Inversionistas 26'!L263/$N$1</f>
        <v>1</v>
      </c>
      <c r="H260" s="129">
        <f>'[2]Base Inversionistas 26'!M263/$N$1</f>
        <v>1</v>
      </c>
      <c r="I260" s="129">
        <f>'[2]Base Inversionistas 26'!N263/$N$1</f>
        <v>1</v>
      </c>
      <c r="J260" s="129">
        <f>'[2]Base Inversionistas 26'!O263/$N$1</f>
        <v>0</v>
      </c>
      <c r="K260" s="129">
        <f>'[2]Base Inversionistas 26'!P263/$N$1</f>
        <v>1</v>
      </c>
      <c r="L260" s="129">
        <f>'[2]Base Inversionistas 26'!Q263/$N$1</f>
        <v>1</v>
      </c>
    </row>
    <row r="261" spans="1:12">
      <c r="A261" s="16" t="s">
        <v>675</v>
      </c>
      <c r="B261" s="16">
        <v>77179718</v>
      </c>
      <c r="C261" s="16">
        <v>3214184733</v>
      </c>
      <c r="D261" s="12" t="s">
        <v>344</v>
      </c>
      <c r="E261" s="129">
        <f>'[2]Base Inversionistas 26'!J264/$N$1</f>
        <v>0</v>
      </c>
      <c r="F261" s="129">
        <f>'[2]Base Inversionistas 26'!K264/$N$1</f>
        <v>1</v>
      </c>
      <c r="G261" s="129">
        <f>'[2]Base Inversionistas 26'!L264/$N$1</f>
        <v>1</v>
      </c>
      <c r="H261" s="129">
        <f>'[2]Base Inversionistas 26'!M264/$N$1</f>
        <v>1</v>
      </c>
      <c r="I261" s="129">
        <f>'[2]Base Inversionistas 26'!N264/$N$1</f>
        <v>1</v>
      </c>
      <c r="J261" s="129">
        <f>'[2]Base Inversionistas 26'!O264/$N$1</f>
        <v>1</v>
      </c>
      <c r="K261" s="129">
        <f>'[2]Base Inversionistas 26'!P264/$N$1</f>
        <v>1</v>
      </c>
      <c r="L261" s="129">
        <f>'[2]Base Inversionistas 26'!Q264/$N$1</f>
        <v>1</v>
      </c>
    </row>
    <row r="262" spans="1:12">
      <c r="A262" s="16" t="s">
        <v>555</v>
      </c>
      <c r="B262" s="16">
        <v>16354014</v>
      </c>
      <c r="C262" s="16"/>
      <c r="D262" s="12" t="s">
        <v>346</v>
      </c>
      <c r="E262" s="129">
        <f>'[2]Base Inversionistas 26'!J265/$N$1</f>
        <v>0</v>
      </c>
      <c r="F262" s="129">
        <f>'[2]Base Inversionistas 26'!K265/$N$1</f>
        <v>1</v>
      </c>
      <c r="G262" s="129">
        <f>'[2]Base Inversionistas 26'!L265/$N$1</f>
        <v>1</v>
      </c>
      <c r="H262" s="129">
        <f>'[2]Base Inversionistas 26'!M265/$N$1</f>
        <v>2</v>
      </c>
      <c r="I262" s="129">
        <f>'[2]Base Inversionistas 26'!N265/$N$1</f>
        <v>2</v>
      </c>
      <c r="J262" s="129">
        <f>'[2]Base Inversionistas 26'!O265/$N$1</f>
        <v>0</v>
      </c>
      <c r="K262" s="129">
        <f>'[2]Base Inversionistas 26'!P265/$N$1</f>
        <v>2</v>
      </c>
      <c r="L262" s="129">
        <f>'[2]Base Inversionistas 26'!Q265/$N$1</f>
        <v>0</v>
      </c>
    </row>
    <row r="263" spans="1:12">
      <c r="A263" s="16" t="s">
        <v>556</v>
      </c>
      <c r="B263" s="16">
        <v>26257532</v>
      </c>
      <c r="C263" s="16" t="s">
        <v>557</v>
      </c>
      <c r="D263" s="12" t="s">
        <v>347</v>
      </c>
      <c r="E263" s="129">
        <f>'[2]Base Inversionistas 26'!J266/$N$1</f>
        <v>1</v>
      </c>
      <c r="F263" s="129">
        <f>'[2]Base Inversionistas 26'!K266/$N$1</f>
        <v>1</v>
      </c>
      <c r="G263" s="129">
        <f>'[2]Base Inversionistas 26'!L266/$N$1</f>
        <v>1</v>
      </c>
      <c r="H263" s="129">
        <f>'[2]Base Inversionistas 26'!M266/$N$1</f>
        <v>2</v>
      </c>
      <c r="I263" s="129">
        <f>'[2]Base Inversionistas 26'!N266/$N$1</f>
        <v>0</v>
      </c>
      <c r="J263" s="129">
        <f>'[2]Base Inversionistas 26'!O266/$N$1</f>
        <v>2</v>
      </c>
      <c r="K263" s="129">
        <f>'[2]Base Inversionistas 26'!P266/$N$1</f>
        <v>2</v>
      </c>
      <c r="L263" s="129">
        <f>'[2]Base Inversionistas 26'!Q266/$N$1</f>
        <v>2</v>
      </c>
    </row>
    <row r="264" spans="1:12">
      <c r="A264" s="16" t="s">
        <v>558</v>
      </c>
      <c r="B264" s="16"/>
      <c r="C264" s="16"/>
      <c r="D264" s="12" t="s">
        <v>559</v>
      </c>
      <c r="E264" s="129">
        <f>'[2]Base Inversionistas 26'!J267/$N$1</f>
        <v>0</v>
      </c>
      <c r="F264" s="129">
        <f>'[2]Base Inversionistas 26'!K267/$N$1</f>
        <v>0.5</v>
      </c>
      <c r="G264" s="129">
        <f>'[2]Base Inversionistas 26'!L267/$N$1</f>
        <v>0.5</v>
      </c>
      <c r="H264" s="129">
        <f>'[2]Base Inversionistas 26'!M267/$N$1</f>
        <v>0.5</v>
      </c>
      <c r="I264" s="129">
        <f>'[2]Base Inversionistas 26'!N267/$N$1</f>
        <v>0</v>
      </c>
      <c r="J264" s="129">
        <f>'[2]Base Inversionistas 26'!O267/$N$1</f>
        <v>0</v>
      </c>
      <c r="K264" s="129">
        <f>'[2]Base Inversionistas 26'!P267/$N$1</f>
        <v>0</v>
      </c>
      <c r="L264" s="129">
        <f>'[2]Base Inversionistas 26'!Q267/$N$1</f>
        <v>0</v>
      </c>
    </row>
    <row r="265" spans="1:12">
      <c r="A265" s="16" t="s">
        <v>573</v>
      </c>
      <c r="B265" s="16">
        <v>72295408</v>
      </c>
      <c r="C265" s="16"/>
      <c r="D265" s="12" t="s">
        <v>574</v>
      </c>
      <c r="E265" s="129">
        <f>'[2]Base Inversionistas 26'!J268/$N$1</f>
        <v>0</v>
      </c>
      <c r="F265" s="129">
        <f>'[2]Base Inversionistas 26'!K268/$N$1</f>
        <v>0</v>
      </c>
      <c r="G265" s="129">
        <f>'[2]Base Inversionistas 26'!L268/$N$1</f>
        <v>0</v>
      </c>
      <c r="H265" s="129">
        <f>'[2]Base Inversionistas 26'!M268/$N$1</f>
        <v>0</v>
      </c>
      <c r="I265" s="129">
        <f>'[2]Base Inversionistas 26'!N268/$N$1</f>
        <v>0</v>
      </c>
      <c r="J265" s="129">
        <f>'[2]Base Inversionistas 26'!O268/$N$1</f>
        <v>0</v>
      </c>
      <c r="K265" s="129">
        <f>'[2]Base Inversionistas 26'!P268/$N$1</f>
        <v>0</v>
      </c>
      <c r="L265" s="129">
        <f>'[2]Base Inversionistas 26'!Q268/$N$1</f>
        <v>0</v>
      </c>
    </row>
    <row r="266" spans="1:12">
      <c r="A266" s="16" t="s">
        <v>575</v>
      </c>
      <c r="B266" s="16">
        <v>3770607</v>
      </c>
      <c r="C266" s="16">
        <v>3126624361</v>
      </c>
      <c r="D266" s="12" t="s">
        <v>574</v>
      </c>
      <c r="E266" s="129">
        <f>'[2]Base Inversionistas 26'!J269/$N$1</f>
        <v>0</v>
      </c>
      <c r="F266" s="129">
        <f>'[2]Base Inversionistas 26'!K269/$N$1</f>
        <v>0</v>
      </c>
      <c r="G266" s="129">
        <f>'[2]Base Inversionistas 26'!L269/$N$1</f>
        <v>1</v>
      </c>
      <c r="H266" s="129">
        <f>'[2]Base Inversionistas 26'!M269/$N$1</f>
        <v>1</v>
      </c>
      <c r="I266" s="129">
        <f>'[2]Base Inversionistas 26'!N269/$N$1</f>
        <v>1</v>
      </c>
      <c r="J266" s="129">
        <f>'[2]Base Inversionistas 26'!O269/$N$1</f>
        <v>1</v>
      </c>
      <c r="K266" s="129">
        <f>'[2]Base Inversionistas 26'!P269/$N$1</f>
        <v>0</v>
      </c>
      <c r="L266" s="129">
        <f>'[2]Base Inversionistas 26'!Q269/$N$1</f>
        <v>0</v>
      </c>
    </row>
    <row r="267" spans="1:12">
      <c r="A267" s="16" t="s">
        <v>576</v>
      </c>
      <c r="B267" s="16">
        <v>1075271930</v>
      </c>
      <c r="C267" s="16" t="s">
        <v>577</v>
      </c>
      <c r="D267" s="12" t="s">
        <v>578</v>
      </c>
      <c r="E267" s="129">
        <f>'[2]Base Inversionistas 26'!J270/$N$1</f>
        <v>1</v>
      </c>
      <c r="F267" s="129">
        <f>'[2]Base Inversionistas 26'!K270/$N$1</f>
        <v>1</v>
      </c>
      <c r="G267" s="129">
        <f>'[2]Base Inversionistas 26'!L270/$N$1</f>
        <v>1</v>
      </c>
      <c r="H267" s="129">
        <f>'[2]Base Inversionistas 26'!M270/$N$1</f>
        <v>1</v>
      </c>
      <c r="I267" s="129">
        <f>'[2]Base Inversionistas 26'!N270/$N$1</f>
        <v>1</v>
      </c>
      <c r="J267" s="129">
        <f>'[2]Base Inversionistas 26'!O270/$N$1</f>
        <v>0</v>
      </c>
      <c r="K267" s="129">
        <f>'[2]Base Inversionistas 26'!P270/$N$1</f>
        <v>0</v>
      </c>
      <c r="L267" s="129">
        <f>'[2]Base Inversionistas 26'!Q270/$N$1</f>
        <v>0</v>
      </c>
    </row>
    <row r="268" spans="1:12">
      <c r="A268" s="16" t="s">
        <v>579</v>
      </c>
      <c r="B268" s="16">
        <v>1093789365</v>
      </c>
      <c r="C268" s="16"/>
      <c r="D268" s="12" t="s">
        <v>346</v>
      </c>
      <c r="E268" s="129">
        <f>'[2]Base Inversionistas 26'!J271/$N$1</f>
        <v>1</v>
      </c>
      <c r="F268" s="129">
        <f>'[2]Base Inversionistas 26'!K271/$N$1</f>
        <v>1</v>
      </c>
      <c r="G268" s="129">
        <f>'[2]Base Inversionistas 26'!L271/$N$1</f>
        <v>1</v>
      </c>
      <c r="H268" s="129">
        <f>'[2]Base Inversionistas 26'!M271/$N$1</f>
        <v>0</v>
      </c>
      <c r="I268" s="129">
        <f>'[2]Base Inversionistas 26'!N271/$N$1</f>
        <v>1</v>
      </c>
      <c r="J268" s="129">
        <f>'[2]Base Inversionistas 26'!O271/$N$1</f>
        <v>1</v>
      </c>
      <c r="K268" s="129">
        <f>'[2]Base Inversionistas 26'!P271/$N$1</f>
        <v>1</v>
      </c>
      <c r="L268" s="129">
        <f>'[2]Base Inversionistas 26'!Q271/$N$1</f>
        <v>1</v>
      </c>
    </row>
    <row r="269" spans="1:12">
      <c r="A269" s="16" t="s">
        <v>581</v>
      </c>
      <c r="B269" s="16">
        <v>98552933</v>
      </c>
      <c r="C269" s="16">
        <v>3184873565</v>
      </c>
      <c r="D269" s="12" t="s">
        <v>253</v>
      </c>
      <c r="E269" s="129">
        <f>'[2]Base Inversionistas 26'!J272/$N$1</f>
        <v>0</v>
      </c>
      <c r="F269" s="129">
        <f>'[2]Base Inversionistas 26'!K272/$N$1</f>
        <v>1</v>
      </c>
      <c r="G269" s="129">
        <f>'[2]Base Inversionistas 26'!L272/$N$1</f>
        <v>0</v>
      </c>
      <c r="H269" s="129">
        <f>'[2]Base Inversionistas 26'!M272/$N$1</f>
        <v>1</v>
      </c>
      <c r="I269" s="129">
        <f>'[2]Base Inversionistas 26'!N272/$N$1</f>
        <v>0</v>
      </c>
      <c r="J269" s="129">
        <f>'[2]Base Inversionistas 26'!O272/$N$1</f>
        <v>0</v>
      </c>
      <c r="K269" s="129">
        <f>'[2]Base Inversionistas 26'!P272/$N$1</f>
        <v>0</v>
      </c>
      <c r="L269" s="129">
        <f>'[2]Base Inversionistas 26'!Q272/$N$1</f>
        <v>0</v>
      </c>
    </row>
    <row r="270" spans="1:12">
      <c r="A270" s="16" t="s">
        <v>582</v>
      </c>
      <c r="B270" s="16">
        <v>45758051</v>
      </c>
      <c r="C270" s="16"/>
      <c r="D270" s="12" t="s">
        <v>539</v>
      </c>
      <c r="E270" s="129">
        <f>'[2]Base Inversionistas 26'!J273/$N$1</f>
        <v>0</v>
      </c>
      <c r="F270" s="129">
        <f>'[2]Base Inversionistas 26'!K273/$N$1</f>
        <v>0</v>
      </c>
      <c r="G270" s="129">
        <f>'[2]Base Inversionistas 26'!L273/$N$1</f>
        <v>0</v>
      </c>
      <c r="H270" s="129">
        <f>'[2]Base Inversionistas 26'!M273/$N$1</f>
        <v>0</v>
      </c>
      <c r="I270" s="129">
        <f>'[2]Base Inversionistas 26'!N273/$N$1</f>
        <v>0</v>
      </c>
      <c r="J270" s="129">
        <f>'[2]Base Inversionistas 26'!O273/$N$1</f>
        <v>0</v>
      </c>
      <c r="K270" s="129">
        <f>'[2]Base Inversionistas 26'!P273/$N$1</f>
        <v>0</v>
      </c>
      <c r="L270" s="129">
        <f>'[2]Base Inversionistas 26'!Q273/$N$1</f>
        <v>0</v>
      </c>
    </row>
    <row r="271" spans="1:12">
      <c r="A271" s="16" t="s">
        <v>583</v>
      </c>
      <c r="B271" s="16" t="s">
        <v>754</v>
      </c>
      <c r="C271" s="16">
        <v>3155529907</v>
      </c>
      <c r="D271" s="12" t="s">
        <v>344</v>
      </c>
      <c r="E271" s="129">
        <f>'[2]Base Inversionistas 26'!J274/$N$1</f>
        <v>0</v>
      </c>
      <c r="F271" s="129">
        <f>'[2]Base Inversionistas 26'!K274/$N$1</f>
        <v>0</v>
      </c>
      <c r="G271" s="129">
        <f>'[2]Base Inversionistas 26'!L274/$N$1</f>
        <v>0</v>
      </c>
      <c r="H271" s="129">
        <f>'[2]Base Inversionistas 26'!M274/$N$1</f>
        <v>0</v>
      </c>
      <c r="I271" s="129">
        <f>'[2]Base Inversionistas 26'!N274/$N$1</f>
        <v>0</v>
      </c>
      <c r="J271" s="129">
        <f>'[2]Base Inversionistas 26'!O274/$N$1</f>
        <v>0</v>
      </c>
      <c r="K271" s="129">
        <f>'[2]Base Inversionistas 26'!P274/$N$1</f>
        <v>0</v>
      </c>
      <c r="L271" s="129">
        <f>'[2]Base Inversionistas 26'!Q274/$N$1</f>
        <v>1</v>
      </c>
    </row>
    <row r="272" spans="1:12">
      <c r="A272" s="16" t="s">
        <v>586</v>
      </c>
      <c r="B272" s="16">
        <v>16071816</v>
      </c>
      <c r="C272" s="16">
        <v>3176880448</v>
      </c>
      <c r="D272" s="12" t="s">
        <v>352</v>
      </c>
      <c r="E272" s="129">
        <f>'[2]Base Inversionistas 26'!J275/$N$1</f>
        <v>0.375</v>
      </c>
      <c r="F272" s="129">
        <f>'[2]Base Inversionistas 26'!K275/$N$1</f>
        <v>0</v>
      </c>
      <c r="G272" s="129">
        <f>'[2]Base Inversionistas 26'!L275/$N$1</f>
        <v>0.125</v>
      </c>
      <c r="H272" s="129">
        <f>'[2]Base Inversionistas 26'!M275/$N$1</f>
        <v>0.5</v>
      </c>
      <c r="I272" s="129">
        <f>'[2]Base Inversionistas 26'!N275/$N$1</f>
        <v>0.5</v>
      </c>
      <c r="J272" s="129">
        <f>'[2]Base Inversionistas 26'!O275/$N$1</f>
        <v>0.5</v>
      </c>
      <c r="K272" s="129">
        <f>'[2]Base Inversionistas 26'!P275/$N$1</f>
        <v>0</v>
      </c>
      <c r="L272" s="129">
        <f>'[2]Base Inversionistas 26'!Q275/$N$1</f>
        <v>0</v>
      </c>
    </row>
    <row r="273" spans="1:12">
      <c r="A273" s="16" t="s">
        <v>587</v>
      </c>
      <c r="B273" s="16">
        <v>1122403315</v>
      </c>
      <c r="C273" s="16">
        <v>3135707447</v>
      </c>
      <c r="D273" s="12" t="s">
        <v>588</v>
      </c>
      <c r="E273" s="129">
        <f>'[2]Base Inversionistas 26'!J276/$N$1</f>
        <v>0</v>
      </c>
      <c r="F273" s="129">
        <f>'[2]Base Inversionistas 26'!K276/$N$1</f>
        <v>0</v>
      </c>
      <c r="G273" s="129">
        <f>'[2]Base Inversionistas 26'!L276/$N$1</f>
        <v>0</v>
      </c>
      <c r="H273" s="129">
        <f>'[2]Base Inversionistas 26'!M276/$N$1</f>
        <v>0</v>
      </c>
      <c r="I273" s="129">
        <f>'[2]Base Inversionistas 26'!N276/$N$1</f>
        <v>0</v>
      </c>
      <c r="J273" s="129">
        <f>'[2]Base Inversionistas 26'!O276/$N$1</f>
        <v>0.375</v>
      </c>
      <c r="K273" s="129">
        <f>'[2]Base Inversionistas 26'!P276/$N$1</f>
        <v>0</v>
      </c>
      <c r="L273" s="129">
        <f>'[2]Base Inversionistas 26'!Q276/$N$1</f>
        <v>0</v>
      </c>
    </row>
    <row r="274" spans="1:12">
      <c r="A274" s="16" t="s">
        <v>589</v>
      </c>
      <c r="B274" s="16">
        <v>1090405714</v>
      </c>
      <c r="C274" s="16"/>
      <c r="D274" s="12" t="s">
        <v>346</v>
      </c>
      <c r="E274" s="129">
        <f>'[2]Base Inversionistas 26'!J277/$N$1</f>
        <v>1</v>
      </c>
      <c r="F274" s="129">
        <f>'[2]Base Inversionistas 26'!K277/$N$1</f>
        <v>1</v>
      </c>
      <c r="G274" s="129">
        <f>'[2]Base Inversionistas 26'!L277/$N$1</f>
        <v>1</v>
      </c>
      <c r="H274" s="129">
        <f>'[2]Base Inversionistas 26'!M277/$N$1</f>
        <v>0</v>
      </c>
      <c r="I274" s="129">
        <f>'[2]Base Inversionistas 26'!N277/$N$1</f>
        <v>1</v>
      </c>
      <c r="J274" s="129">
        <f>'[2]Base Inversionistas 26'!O277/$N$1</f>
        <v>0</v>
      </c>
      <c r="K274" s="129">
        <f>'[2]Base Inversionistas 26'!P277/$N$1</f>
        <v>2</v>
      </c>
      <c r="L274" s="129">
        <f>'[2]Base Inversionistas 26'!Q277/$N$1</f>
        <v>0</v>
      </c>
    </row>
    <row r="275" spans="1:12">
      <c r="A275" s="16" t="s">
        <v>671</v>
      </c>
      <c r="B275" s="16">
        <v>15274598</v>
      </c>
      <c r="C275" s="16"/>
      <c r="D275" s="12" t="s">
        <v>351</v>
      </c>
      <c r="E275" s="129">
        <f>'[2]Base Inversionistas 26'!J278/$N$1</f>
        <v>0</v>
      </c>
      <c r="F275" s="129">
        <f>'[2]Base Inversionistas 26'!K278/$N$1</f>
        <v>1</v>
      </c>
      <c r="G275" s="129">
        <f>'[2]Base Inversionistas 26'!L278/$N$1</f>
        <v>0.5</v>
      </c>
      <c r="H275" s="129">
        <f>'[2]Base Inversionistas 26'!M278/$N$1</f>
        <v>0</v>
      </c>
      <c r="I275" s="129">
        <f>'[2]Base Inversionistas 26'!N278/$N$1</f>
        <v>0</v>
      </c>
      <c r="J275" s="129">
        <f>'[2]Base Inversionistas 26'!O278/$N$1</f>
        <v>0</v>
      </c>
      <c r="K275" s="129">
        <f>'[2]Base Inversionistas 26'!P278/$N$1</f>
        <v>0</v>
      </c>
      <c r="L275" s="129">
        <f>'[2]Base Inversionistas 26'!Q278/$N$1</f>
        <v>0</v>
      </c>
    </row>
    <row r="276" spans="1:12">
      <c r="A276" s="16" t="s">
        <v>591</v>
      </c>
      <c r="B276" s="16"/>
      <c r="C276" s="16"/>
      <c r="D276" s="12" t="s">
        <v>455</v>
      </c>
      <c r="E276" s="129">
        <f>'[2]Base Inversionistas 26'!J279/$N$1</f>
        <v>0</v>
      </c>
      <c r="F276" s="129">
        <f>'[2]Base Inversionistas 26'!K279/$N$1</f>
        <v>0</v>
      </c>
      <c r="G276" s="129">
        <f>'[2]Base Inversionistas 26'!L279/$N$1</f>
        <v>0</v>
      </c>
      <c r="H276" s="129">
        <f>'[2]Base Inversionistas 26'!M279/$N$1</f>
        <v>0</v>
      </c>
      <c r="I276" s="129">
        <f>'[2]Base Inversionistas 26'!N279/$N$1</f>
        <v>0</v>
      </c>
      <c r="J276" s="129">
        <f>'[2]Base Inversionistas 26'!O279/$N$1</f>
        <v>0</v>
      </c>
      <c r="K276" s="129">
        <f>'[2]Base Inversionistas 26'!P279/$N$1</f>
        <v>0</v>
      </c>
      <c r="L276" s="129">
        <f>'[2]Base Inversionistas 26'!Q279/$N$1</f>
        <v>0</v>
      </c>
    </row>
    <row r="277" spans="1:12">
      <c r="A277" s="16" t="s">
        <v>702</v>
      </c>
      <c r="B277" s="16"/>
      <c r="C277" s="16"/>
      <c r="D277" s="12" t="s">
        <v>346</v>
      </c>
      <c r="E277" s="129">
        <f>'[2]Base Inversionistas 26'!J280/$N$1</f>
        <v>1</v>
      </c>
      <c r="F277" s="129">
        <f>'[2]Base Inversionistas 26'!K280/$N$1</f>
        <v>0</v>
      </c>
      <c r="G277" s="129">
        <f>'[2]Base Inversionistas 26'!L280/$N$1</f>
        <v>1</v>
      </c>
      <c r="H277" s="129">
        <f>'[2]Base Inversionistas 26'!M280/$N$1</f>
        <v>1</v>
      </c>
      <c r="I277" s="129">
        <f>'[2]Base Inversionistas 26'!N280/$N$1</f>
        <v>1</v>
      </c>
      <c r="J277" s="129">
        <f>'[2]Base Inversionistas 26'!O280/$N$1</f>
        <v>1</v>
      </c>
      <c r="K277" s="129">
        <f>'[2]Base Inversionistas 26'!P280/$N$1</f>
        <v>1</v>
      </c>
      <c r="L277" s="129">
        <f>'[2]Base Inversionistas 26'!Q280/$N$1</f>
        <v>1</v>
      </c>
    </row>
    <row r="278" spans="1:12">
      <c r="A278" s="16" t="s">
        <v>595</v>
      </c>
      <c r="B278" s="16">
        <v>55143294</v>
      </c>
      <c r="C278" s="16"/>
      <c r="D278" s="12" t="s">
        <v>596</v>
      </c>
      <c r="E278" s="129">
        <f>'[2]Base Inversionistas 26'!J281/$N$1</f>
        <v>1.25</v>
      </c>
      <c r="F278" s="129">
        <f>'[2]Base Inversionistas 26'!K281/$N$1</f>
        <v>1.25</v>
      </c>
      <c r="G278" s="129">
        <f>'[2]Base Inversionistas 26'!L281/$N$1</f>
        <v>1.25</v>
      </c>
      <c r="H278" s="129">
        <f>'[2]Base Inversionistas 26'!M281/$N$1</f>
        <v>1.25</v>
      </c>
      <c r="I278" s="129">
        <f>'[2]Base Inversionistas 26'!N281/$N$1</f>
        <v>1.25</v>
      </c>
      <c r="J278" s="129">
        <f>'[2]Base Inversionistas 26'!O281/$N$1</f>
        <v>1.25</v>
      </c>
      <c r="K278" s="129">
        <f>'[2]Base Inversionistas 26'!P281/$N$1</f>
        <v>0</v>
      </c>
      <c r="L278" s="129">
        <f>'[2]Base Inversionistas 26'!Q281/$N$1</f>
        <v>0</v>
      </c>
    </row>
    <row r="279" spans="1:12">
      <c r="A279" s="16" t="s">
        <v>597</v>
      </c>
      <c r="B279" s="16">
        <v>42027224</v>
      </c>
      <c r="C279" s="16">
        <v>3137328174</v>
      </c>
      <c r="D279" s="12" t="s">
        <v>455</v>
      </c>
      <c r="E279" s="129">
        <f>'[2]Base Inversionistas 26'!J282/$N$1</f>
        <v>1</v>
      </c>
      <c r="F279" s="129">
        <f>'[2]Base Inversionistas 26'!K282/$N$1</f>
        <v>1</v>
      </c>
      <c r="G279" s="129">
        <f>'[2]Base Inversionistas 26'!L282/$N$1</f>
        <v>1</v>
      </c>
      <c r="H279" s="129">
        <f>'[2]Base Inversionistas 26'!M282/$N$1</f>
        <v>1</v>
      </c>
      <c r="I279" s="129">
        <f>'[2]Base Inversionistas 26'!N282/$N$1</f>
        <v>1</v>
      </c>
      <c r="J279" s="129">
        <f>'[2]Base Inversionistas 26'!O282/$N$1</f>
        <v>1</v>
      </c>
      <c r="K279" s="129">
        <f>'[2]Base Inversionistas 26'!P282/$N$1</f>
        <v>1</v>
      </c>
      <c r="L279" s="129">
        <f>'[2]Base Inversionistas 26'!Q282/$N$1</f>
        <v>1</v>
      </c>
    </row>
    <row r="280" spans="1:12">
      <c r="A280" s="16" t="s">
        <v>598</v>
      </c>
      <c r="B280" s="16"/>
      <c r="C280" s="16"/>
      <c r="D280" s="12" t="s">
        <v>257</v>
      </c>
      <c r="E280" s="129">
        <f>'[2]Base Inversionistas 26'!J283/$N$1</f>
        <v>0.5</v>
      </c>
      <c r="F280" s="129">
        <f>'[2]Base Inversionistas 26'!K283/$N$1</f>
        <v>0</v>
      </c>
      <c r="G280" s="129">
        <f>'[2]Base Inversionistas 26'!L283/$N$1</f>
        <v>0</v>
      </c>
      <c r="H280" s="129">
        <f>'[2]Base Inversionistas 26'!M283/$N$1</f>
        <v>0</v>
      </c>
      <c r="I280" s="129">
        <f>'[2]Base Inversionistas 26'!N283/$N$1</f>
        <v>0</v>
      </c>
      <c r="J280" s="129">
        <f>'[2]Base Inversionistas 26'!O283/$N$1</f>
        <v>0</v>
      </c>
      <c r="K280" s="129">
        <f>'[2]Base Inversionistas 26'!P283/$N$1</f>
        <v>0</v>
      </c>
      <c r="L280" s="129">
        <f>'[2]Base Inversionistas 26'!Q283/$N$1</f>
        <v>0</v>
      </c>
    </row>
    <row r="281" spans="1:12">
      <c r="A281" s="16" t="s">
        <v>599</v>
      </c>
      <c r="B281" s="16"/>
      <c r="C281" s="16"/>
      <c r="D281" s="12" t="s">
        <v>257</v>
      </c>
      <c r="E281" s="129">
        <f>'[2]Base Inversionistas 26'!J284/$N$1</f>
        <v>1</v>
      </c>
      <c r="F281" s="129">
        <f>'[2]Base Inversionistas 26'!K284/$N$1</f>
        <v>0</v>
      </c>
      <c r="G281" s="129">
        <f>'[2]Base Inversionistas 26'!L284/$N$1</f>
        <v>0</v>
      </c>
      <c r="H281" s="129">
        <f>'[2]Base Inversionistas 26'!M284/$N$1</f>
        <v>1</v>
      </c>
      <c r="I281" s="129">
        <f>'[2]Base Inversionistas 26'!N284/$N$1</f>
        <v>0</v>
      </c>
      <c r="J281" s="129">
        <f>'[2]Base Inversionistas 26'!O284/$N$1</f>
        <v>1</v>
      </c>
      <c r="K281" s="129">
        <f>'[2]Base Inversionistas 26'!P284/$N$1</f>
        <v>0</v>
      </c>
      <c r="L281" s="129">
        <f>'[2]Base Inversionistas 26'!Q284/$N$1</f>
        <v>0</v>
      </c>
    </row>
    <row r="282" spans="1:12">
      <c r="A282" s="16" t="s">
        <v>600</v>
      </c>
      <c r="B282" s="16">
        <v>1090399128</v>
      </c>
      <c r="C282" s="16"/>
      <c r="D282" s="12" t="s">
        <v>346</v>
      </c>
      <c r="E282" s="129">
        <f>'[2]Base Inversionistas 26'!J285/$N$1</f>
        <v>1</v>
      </c>
      <c r="F282" s="129">
        <f>'[2]Base Inversionistas 26'!K285/$N$1</f>
        <v>1</v>
      </c>
      <c r="G282" s="129">
        <f>'[2]Base Inversionistas 26'!L285/$N$1</f>
        <v>1</v>
      </c>
      <c r="H282" s="129">
        <f>'[2]Base Inversionistas 26'!M285/$N$1</f>
        <v>0</v>
      </c>
      <c r="I282" s="129">
        <f>'[2]Base Inversionistas 26'!N285/$N$1</f>
        <v>1</v>
      </c>
      <c r="J282" s="129">
        <f>'[2]Base Inversionistas 26'!O285/$N$1</f>
        <v>1</v>
      </c>
      <c r="K282" s="129">
        <f>'[2]Base Inversionistas 26'!P285/$N$1</f>
        <v>0</v>
      </c>
      <c r="L282" s="129">
        <f>'[2]Base Inversionistas 26'!Q285/$N$1</f>
        <v>1</v>
      </c>
    </row>
    <row r="283" spans="1:12">
      <c r="A283" s="16" t="s">
        <v>601</v>
      </c>
      <c r="B283" s="16">
        <v>13923806</v>
      </c>
      <c r="C283" s="16"/>
      <c r="D283" s="12" t="s">
        <v>578</v>
      </c>
      <c r="E283" s="129">
        <f>'[2]Base Inversionistas 26'!J286/$N$1</f>
        <v>4</v>
      </c>
      <c r="F283" s="129">
        <f>'[2]Base Inversionistas 26'!K286/$N$1</f>
        <v>4</v>
      </c>
      <c r="G283" s="129">
        <f>'[2]Base Inversionistas 26'!L286/$N$1</f>
        <v>4</v>
      </c>
      <c r="H283" s="129">
        <f>'[2]Base Inversionistas 26'!M286/$N$1</f>
        <v>0</v>
      </c>
      <c r="I283" s="129">
        <f>'[2]Base Inversionistas 26'!N286/$N$1</f>
        <v>5</v>
      </c>
      <c r="J283" s="129">
        <f>'[2]Base Inversionistas 26'!O286/$N$1</f>
        <v>5</v>
      </c>
      <c r="K283" s="129">
        <f>'[2]Base Inversionistas 26'!P286/$N$1</f>
        <v>0</v>
      </c>
      <c r="L283" s="129">
        <f>'[2]Base Inversionistas 26'!Q286/$N$1</f>
        <v>0</v>
      </c>
    </row>
    <row r="284" spans="1:12">
      <c r="A284" s="16" t="s">
        <v>602</v>
      </c>
      <c r="B284" s="16">
        <v>60300203</v>
      </c>
      <c r="C284" s="16"/>
      <c r="D284" s="12" t="s">
        <v>346</v>
      </c>
      <c r="E284" s="129">
        <f>'[2]Base Inversionistas 26'!J287/$N$1</f>
        <v>1</v>
      </c>
      <c r="F284" s="129">
        <f>'[2]Base Inversionistas 26'!K287/$N$1</f>
        <v>1</v>
      </c>
      <c r="G284" s="129">
        <f>'[2]Base Inversionistas 26'!L287/$N$1</f>
        <v>2</v>
      </c>
      <c r="H284" s="129">
        <f>'[2]Base Inversionistas 26'!M287/$N$1</f>
        <v>0</v>
      </c>
      <c r="I284" s="129">
        <f>'[2]Base Inversionistas 26'!N287/$N$1</f>
        <v>0</v>
      </c>
      <c r="J284" s="129">
        <f>'[2]Base Inversionistas 26'!O287/$N$1</f>
        <v>1</v>
      </c>
      <c r="K284" s="129">
        <f>'[2]Base Inversionistas 26'!P287/$N$1</f>
        <v>1</v>
      </c>
      <c r="L284" s="129">
        <f>'[2]Base Inversionistas 26'!Q287/$N$1</f>
        <v>1</v>
      </c>
    </row>
    <row r="285" spans="1:12">
      <c r="A285" s="16" t="s">
        <v>603</v>
      </c>
      <c r="B285" s="16"/>
      <c r="C285" s="16">
        <v>3188566515</v>
      </c>
      <c r="D285" s="12" t="s">
        <v>253</v>
      </c>
      <c r="E285" s="129">
        <f>'[2]Base Inversionistas 26'!J288/$N$1</f>
        <v>1</v>
      </c>
      <c r="F285" s="129">
        <f>'[2]Base Inversionistas 26'!K288/$N$1</f>
        <v>1</v>
      </c>
      <c r="G285" s="129">
        <f>'[2]Base Inversionistas 26'!L288/$N$1</f>
        <v>0</v>
      </c>
      <c r="H285" s="129">
        <f>'[2]Base Inversionistas 26'!M288/$N$1</f>
        <v>0</v>
      </c>
      <c r="I285" s="129">
        <f>'[2]Base Inversionistas 26'!N288/$N$1</f>
        <v>0</v>
      </c>
      <c r="J285" s="129">
        <f>'[2]Base Inversionistas 26'!O288/$N$1</f>
        <v>1</v>
      </c>
      <c r="K285" s="129">
        <f>'[2]Base Inversionistas 26'!P288/$N$1</f>
        <v>2</v>
      </c>
      <c r="L285" s="129">
        <f>'[2]Base Inversionistas 26'!Q288/$N$1</f>
        <v>0</v>
      </c>
    </row>
    <row r="286" spans="1:12">
      <c r="A286" s="16" t="s">
        <v>604</v>
      </c>
      <c r="B286" s="16">
        <v>10667593528</v>
      </c>
      <c r="C286" s="16"/>
      <c r="D286" s="12" t="s">
        <v>257</v>
      </c>
      <c r="E286" s="129">
        <f>'[2]Base Inversionistas 26'!J289/$N$1</f>
        <v>1</v>
      </c>
      <c r="F286" s="129">
        <f>'[2]Base Inversionistas 26'!K289/$N$1</f>
        <v>1</v>
      </c>
      <c r="G286" s="129">
        <f>'[2]Base Inversionistas 26'!L289/$N$1</f>
        <v>0</v>
      </c>
      <c r="H286" s="129">
        <f>'[2]Base Inversionistas 26'!M289/$N$1</f>
        <v>0</v>
      </c>
      <c r="I286" s="129">
        <f>'[2]Base Inversionistas 26'!N289/$N$1</f>
        <v>0</v>
      </c>
      <c r="J286" s="129">
        <f>'[2]Base Inversionistas 26'!O289/$N$1</f>
        <v>0</v>
      </c>
      <c r="K286" s="129">
        <f>'[2]Base Inversionistas 26'!P289/$N$1</f>
        <v>0</v>
      </c>
      <c r="L286" s="129">
        <f>'[2]Base Inversionistas 26'!Q289/$N$1</f>
        <v>0</v>
      </c>
    </row>
    <row r="287" spans="1:12">
      <c r="A287" s="16" t="s">
        <v>605</v>
      </c>
      <c r="B287" s="16">
        <v>71630690</v>
      </c>
      <c r="C287" s="16">
        <v>3012567771</v>
      </c>
      <c r="D287" s="12" t="s">
        <v>559</v>
      </c>
      <c r="E287" s="129">
        <f>'[2]Base Inversionistas 26'!J290/$N$1</f>
        <v>0.5</v>
      </c>
      <c r="F287" s="129">
        <f>'[2]Base Inversionistas 26'!K290/$N$1</f>
        <v>0</v>
      </c>
      <c r="G287" s="129">
        <f>'[2]Base Inversionistas 26'!L290/$N$1</f>
        <v>0</v>
      </c>
      <c r="H287" s="129">
        <f>'[2]Base Inversionistas 26'!M290/$N$1</f>
        <v>0</v>
      </c>
      <c r="I287" s="129">
        <f>'[2]Base Inversionistas 26'!N290/$N$1</f>
        <v>0.5</v>
      </c>
      <c r="J287" s="129">
        <f>'[2]Base Inversionistas 26'!O290/$N$1</f>
        <v>0.5</v>
      </c>
      <c r="K287" s="129">
        <f>'[2]Base Inversionistas 26'!P290/$N$1</f>
        <v>0</v>
      </c>
      <c r="L287" s="129">
        <f>'[2]Base Inversionistas 26'!Q290/$N$1</f>
        <v>0</v>
      </c>
    </row>
    <row r="288" spans="1:12">
      <c r="A288" s="16" t="s">
        <v>606</v>
      </c>
      <c r="B288" s="16"/>
      <c r="C288" s="16" t="s">
        <v>607</v>
      </c>
      <c r="D288" s="12" t="s">
        <v>646</v>
      </c>
      <c r="E288" s="129">
        <f>'[2]Base Inversionistas 26'!J291/$N$1</f>
        <v>1</v>
      </c>
      <c r="F288" s="129">
        <f>'[2]Base Inversionistas 26'!K291/$N$1</f>
        <v>1</v>
      </c>
      <c r="G288" s="129">
        <f>'[2]Base Inversionistas 26'!L291/$N$1</f>
        <v>1</v>
      </c>
      <c r="H288" s="129">
        <f>'[2]Base Inversionistas 26'!M291/$N$1</f>
        <v>1</v>
      </c>
      <c r="I288" s="129">
        <f>'[2]Base Inversionistas 26'!N291/$N$1</f>
        <v>0</v>
      </c>
      <c r="J288" s="129">
        <f>'[2]Base Inversionistas 26'!O291/$N$1</f>
        <v>1</v>
      </c>
      <c r="K288" s="129">
        <f>'[2]Base Inversionistas 26'!P291/$N$1</f>
        <v>1</v>
      </c>
      <c r="L288" s="129">
        <f>'[2]Base Inversionistas 26'!Q291/$N$1</f>
        <v>0</v>
      </c>
    </row>
    <row r="289" spans="1:12">
      <c r="A289" s="16" t="s">
        <v>609</v>
      </c>
      <c r="B289" s="16"/>
      <c r="C289" s="16" t="s">
        <v>610</v>
      </c>
      <c r="D289" s="12" t="s">
        <v>646</v>
      </c>
      <c r="E289" s="129">
        <f>'[2]Base Inversionistas 26'!J292/$N$1</f>
        <v>1</v>
      </c>
      <c r="F289" s="129">
        <f>'[2]Base Inversionistas 26'!K292/$N$1</f>
        <v>1</v>
      </c>
      <c r="G289" s="129">
        <f>'[2]Base Inversionistas 26'!L292/$N$1</f>
        <v>1</v>
      </c>
      <c r="H289" s="129">
        <f>'[2]Base Inversionistas 26'!M292/$N$1</f>
        <v>1</v>
      </c>
      <c r="I289" s="129">
        <f>'[2]Base Inversionistas 26'!N292/$N$1</f>
        <v>0</v>
      </c>
      <c r="J289" s="129">
        <f>'[2]Base Inversionistas 26'!O292/$N$1</f>
        <v>1</v>
      </c>
      <c r="K289" s="129">
        <f>'[2]Base Inversionistas 26'!P292/$N$1</f>
        <v>1</v>
      </c>
      <c r="L289" s="129">
        <f>'[2]Base Inversionistas 26'!Q292/$N$1</f>
        <v>0</v>
      </c>
    </row>
    <row r="290" spans="1:12">
      <c r="A290" s="16" t="s">
        <v>611</v>
      </c>
      <c r="B290" s="16">
        <v>1090381261</v>
      </c>
      <c r="C290" s="16"/>
      <c r="D290" s="12" t="s">
        <v>346</v>
      </c>
      <c r="E290" s="129">
        <f>'[2]Base Inversionistas 26'!J293/$N$1</f>
        <v>1</v>
      </c>
      <c r="F290" s="129">
        <f>'[2]Base Inversionistas 26'!K293/$N$1</f>
        <v>1</v>
      </c>
      <c r="G290" s="129">
        <f>'[2]Base Inversionistas 26'!L293/$N$1</f>
        <v>0</v>
      </c>
      <c r="H290" s="129">
        <f>'[2]Base Inversionistas 26'!M293/$N$1</f>
        <v>0</v>
      </c>
      <c r="I290" s="129">
        <f>'[2]Base Inversionistas 26'!N293/$N$1</f>
        <v>0</v>
      </c>
      <c r="J290" s="129">
        <f>'[2]Base Inversionistas 26'!O293/$N$1</f>
        <v>0</v>
      </c>
      <c r="K290" s="129">
        <f>'[2]Base Inversionistas 26'!P293/$N$1</f>
        <v>0</v>
      </c>
      <c r="L290" s="129">
        <f>'[2]Base Inversionistas 26'!Q293/$N$1</f>
        <v>0</v>
      </c>
    </row>
    <row r="291" spans="1:12">
      <c r="A291" s="16" t="s">
        <v>710</v>
      </c>
      <c r="B291" s="16"/>
      <c r="C291" s="16"/>
      <c r="D291" s="12" t="s">
        <v>612</v>
      </c>
      <c r="E291" s="129">
        <f>'[2]Base Inversionistas 26'!J294/$N$1</f>
        <v>28.125</v>
      </c>
      <c r="F291" s="129">
        <f>'[2]Base Inversionistas 26'!K294/$N$1</f>
        <v>0</v>
      </c>
      <c r="G291" s="129">
        <f>'[2]Base Inversionistas 26'!L294/$N$1</f>
        <v>27</v>
      </c>
      <c r="H291" s="129">
        <f>'[2]Base Inversionistas 26'!M294/$N$1</f>
        <v>0</v>
      </c>
      <c r="I291" s="129">
        <f>'[2]Base Inversionistas 26'!N294/$N$1</f>
        <v>0</v>
      </c>
      <c r="J291" s="129">
        <f>'[2]Base Inversionistas 26'!O294/$N$1</f>
        <v>0</v>
      </c>
      <c r="K291" s="129">
        <f>'[2]Base Inversionistas 26'!P294/$N$1</f>
        <v>0</v>
      </c>
      <c r="L291" s="129">
        <f>'[2]Base Inversionistas 26'!Q294/$N$1</f>
        <v>0</v>
      </c>
    </row>
    <row r="292" spans="1:12">
      <c r="A292" s="16" t="s">
        <v>613</v>
      </c>
      <c r="B292" s="16">
        <v>26331372</v>
      </c>
      <c r="C292" s="16">
        <v>3216248917</v>
      </c>
      <c r="D292" s="12" t="s">
        <v>614</v>
      </c>
      <c r="E292" s="129">
        <f>'[2]Base Inversionistas 26'!J295/$N$1</f>
        <v>1</v>
      </c>
      <c r="F292" s="129">
        <f>'[2]Base Inversionistas 26'!K295/$N$1</f>
        <v>0</v>
      </c>
      <c r="G292" s="129">
        <f>'[2]Base Inversionistas 26'!L295/$N$1</f>
        <v>0</v>
      </c>
      <c r="H292" s="129">
        <f>'[2]Base Inversionistas 26'!M295/$N$1</f>
        <v>0</v>
      </c>
      <c r="I292" s="129">
        <f>'[2]Base Inversionistas 26'!N295/$N$1</f>
        <v>0</v>
      </c>
      <c r="J292" s="129">
        <f>'[2]Base Inversionistas 26'!O295/$N$1</f>
        <v>0</v>
      </c>
      <c r="K292" s="129">
        <f>'[2]Base Inversionistas 26'!P295/$N$1</f>
        <v>0</v>
      </c>
      <c r="L292" s="129">
        <f>'[2]Base Inversionistas 26'!Q295/$N$1</f>
        <v>0</v>
      </c>
    </row>
    <row r="293" spans="1:12">
      <c r="A293" s="16" t="s">
        <v>615</v>
      </c>
      <c r="B293" s="16">
        <v>50995836</v>
      </c>
      <c r="C293" s="16">
        <v>3106115579</v>
      </c>
      <c r="D293" s="12" t="s">
        <v>614</v>
      </c>
      <c r="E293" s="129">
        <f>'[2]Base Inversionistas 26'!J296/$N$1</f>
        <v>1</v>
      </c>
      <c r="F293" s="129">
        <f>'[2]Base Inversionistas 26'!K296/$N$1</f>
        <v>0</v>
      </c>
      <c r="G293" s="129">
        <f>'[2]Base Inversionistas 26'!L296/$N$1</f>
        <v>0</v>
      </c>
      <c r="H293" s="129">
        <f>'[2]Base Inversionistas 26'!M296/$N$1</f>
        <v>0</v>
      </c>
      <c r="I293" s="129">
        <f>'[2]Base Inversionistas 26'!N296/$N$1</f>
        <v>0</v>
      </c>
      <c r="J293" s="129">
        <f>'[2]Base Inversionistas 26'!O296/$N$1</f>
        <v>0</v>
      </c>
      <c r="K293" s="129">
        <f>'[2]Base Inversionistas 26'!P296/$N$1</f>
        <v>0</v>
      </c>
      <c r="L293" s="129">
        <f>'[2]Base Inversionistas 26'!Q296/$N$1</f>
        <v>0</v>
      </c>
    </row>
    <row r="294" spans="1:12">
      <c r="A294" s="16" t="s">
        <v>744</v>
      </c>
      <c r="B294" s="16"/>
      <c r="C294" s="16"/>
      <c r="D294" s="12" t="s">
        <v>257</v>
      </c>
      <c r="E294" s="129">
        <f>'[2]Base Inversionistas 26'!J297/$N$1</f>
        <v>12</v>
      </c>
      <c r="F294" s="129">
        <f>'[2]Base Inversionistas 26'!K297/$N$1</f>
        <v>0</v>
      </c>
      <c r="G294" s="129">
        <f>'[2]Base Inversionistas 26'!L297/$N$1</f>
        <v>0</v>
      </c>
      <c r="H294" s="129">
        <f>'[2]Base Inversionistas 26'!M297/$N$1</f>
        <v>0</v>
      </c>
      <c r="I294" s="129">
        <f>'[2]Base Inversionistas 26'!N297/$N$1</f>
        <v>0</v>
      </c>
      <c r="J294" s="129">
        <f>'[2]Base Inversionistas 26'!O297/$N$1</f>
        <v>0</v>
      </c>
      <c r="K294" s="129">
        <f>'[2]Base Inversionistas 26'!P297/$N$1</f>
        <v>12</v>
      </c>
      <c r="L294" s="129">
        <f>'[2]Base Inversionistas 26'!Q297/$N$1</f>
        <v>0</v>
      </c>
    </row>
    <row r="295" spans="1:12">
      <c r="A295" s="16" t="s">
        <v>616</v>
      </c>
      <c r="B295" s="16"/>
      <c r="C295" s="16"/>
      <c r="D295" s="12" t="s">
        <v>533</v>
      </c>
      <c r="E295" s="129">
        <f>'[2]Base Inversionistas 26'!J298/$N$1</f>
        <v>1.25</v>
      </c>
      <c r="F295" s="129">
        <f>'[2]Base Inversionistas 26'!K298/$N$1</f>
        <v>0</v>
      </c>
      <c r="G295" s="129">
        <f>'[2]Base Inversionistas 26'!L298/$N$1</f>
        <v>1</v>
      </c>
      <c r="H295" s="129">
        <f>'[2]Base Inversionistas 26'!M298/$N$1</f>
        <v>1</v>
      </c>
      <c r="I295" s="129">
        <f>'[2]Base Inversionistas 26'!N298/$N$1</f>
        <v>0</v>
      </c>
      <c r="J295" s="129">
        <f>'[2]Base Inversionistas 26'!O298/$N$1</f>
        <v>0</v>
      </c>
      <c r="K295" s="129">
        <f>'[2]Base Inversionistas 26'!P298/$N$1</f>
        <v>2</v>
      </c>
      <c r="L295" s="129">
        <f>'[2]Base Inversionistas 26'!Q298/$N$1</f>
        <v>1.875</v>
      </c>
    </row>
    <row r="296" spans="1:12">
      <c r="A296" s="16" t="s">
        <v>617</v>
      </c>
      <c r="B296" s="16"/>
      <c r="C296" s="16"/>
      <c r="D296" s="12" t="s">
        <v>257</v>
      </c>
      <c r="E296" s="129">
        <f>'[2]Base Inversionistas 26'!J299/$N$1</f>
        <v>1</v>
      </c>
      <c r="F296" s="129">
        <f>'[2]Base Inversionistas 26'!K299/$N$1</f>
        <v>1</v>
      </c>
      <c r="G296" s="129">
        <f>'[2]Base Inversionistas 26'!L299/$N$1</f>
        <v>0</v>
      </c>
      <c r="H296" s="129">
        <f>'[2]Base Inversionistas 26'!M299/$N$1</f>
        <v>1</v>
      </c>
      <c r="I296" s="129">
        <f>'[2]Base Inversionistas 26'!N299/$N$1</f>
        <v>0</v>
      </c>
      <c r="J296" s="129">
        <f>'[2]Base Inversionistas 26'!O299/$N$1</f>
        <v>2</v>
      </c>
      <c r="K296" s="129">
        <f>'[2]Base Inversionistas 26'!P299/$N$1</f>
        <v>0</v>
      </c>
      <c r="L296" s="129">
        <f>'[2]Base Inversionistas 26'!Q299/$N$1</f>
        <v>2</v>
      </c>
    </row>
    <row r="297" spans="1:12">
      <c r="A297" s="16" t="s">
        <v>258</v>
      </c>
      <c r="B297" s="16"/>
      <c r="C297" s="16"/>
      <c r="D297" s="12" t="s">
        <v>628</v>
      </c>
      <c r="E297" s="129">
        <f>'[2]Base Inversionistas 26'!J300/$N$1</f>
        <v>3</v>
      </c>
      <c r="F297" s="129">
        <f>'[2]Base Inversionistas 26'!K300/$N$1</f>
        <v>0</v>
      </c>
      <c r="G297" s="129">
        <f>'[2]Base Inversionistas 26'!L300/$N$1</f>
        <v>4</v>
      </c>
      <c r="H297" s="129">
        <f>'[2]Base Inversionistas 26'!M300/$N$1</f>
        <v>0</v>
      </c>
      <c r="I297" s="129">
        <f>'[2]Base Inversionistas 26'!N300/$N$1</f>
        <v>0</v>
      </c>
      <c r="J297" s="129">
        <f>'[2]Base Inversionistas 26'!O300/$N$1</f>
        <v>0</v>
      </c>
      <c r="K297" s="129">
        <f>'[2]Base Inversionistas 26'!P300/$N$1</f>
        <v>0</v>
      </c>
      <c r="L297" s="129">
        <f>'[2]Base Inversionistas 26'!Q300/$N$1</f>
        <v>0</v>
      </c>
    </row>
    <row r="298" spans="1:12">
      <c r="A298" s="16" t="s">
        <v>629</v>
      </c>
      <c r="B298" s="16">
        <v>32555373</v>
      </c>
      <c r="C298" s="16"/>
      <c r="D298" s="12" t="s">
        <v>351</v>
      </c>
      <c r="E298" s="129">
        <f>'[2]Base Inversionistas 26'!J301/$N$1</f>
        <v>0.05</v>
      </c>
      <c r="F298" s="129">
        <f>'[2]Base Inversionistas 26'!K301/$N$1</f>
        <v>0</v>
      </c>
      <c r="G298" s="129">
        <f>'[2]Base Inversionistas 26'!L301/$N$1</f>
        <v>6.25E-2</v>
      </c>
      <c r="H298" s="129">
        <f>'[2]Base Inversionistas 26'!M301/$N$1</f>
        <v>0</v>
      </c>
      <c r="I298" s="129">
        <f>'[2]Base Inversionistas 26'!N301/$N$1</f>
        <v>6.25E-2</v>
      </c>
      <c r="J298" s="129">
        <f>'[2]Base Inversionistas 26'!O301/$N$1</f>
        <v>0.125</v>
      </c>
      <c r="K298" s="129">
        <f>'[2]Base Inversionistas 26'!P301/$N$1</f>
        <v>0</v>
      </c>
      <c r="L298" s="129">
        <f>'[2]Base Inversionistas 26'!Q301/$N$1</f>
        <v>7.4999999999999997E-2</v>
      </c>
    </row>
    <row r="299" spans="1:12">
      <c r="A299" s="16" t="s">
        <v>630</v>
      </c>
      <c r="B299" s="16">
        <v>1143849172</v>
      </c>
      <c r="C299" s="16">
        <v>3182304776</v>
      </c>
      <c r="D299" s="12" t="s">
        <v>358</v>
      </c>
      <c r="E299" s="129">
        <f>'[2]Base Inversionistas 26'!J302/$N$1</f>
        <v>1</v>
      </c>
      <c r="F299" s="129">
        <f>'[2]Base Inversionistas 26'!K302/$N$1</f>
        <v>1</v>
      </c>
      <c r="G299" s="129">
        <f>'[2]Base Inversionistas 26'!L302/$N$1</f>
        <v>1</v>
      </c>
      <c r="H299" s="129">
        <f>'[2]Base Inversionistas 26'!M302/$N$1</f>
        <v>0</v>
      </c>
      <c r="I299" s="129">
        <f>'[2]Base Inversionistas 26'!N302/$N$1</f>
        <v>0</v>
      </c>
      <c r="J299" s="129">
        <f>'[2]Base Inversionistas 26'!O302/$N$1</f>
        <v>0</v>
      </c>
      <c r="K299" s="129">
        <f>'[2]Base Inversionistas 26'!P302/$N$1</f>
        <v>0</v>
      </c>
      <c r="L299" s="129">
        <f>'[2]Base Inversionistas 26'!Q302/$N$1</f>
        <v>0</v>
      </c>
    </row>
    <row r="300" spans="1:12">
      <c r="A300" s="16" t="s">
        <v>631</v>
      </c>
      <c r="B300" s="16">
        <v>1003932454</v>
      </c>
      <c r="C300" s="16">
        <v>3146181227</v>
      </c>
      <c r="D300" s="12" t="s">
        <v>257</v>
      </c>
      <c r="E300" s="129">
        <f>'[2]Base Inversionistas 26'!J303/$N$1</f>
        <v>1</v>
      </c>
      <c r="F300" s="129">
        <f>'[2]Base Inversionistas 26'!K303/$N$1</f>
        <v>0</v>
      </c>
      <c r="G300" s="129">
        <f>'[2]Base Inversionistas 26'!L303/$N$1</f>
        <v>0</v>
      </c>
      <c r="H300" s="129">
        <f>'[2]Base Inversionistas 26'!M303/$N$1</f>
        <v>0</v>
      </c>
      <c r="I300" s="129">
        <f>'[2]Base Inversionistas 26'!N303/$N$1</f>
        <v>0</v>
      </c>
      <c r="J300" s="129">
        <f>'[2]Base Inversionistas 26'!O303/$N$1</f>
        <v>0</v>
      </c>
      <c r="K300" s="129">
        <f>'[2]Base Inversionistas 26'!P303/$N$1</f>
        <v>0</v>
      </c>
      <c r="L300" s="129">
        <f>'[2]Base Inversionistas 26'!Q303/$N$1</f>
        <v>0</v>
      </c>
    </row>
    <row r="301" spans="1:12">
      <c r="A301" s="16" t="s">
        <v>638</v>
      </c>
      <c r="B301" s="16">
        <v>1006365217</v>
      </c>
      <c r="C301" s="16"/>
      <c r="D301" s="12" t="s">
        <v>547</v>
      </c>
      <c r="E301" s="129">
        <f>'[2]Base Inversionistas 26'!J304/$N$1</f>
        <v>0</v>
      </c>
      <c r="F301" s="129">
        <f>'[2]Base Inversionistas 26'!K304/$N$1</f>
        <v>1</v>
      </c>
      <c r="G301" s="129">
        <f>'[2]Base Inversionistas 26'!L304/$N$1</f>
        <v>0</v>
      </c>
      <c r="H301" s="129">
        <f>'[2]Base Inversionistas 26'!M304/$N$1</f>
        <v>0</v>
      </c>
      <c r="I301" s="129">
        <f>'[2]Base Inversionistas 26'!N304/$N$1</f>
        <v>0</v>
      </c>
      <c r="J301" s="129">
        <f>'[2]Base Inversionistas 26'!O304/$N$1</f>
        <v>0</v>
      </c>
      <c r="K301" s="129">
        <f>'[2]Base Inversionistas 26'!P304/$N$1</f>
        <v>0</v>
      </c>
      <c r="L301" s="129">
        <f>'[2]Base Inversionistas 26'!Q304/$N$1</f>
        <v>0</v>
      </c>
    </row>
    <row r="302" spans="1:12">
      <c r="A302" s="16" t="s">
        <v>639</v>
      </c>
      <c r="B302" s="16">
        <v>1017157887</v>
      </c>
      <c r="C302" s="16">
        <v>3205977157</v>
      </c>
      <c r="D302" s="12" t="s">
        <v>230</v>
      </c>
      <c r="E302" s="129">
        <f>'[2]Base Inversionistas 26'!J305/$N$1</f>
        <v>0</v>
      </c>
      <c r="F302" s="129">
        <f>'[2]Base Inversionistas 26'!K305/$N$1</f>
        <v>1</v>
      </c>
      <c r="G302" s="129">
        <f>'[2]Base Inversionistas 26'!L305/$N$1</f>
        <v>1</v>
      </c>
      <c r="H302" s="129">
        <f>'[2]Base Inversionistas 26'!M305/$N$1</f>
        <v>0</v>
      </c>
      <c r="I302" s="129">
        <f>'[2]Base Inversionistas 26'!N305/$N$1</f>
        <v>0</v>
      </c>
      <c r="J302" s="129">
        <f>'[2]Base Inversionistas 26'!O305/$N$1</f>
        <v>1</v>
      </c>
      <c r="K302" s="129">
        <f>'[2]Base Inversionistas 26'!P305/$N$1</f>
        <v>0</v>
      </c>
      <c r="L302" s="129">
        <f>'[2]Base Inversionistas 26'!Q305/$N$1</f>
        <v>3</v>
      </c>
    </row>
    <row r="303" spans="1:12">
      <c r="A303" s="16" t="s">
        <v>640</v>
      </c>
      <c r="B303" s="16">
        <v>43679785</v>
      </c>
      <c r="C303" s="16">
        <v>3146218974</v>
      </c>
      <c r="D303" s="12" t="s">
        <v>253</v>
      </c>
      <c r="E303" s="129">
        <f>'[2]Base Inversionistas 26'!J306/$N$1</f>
        <v>0</v>
      </c>
      <c r="F303" s="129">
        <f>'[2]Base Inversionistas 26'!K306/$N$1</f>
        <v>2</v>
      </c>
      <c r="G303" s="129">
        <f>'[2]Base Inversionistas 26'!L306/$N$1</f>
        <v>1</v>
      </c>
      <c r="H303" s="129">
        <f>'[2]Base Inversionistas 26'!M306/$N$1</f>
        <v>0</v>
      </c>
      <c r="I303" s="129">
        <f>'[2]Base Inversionistas 26'!N306/$N$1</f>
        <v>1</v>
      </c>
      <c r="J303" s="129">
        <f>'[2]Base Inversionistas 26'!O306/$N$1</f>
        <v>1</v>
      </c>
      <c r="K303" s="129">
        <f>'[2]Base Inversionistas 26'!P306/$N$1</f>
        <v>1</v>
      </c>
      <c r="L303" s="129">
        <f>'[2]Base Inversionistas 26'!Q306/$N$1</f>
        <v>0.5</v>
      </c>
    </row>
    <row r="304" spans="1:12">
      <c r="A304" s="16" t="s">
        <v>641</v>
      </c>
      <c r="B304" s="16">
        <v>11811323</v>
      </c>
      <c r="C304" s="16">
        <v>3202786408</v>
      </c>
      <c r="D304" s="12" t="s">
        <v>642</v>
      </c>
      <c r="E304" s="129">
        <f>'[2]Base Inversionistas 26'!J307/$N$1</f>
        <v>0</v>
      </c>
      <c r="F304" s="129">
        <f>'[2]Base Inversionistas 26'!K307/$N$1</f>
        <v>0.5</v>
      </c>
      <c r="G304" s="129">
        <f>'[2]Base Inversionistas 26'!L307/$N$1</f>
        <v>0.5</v>
      </c>
      <c r="H304" s="129">
        <f>'[2]Base Inversionistas 26'!M307/$N$1</f>
        <v>1</v>
      </c>
      <c r="I304" s="129">
        <f>'[2]Base Inversionistas 26'!N307/$N$1</f>
        <v>1</v>
      </c>
      <c r="J304" s="129">
        <f>'[2]Base Inversionistas 26'!O307/$N$1</f>
        <v>0</v>
      </c>
      <c r="K304" s="129">
        <f>'[2]Base Inversionistas 26'!P307/$N$1</f>
        <v>1</v>
      </c>
      <c r="L304" s="129">
        <f>'[2]Base Inversionistas 26'!Q307/$N$1</f>
        <v>0</v>
      </c>
    </row>
    <row r="305" spans="1:12">
      <c r="A305" s="16" t="s">
        <v>643</v>
      </c>
      <c r="B305" s="16"/>
      <c r="C305" s="16"/>
      <c r="D305" s="12" t="s">
        <v>441</v>
      </c>
      <c r="E305" s="129">
        <f>'[2]Base Inversionistas 26'!J308/$N$1</f>
        <v>0</v>
      </c>
      <c r="F305" s="129">
        <f>'[2]Base Inversionistas 26'!K308/$N$1</f>
        <v>2.0125000000000002</v>
      </c>
      <c r="G305" s="129">
        <f>'[2]Base Inversionistas 26'!L308/$N$1</f>
        <v>1.65</v>
      </c>
      <c r="H305" s="129">
        <f>'[2]Base Inversionistas 26'!M308/$N$1</f>
        <v>2.0499999999999998</v>
      </c>
      <c r="I305" s="129">
        <f>'[2]Base Inversionistas 26'!N308/$N$1</f>
        <v>1.6</v>
      </c>
      <c r="J305" s="129">
        <f>'[2]Base Inversionistas 26'!O308/$N$1</f>
        <v>1.9875</v>
      </c>
      <c r="K305" s="129">
        <f>'[2]Base Inversionistas 26'!P308/$N$1</f>
        <v>2.8</v>
      </c>
      <c r="L305" s="129">
        <f>'[2]Base Inversionistas 26'!Q308/$N$1</f>
        <v>2.125</v>
      </c>
    </row>
    <row r="306" spans="1:12">
      <c r="A306" s="16" t="s">
        <v>644</v>
      </c>
      <c r="B306" s="16"/>
      <c r="C306" s="16" t="s">
        <v>645</v>
      </c>
      <c r="D306" s="12" t="s">
        <v>646</v>
      </c>
      <c r="E306" s="129">
        <f>'[2]Base Inversionistas 26'!J309/$N$1</f>
        <v>0</v>
      </c>
      <c r="F306" s="129">
        <f>'[2]Base Inversionistas 26'!K309/$N$1</f>
        <v>1</v>
      </c>
      <c r="G306" s="129">
        <f>'[2]Base Inversionistas 26'!L309/$N$1</f>
        <v>1</v>
      </c>
      <c r="H306" s="129">
        <f>'[2]Base Inversionistas 26'!M309/$N$1</f>
        <v>1</v>
      </c>
      <c r="I306" s="129">
        <f>'[2]Base Inversionistas 26'!N309/$N$1</f>
        <v>0</v>
      </c>
      <c r="J306" s="129">
        <f>'[2]Base Inversionistas 26'!O309/$N$1</f>
        <v>1</v>
      </c>
      <c r="K306" s="129">
        <f>'[2]Base Inversionistas 26'!P309/$N$1</f>
        <v>1</v>
      </c>
      <c r="L306" s="129">
        <f>'[2]Base Inversionistas 26'!Q309/$N$1</f>
        <v>0</v>
      </c>
    </row>
    <row r="307" spans="1:12">
      <c r="A307" s="16" t="s">
        <v>647</v>
      </c>
      <c r="B307" s="16"/>
      <c r="C307" s="16" t="s">
        <v>648</v>
      </c>
      <c r="D307" s="12" t="s">
        <v>646</v>
      </c>
      <c r="E307" s="129">
        <f>'[2]Base Inversionistas 26'!J310/$N$1</f>
        <v>0</v>
      </c>
      <c r="F307" s="129">
        <f>'[2]Base Inversionistas 26'!K310/$N$1</f>
        <v>1</v>
      </c>
      <c r="G307" s="129">
        <f>'[2]Base Inversionistas 26'!L310/$N$1</f>
        <v>1</v>
      </c>
      <c r="H307" s="129">
        <f>'[2]Base Inversionistas 26'!M310/$N$1</f>
        <v>1</v>
      </c>
      <c r="I307" s="129">
        <f>'[2]Base Inversionistas 26'!N310/$N$1</f>
        <v>0</v>
      </c>
      <c r="J307" s="129">
        <f>'[2]Base Inversionistas 26'!O310/$N$1</f>
        <v>1</v>
      </c>
      <c r="K307" s="129">
        <f>'[2]Base Inversionistas 26'!P310/$N$1</f>
        <v>1</v>
      </c>
      <c r="L307" s="129">
        <f>'[2]Base Inversionistas 26'!Q310/$N$1</f>
        <v>0</v>
      </c>
    </row>
    <row r="308" spans="1:12">
      <c r="A308" s="16" t="s">
        <v>649</v>
      </c>
      <c r="B308" s="16"/>
      <c r="C308" s="16"/>
      <c r="D308" s="12" t="s">
        <v>348</v>
      </c>
      <c r="E308" s="129">
        <f>'[2]Base Inversionistas 26'!J311/$N$1</f>
        <v>0</v>
      </c>
      <c r="F308" s="129">
        <f>'[2]Base Inversionistas 26'!K311/$N$1</f>
        <v>0.25</v>
      </c>
      <c r="G308" s="129">
        <f>'[2]Base Inversionistas 26'!L311/$N$1</f>
        <v>0</v>
      </c>
      <c r="H308" s="129">
        <f>'[2]Base Inversionistas 26'!M311/$N$1</f>
        <v>0</v>
      </c>
      <c r="I308" s="129">
        <f>'[2]Base Inversionistas 26'!N311/$N$1</f>
        <v>0</v>
      </c>
      <c r="J308" s="129">
        <f>'[2]Base Inversionistas 26'!O311/$N$1</f>
        <v>0</v>
      </c>
      <c r="K308" s="129">
        <f>'[2]Base Inversionistas 26'!P311/$N$1</f>
        <v>0</v>
      </c>
      <c r="L308" s="129">
        <f>'[2]Base Inversionistas 26'!Q311/$N$1</f>
        <v>0</v>
      </c>
    </row>
    <row r="309" spans="1:12">
      <c r="A309" s="16" t="s">
        <v>650</v>
      </c>
      <c r="B309" s="16"/>
      <c r="C309" s="16"/>
      <c r="D309" s="12" t="s">
        <v>257</v>
      </c>
      <c r="E309" s="129">
        <f>'[2]Base Inversionistas 26'!J312/$N$1</f>
        <v>0</v>
      </c>
      <c r="F309" s="129">
        <f>'[2]Base Inversionistas 26'!K312/$N$1</f>
        <v>12</v>
      </c>
      <c r="G309" s="129">
        <f>'[2]Base Inversionistas 26'!L312/$N$1</f>
        <v>0</v>
      </c>
      <c r="H309" s="129">
        <f>'[2]Base Inversionistas 26'!M312/$N$1</f>
        <v>0</v>
      </c>
      <c r="I309" s="129">
        <f>'[2]Base Inversionistas 26'!N312/$N$1</f>
        <v>0</v>
      </c>
      <c r="J309" s="129">
        <f>'[2]Base Inversionistas 26'!O312/$N$1</f>
        <v>0</v>
      </c>
      <c r="K309" s="129">
        <f>'[2]Base Inversionistas 26'!P312/$N$1</f>
        <v>12</v>
      </c>
      <c r="L309" s="129">
        <f>'[2]Base Inversionistas 26'!Q312/$N$1</f>
        <v>0</v>
      </c>
    </row>
    <row r="310" spans="1:12">
      <c r="A310" s="16" t="s">
        <v>651</v>
      </c>
      <c r="B310" s="16"/>
      <c r="C310" s="16"/>
      <c r="D310" s="12" t="s">
        <v>346</v>
      </c>
      <c r="E310" s="129">
        <f>'[2]Base Inversionistas 26'!J313/$N$1</f>
        <v>0</v>
      </c>
      <c r="F310" s="129">
        <f>'[2]Base Inversionistas 26'!K313/$N$1</f>
        <v>1</v>
      </c>
      <c r="G310" s="129">
        <f>'[2]Base Inversionistas 26'!L313/$N$1</f>
        <v>0</v>
      </c>
      <c r="H310" s="129">
        <f>'[2]Base Inversionistas 26'!M313/$N$1</f>
        <v>1</v>
      </c>
      <c r="I310" s="129">
        <f>'[2]Base Inversionistas 26'!N313/$N$1</f>
        <v>0</v>
      </c>
      <c r="J310" s="129">
        <f>'[2]Base Inversionistas 26'!O313/$N$1</f>
        <v>1</v>
      </c>
      <c r="K310" s="129">
        <f>'[2]Base Inversionistas 26'!P313/$N$1</f>
        <v>2</v>
      </c>
      <c r="L310" s="129">
        <f>'[2]Base Inversionistas 26'!Q313/$N$1</f>
        <v>0</v>
      </c>
    </row>
    <row r="311" spans="1:12">
      <c r="A311" s="16" t="s">
        <v>652</v>
      </c>
      <c r="B311" s="16"/>
      <c r="C311" s="16"/>
      <c r="D311" s="12" t="s">
        <v>239</v>
      </c>
      <c r="E311" s="129">
        <f>'[2]Base Inversionistas 26'!J314/$N$1</f>
        <v>0</v>
      </c>
      <c r="F311" s="129">
        <f>'[2]Base Inversionistas 26'!K314/$N$1</f>
        <v>1</v>
      </c>
      <c r="G311" s="129">
        <f>'[2]Base Inversionistas 26'!L314/$N$1</f>
        <v>0</v>
      </c>
      <c r="H311" s="129">
        <f>'[2]Base Inversionistas 26'!M314/$N$1</f>
        <v>0</v>
      </c>
      <c r="I311" s="129">
        <f>'[2]Base Inversionistas 26'!N314/$N$1</f>
        <v>0</v>
      </c>
      <c r="J311" s="129">
        <f>'[2]Base Inversionistas 26'!O314/$N$1</f>
        <v>0</v>
      </c>
      <c r="K311" s="129">
        <f>'[2]Base Inversionistas 26'!P314/$N$1</f>
        <v>0</v>
      </c>
      <c r="L311" s="129">
        <f>'[2]Base Inversionistas 26'!Q314/$N$1</f>
        <v>0</v>
      </c>
    </row>
    <row r="312" spans="1:12">
      <c r="A312" s="16" t="s">
        <v>653</v>
      </c>
      <c r="B312" s="16">
        <v>1092730946</v>
      </c>
      <c r="C312" s="16">
        <v>3112956743</v>
      </c>
      <c r="D312" s="12" t="s">
        <v>344</v>
      </c>
      <c r="E312" s="129">
        <f>'[2]Base Inversionistas 26'!J315/$N$1</f>
        <v>0</v>
      </c>
      <c r="F312" s="129">
        <f>'[2]Base Inversionistas 26'!K315/$N$1</f>
        <v>1</v>
      </c>
      <c r="G312" s="129">
        <f>'[2]Base Inversionistas 26'!L315/$N$1</f>
        <v>0</v>
      </c>
      <c r="H312" s="129">
        <f>'[2]Base Inversionistas 26'!M315/$N$1</f>
        <v>0</v>
      </c>
      <c r="I312" s="129">
        <f>'[2]Base Inversionistas 26'!N315/$N$1</f>
        <v>0</v>
      </c>
      <c r="J312" s="129">
        <f>'[2]Base Inversionistas 26'!O315/$N$1</f>
        <v>0</v>
      </c>
      <c r="K312" s="129">
        <f>'[2]Base Inversionistas 26'!P315/$N$1</f>
        <v>0</v>
      </c>
      <c r="L312" s="129">
        <f>'[2]Base Inversionistas 26'!Q315/$N$1</f>
        <v>1</v>
      </c>
    </row>
    <row r="313" spans="1:12">
      <c r="A313" s="16" t="s">
        <v>654</v>
      </c>
      <c r="B313" s="16"/>
      <c r="C313" s="16"/>
      <c r="D313" s="12" t="s">
        <v>253</v>
      </c>
      <c r="E313" s="129">
        <f>'[2]Base Inversionistas 26'!J316/$N$1</f>
        <v>0</v>
      </c>
      <c r="F313" s="129">
        <f>'[2]Base Inversionistas 26'!K316/$N$1</f>
        <v>0.25</v>
      </c>
      <c r="G313" s="129">
        <f>'[2]Base Inversionistas 26'!L316/$N$1</f>
        <v>0</v>
      </c>
      <c r="H313" s="129">
        <f>'[2]Base Inversionistas 26'!M316/$N$1</f>
        <v>0</v>
      </c>
      <c r="I313" s="129">
        <f>'[2]Base Inversionistas 26'!N316/$N$1</f>
        <v>0</v>
      </c>
      <c r="J313" s="129">
        <f>'[2]Base Inversionistas 26'!O316/$N$1</f>
        <v>0</v>
      </c>
      <c r="K313" s="129">
        <f>'[2]Base Inversionistas 26'!P316/$N$1</f>
        <v>0</v>
      </c>
      <c r="L313" s="129">
        <f>'[2]Base Inversionistas 26'!Q316/$N$1</f>
        <v>0</v>
      </c>
    </row>
    <row r="314" spans="1:12">
      <c r="A314" s="16" t="s">
        <v>655</v>
      </c>
      <c r="B314" s="16"/>
      <c r="C314" s="16"/>
      <c r="D314" s="12" t="s">
        <v>253</v>
      </c>
      <c r="E314" s="129">
        <f>'[2]Base Inversionistas 26'!J317/$N$1</f>
        <v>0</v>
      </c>
      <c r="F314" s="129">
        <f>'[2]Base Inversionistas 26'!K317/$N$1</f>
        <v>0.25</v>
      </c>
      <c r="G314" s="129">
        <f>'[2]Base Inversionistas 26'!L317/$N$1</f>
        <v>0</v>
      </c>
      <c r="H314" s="129">
        <f>'[2]Base Inversionistas 26'!M317/$N$1</f>
        <v>0</v>
      </c>
      <c r="I314" s="129">
        <f>'[2]Base Inversionistas 26'!N317/$N$1</f>
        <v>0</v>
      </c>
      <c r="J314" s="129">
        <f>'[2]Base Inversionistas 26'!O317/$N$1</f>
        <v>0</v>
      </c>
      <c r="K314" s="129">
        <f>'[2]Base Inversionistas 26'!P317/$N$1</f>
        <v>0</v>
      </c>
      <c r="L314" s="129">
        <f>'[2]Base Inversionistas 26'!Q317/$N$1</f>
        <v>0</v>
      </c>
    </row>
    <row r="315" spans="1:12">
      <c r="A315" s="16" t="s">
        <v>656</v>
      </c>
      <c r="B315" s="16"/>
      <c r="C315" s="16"/>
      <c r="D315" s="12" t="s">
        <v>253</v>
      </c>
      <c r="E315" s="129">
        <f>'[2]Base Inversionistas 26'!J318/$N$1</f>
        <v>0</v>
      </c>
      <c r="F315" s="129">
        <f>'[2]Base Inversionistas 26'!K318/$N$1</f>
        <v>0.25</v>
      </c>
      <c r="G315" s="129">
        <f>'[2]Base Inversionistas 26'!L318/$N$1</f>
        <v>0</v>
      </c>
      <c r="H315" s="129">
        <f>'[2]Base Inversionistas 26'!M318/$N$1</f>
        <v>0</v>
      </c>
      <c r="I315" s="129">
        <f>'[2]Base Inversionistas 26'!N318/$N$1</f>
        <v>0</v>
      </c>
      <c r="J315" s="129">
        <f>'[2]Base Inversionistas 26'!O318/$N$1</f>
        <v>0</v>
      </c>
      <c r="K315" s="129">
        <f>'[2]Base Inversionistas 26'!P318/$N$1</f>
        <v>0</v>
      </c>
      <c r="L315" s="129">
        <f>'[2]Base Inversionistas 26'!Q318/$N$1</f>
        <v>0</v>
      </c>
    </row>
    <row r="316" spans="1:12">
      <c r="A316" s="16" t="s">
        <v>657</v>
      </c>
      <c r="B316" s="16">
        <v>1036943880</v>
      </c>
      <c r="C316" s="16">
        <v>3218969540</v>
      </c>
      <c r="D316" s="12" t="s">
        <v>352</v>
      </c>
      <c r="E316" s="129">
        <f>'[2]Base Inversionistas 26'!J319/$N$1</f>
        <v>0</v>
      </c>
      <c r="F316" s="129">
        <f>'[2]Base Inversionistas 26'!K319/$N$1</f>
        <v>1</v>
      </c>
      <c r="G316" s="129">
        <f>'[2]Base Inversionistas 26'!L319/$N$1</f>
        <v>0</v>
      </c>
      <c r="H316" s="129">
        <f>'[2]Base Inversionistas 26'!M319/$N$1</f>
        <v>1</v>
      </c>
      <c r="I316" s="129">
        <f>'[2]Base Inversionistas 26'!N319/$N$1</f>
        <v>0</v>
      </c>
      <c r="J316" s="129">
        <f>'[2]Base Inversionistas 26'!O319/$N$1</f>
        <v>0</v>
      </c>
      <c r="K316" s="129">
        <f>'[2]Base Inversionistas 26'!P319/$N$1</f>
        <v>0</v>
      </c>
      <c r="L316" s="129">
        <f>'[2]Base Inversionistas 26'!Q319/$N$1</f>
        <v>0</v>
      </c>
    </row>
    <row r="317" spans="1:12">
      <c r="A317" s="16" t="s">
        <v>658</v>
      </c>
      <c r="B317" s="16"/>
      <c r="C317" s="16"/>
      <c r="D317" s="12" t="s">
        <v>345</v>
      </c>
      <c r="E317" s="129">
        <f>'[2]Base Inversionistas 26'!J320/$N$1</f>
        <v>0</v>
      </c>
      <c r="F317" s="129">
        <f>'[2]Base Inversionistas 26'!K320/$N$1</f>
        <v>2</v>
      </c>
      <c r="G317" s="129">
        <f>'[2]Base Inversionistas 26'!L320/$N$1</f>
        <v>2</v>
      </c>
      <c r="H317" s="129">
        <f>'[2]Base Inversionistas 26'!M320/$N$1</f>
        <v>0</v>
      </c>
      <c r="I317" s="129">
        <f>'[2]Base Inversionistas 26'!N320/$N$1</f>
        <v>0</v>
      </c>
      <c r="J317" s="129">
        <f>'[2]Base Inversionistas 26'!O320/$N$1</f>
        <v>0</v>
      </c>
      <c r="K317" s="129">
        <f>'[2]Base Inversionistas 26'!P320/$N$1</f>
        <v>0</v>
      </c>
      <c r="L317" s="129">
        <f>'[2]Base Inversionistas 26'!Q320/$N$1</f>
        <v>1</v>
      </c>
    </row>
    <row r="318" spans="1:12">
      <c r="A318" s="16" t="s">
        <v>659</v>
      </c>
      <c r="B318" s="16">
        <v>1075304981</v>
      </c>
      <c r="C318" s="16"/>
      <c r="D318" s="12" t="s">
        <v>578</v>
      </c>
      <c r="E318" s="129">
        <f>'[2]Base Inversionistas 26'!J321/$N$1</f>
        <v>0</v>
      </c>
      <c r="F318" s="129">
        <f>'[2]Base Inversionistas 26'!K321/$N$1</f>
        <v>0</v>
      </c>
      <c r="G318" s="129">
        <f>'[2]Base Inversionistas 26'!L321/$N$1</f>
        <v>1</v>
      </c>
      <c r="H318" s="129">
        <f>'[2]Base Inversionistas 26'!M321/$N$1</f>
        <v>0</v>
      </c>
      <c r="I318" s="129">
        <f>'[2]Base Inversionistas 26'!N321/$N$1</f>
        <v>1</v>
      </c>
      <c r="J318" s="129">
        <f>'[2]Base Inversionistas 26'!O321/$N$1</f>
        <v>1</v>
      </c>
      <c r="K318" s="129">
        <f>'[2]Base Inversionistas 26'!P321/$N$1</f>
        <v>0</v>
      </c>
      <c r="L318" s="129">
        <f>'[2]Base Inversionistas 26'!Q321/$N$1</f>
        <v>0</v>
      </c>
    </row>
    <row r="319" spans="1:12">
      <c r="A319" s="16" t="s">
        <v>660</v>
      </c>
      <c r="B319" s="16"/>
      <c r="C319" s="16"/>
      <c r="D319" s="12" t="s">
        <v>257</v>
      </c>
      <c r="E319" s="129">
        <f>'[2]Base Inversionistas 26'!J322/$N$1</f>
        <v>0</v>
      </c>
      <c r="F319" s="129">
        <f>'[2]Base Inversionistas 26'!K322/$N$1</f>
        <v>0</v>
      </c>
      <c r="G319" s="129">
        <f>'[2]Base Inversionistas 26'!L322/$N$1</f>
        <v>1</v>
      </c>
      <c r="H319" s="129">
        <f>'[2]Base Inversionistas 26'!M322/$N$1</f>
        <v>1</v>
      </c>
      <c r="I319" s="129">
        <f>'[2]Base Inversionistas 26'!N322/$N$1</f>
        <v>0</v>
      </c>
      <c r="J319" s="129">
        <f>'[2]Base Inversionistas 26'!O322/$N$1</f>
        <v>0</v>
      </c>
      <c r="K319" s="129">
        <f>'[2]Base Inversionistas 26'!P322/$N$1</f>
        <v>0</v>
      </c>
      <c r="L319" s="129">
        <f>'[2]Base Inversionistas 26'!Q322/$N$1</f>
        <v>1</v>
      </c>
    </row>
    <row r="320" spans="1:12">
      <c r="A320" s="16" t="s">
        <v>661</v>
      </c>
      <c r="B320" s="16"/>
      <c r="C320" s="16"/>
      <c r="D320" s="12" t="s">
        <v>618</v>
      </c>
      <c r="E320" s="129">
        <f>'[2]Base Inversionistas 26'!J323/$N$1</f>
        <v>0</v>
      </c>
      <c r="F320" s="129">
        <f>'[2]Base Inversionistas 26'!K323/$N$1</f>
        <v>0</v>
      </c>
      <c r="G320" s="129">
        <f>'[2]Base Inversionistas 26'!L323/$N$1</f>
        <v>1.5</v>
      </c>
      <c r="H320" s="129">
        <f>'[2]Base Inversionistas 26'!M323/$N$1</f>
        <v>0</v>
      </c>
      <c r="I320" s="129">
        <f>'[2]Base Inversionistas 26'!N323/$N$1</f>
        <v>0</v>
      </c>
      <c r="J320" s="129">
        <f>'[2]Base Inversionistas 26'!O323/$N$1</f>
        <v>0</v>
      </c>
      <c r="K320" s="129">
        <f>'[2]Base Inversionistas 26'!P323/$N$1</f>
        <v>0</v>
      </c>
      <c r="L320" s="129">
        <f>'[2]Base Inversionistas 26'!Q323/$N$1</f>
        <v>0</v>
      </c>
    </row>
    <row r="321" spans="1:12">
      <c r="A321" s="16" t="s">
        <v>669</v>
      </c>
      <c r="B321" s="16"/>
      <c r="C321" s="16"/>
      <c r="D321" s="12" t="s">
        <v>356</v>
      </c>
      <c r="E321" s="129">
        <f>'[2]Base Inversionistas 26'!J324/$N$1</f>
        <v>0</v>
      </c>
      <c r="F321" s="129">
        <f>'[2]Base Inversionistas 26'!K324/$N$1</f>
        <v>1</v>
      </c>
      <c r="G321" s="129">
        <f>'[2]Base Inversionistas 26'!L324/$N$1</f>
        <v>0</v>
      </c>
      <c r="H321" s="129">
        <f>'[2]Base Inversionistas 26'!M324/$N$1</f>
        <v>0</v>
      </c>
      <c r="I321" s="129">
        <f>'[2]Base Inversionistas 26'!N324/$N$1</f>
        <v>0</v>
      </c>
      <c r="J321" s="129">
        <f>'[2]Base Inversionistas 26'!O324/$N$1</f>
        <v>0</v>
      </c>
      <c r="K321" s="129">
        <f>'[2]Base Inversionistas 26'!P324/$N$1</f>
        <v>0</v>
      </c>
      <c r="L321" s="129">
        <f>'[2]Base Inversionistas 26'!Q324/$N$1</f>
        <v>0</v>
      </c>
    </row>
    <row r="322" spans="1:12">
      <c r="A322" s="16" t="s">
        <v>717</v>
      </c>
      <c r="B322" s="16">
        <v>43868812</v>
      </c>
      <c r="C322" s="16">
        <v>3148927758</v>
      </c>
      <c r="D322" s="12" t="s">
        <v>253</v>
      </c>
      <c r="E322" s="129">
        <f>'[2]Base Inversionistas 26'!J325/$N$1</f>
        <v>0</v>
      </c>
      <c r="F322" s="129">
        <f>'[2]Base Inversionistas 26'!K325/$N$1</f>
        <v>0</v>
      </c>
      <c r="G322" s="129">
        <f>'[2]Base Inversionistas 26'!L325/$N$1</f>
        <v>1</v>
      </c>
      <c r="H322" s="129">
        <f>'[2]Base Inversionistas 26'!M325/$N$1</f>
        <v>1</v>
      </c>
      <c r="I322" s="129">
        <f>'[2]Base Inversionistas 26'!N325/$N$1</f>
        <v>1</v>
      </c>
      <c r="J322" s="129">
        <f>'[2]Base Inversionistas 26'!O325/$N$1</f>
        <v>0</v>
      </c>
      <c r="K322" s="129">
        <f>'[2]Base Inversionistas 26'!P325/$N$1</f>
        <v>1</v>
      </c>
      <c r="L322" s="129">
        <f>'[2]Base Inversionistas 26'!Q325/$N$1</f>
        <v>0</v>
      </c>
    </row>
    <row r="323" spans="1:12">
      <c r="A323" s="16" t="s">
        <v>676</v>
      </c>
      <c r="B323" s="16">
        <v>19308428</v>
      </c>
      <c r="C323" s="16">
        <v>3113742824</v>
      </c>
      <c r="D323" s="12" t="s">
        <v>455</v>
      </c>
      <c r="E323" s="129">
        <f>'[2]Base Inversionistas 26'!J326/$N$1</f>
        <v>0</v>
      </c>
      <c r="F323" s="129">
        <f>'[2]Base Inversionistas 26'!K326/$N$1</f>
        <v>0</v>
      </c>
      <c r="G323" s="129">
        <f>'[2]Base Inversionistas 26'!L326/$N$1</f>
        <v>0</v>
      </c>
      <c r="H323" s="129">
        <f>'[2]Base Inversionistas 26'!M326/$N$1</f>
        <v>1</v>
      </c>
      <c r="I323" s="129">
        <f>'[2]Base Inversionistas 26'!N326/$N$1</f>
        <v>1</v>
      </c>
      <c r="J323" s="129">
        <f>'[2]Base Inversionistas 26'!O326/$N$1</f>
        <v>1</v>
      </c>
      <c r="K323" s="129">
        <f>'[2]Base Inversionistas 26'!P326/$N$1</f>
        <v>0</v>
      </c>
      <c r="L323" s="129">
        <f>'[2]Base Inversionistas 26'!Q326/$N$1</f>
        <v>2.5</v>
      </c>
    </row>
    <row r="324" spans="1:12">
      <c r="A324" s="16" t="s">
        <v>677</v>
      </c>
      <c r="B324" s="16">
        <v>32491394</v>
      </c>
      <c r="C324" s="16">
        <v>3147816504</v>
      </c>
      <c r="D324" s="12" t="s">
        <v>253</v>
      </c>
      <c r="E324" s="129">
        <f>'[2]Base Inversionistas 26'!J327/$N$1</f>
        <v>0</v>
      </c>
      <c r="F324" s="129">
        <f>'[2]Base Inversionistas 26'!K327/$N$1</f>
        <v>0</v>
      </c>
      <c r="G324" s="129">
        <f>'[2]Base Inversionistas 26'!L327/$N$1</f>
        <v>0</v>
      </c>
      <c r="H324" s="129">
        <f>'[2]Base Inversionistas 26'!M327/$N$1</f>
        <v>1</v>
      </c>
      <c r="I324" s="129">
        <f>'[2]Base Inversionistas 26'!N327/$N$1</f>
        <v>0</v>
      </c>
      <c r="J324" s="129">
        <f>'[2]Base Inversionistas 26'!O327/$N$1</f>
        <v>0</v>
      </c>
      <c r="K324" s="129">
        <f>'[2]Base Inversionistas 26'!P327/$N$1</f>
        <v>0</v>
      </c>
      <c r="L324" s="129">
        <f>'[2]Base Inversionistas 26'!Q327/$N$1</f>
        <v>0</v>
      </c>
    </row>
    <row r="325" spans="1:12">
      <c r="A325" s="16" t="s">
        <v>682</v>
      </c>
      <c r="B325" s="16">
        <v>72268623</v>
      </c>
      <c r="C325" s="16"/>
      <c r="D325" s="12" t="s">
        <v>681</v>
      </c>
      <c r="E325" s="129">
        <f>'[2]Base Inversionistas 26'!J328/$N$1</f>
        <v>0</v>
      </c>
      <c r="F325" s="129">
        <f>'[2]Base Inversionistas 26'!K328/$N$1</f>
        <v>0</v>
      </c>
      <c r="G325" s="129">
        <f>'[2]Base Inversionistas 26'!L328/$N$1</f>
        <v>0</v>
      </c>
      <c r="H325" s="129">
        <f>'[2]Base Inversionistas 26'!M328/$N$1</f>
        <v>1</v>
      </c>
      <c r="I325" s="129">
        <f>'[2]Base Inversionistas 26'!N328/$N$1</f>
        <v>0</v>
      </c>
      <c r="J325" s="129">
        <f>'[2]Base Inversionistas 26'!O328/$N$1</f>
        <v>1</v>
      </c>
      <c r="K325" s="129">
        <f>'[2]Base Inversionistas 26'!P328/$N$1</f>
        <v>1</v>
      </c>
      <c r="L325" s="129">
        <f>'[2]Base Inversionistas 26'!Q328/$N$1</f>
        <v>0</v>
      </c>
    </row>
    <row r="326" spans="1:12">
      <c r="A326" s="16" t="s">
        <v>683</v>
      </c>
      <c r="B326" s="16">
        <v>72309365</v>
      </c>
      <c r="C326" s="16"/>
      <c r="D326" s="12" t="s">
        <v>681</v>
      </c>
      <c r="E326" s="129">
        <f>'[2]Base Inversionistas 26'!J329/$N$1</f>
        <v>0</v>
      </c>
      <c r="F326" s="129">
        <f>'[2]Base Inversionistas 26'!K329/$N$1</f>
        <v>0</v>
      </c>
      <c r="G326" s="129">
        <f>'[2]Base Inversionistas 26'!L329/$N$1</f>
        <v>0</v>
      </c>
      <c r="H326" s="129">
        <f>'[2]Base Inversionistas 26'!M329/$N$1</f>
        <v>1</v>
      </c>
      <c r="I326" s="129">
        <f>'[2]Base Inversionistas 26'!N329/$N$1</f>
        <v>0</v>
      </c>
      <c r="J326" s="129">
        <f>'[2]Base Inversionistas 26'!O329/$N$1</f>
        <v>1</v>
      </c>
      <c r="K326" s="129">
        <f>'[2]Base Inversionistas 26'!P329/$N$1</f>
        <v>1</v>
      </c>
      <c r="L326" s="129">
        <f>'[2]Base Inversionistas 26'!Q329/$N$1</f>
        <v>0</v>
      </c>
    </row>
    <row r="327" spans="1:12">
      <c r="A327" s="16" t="s">
        <v>684</v>
      </c>
      <c r="B327" s="16">
        <v>32686445</v>
      </c>
      <c r="C327" s="16"/>
      <c r="D327" s="12" t="s">
        <v>681</v>
      </c>
      <c r="E327" s="129">
        <f>'[2]Base Inversionistas 26'!J330/$N$1</f>
        <v>0</v>
      </c>
      <c r="F327" s="129">
        <f>'[2]Base Inversionistas 26'!K330/$N$1</f>
        <v>0</v>
      </c>
      <c r="G327" s="129">
        <f>'[2]Base Inversionistas 26'!L330/$N$1</f>
        <v>0</v>
      </c>
      <c r="H327" s="129">
        <f>'[2]Base Inversionistas 26'!M330/$N$1</f>
        <v>0.25</v>
      </c>
      <c r="I327" s="129">
        <f>'[2]Base Inversionistas 26'!N330/$N$1</f>
        <v>0</v>
      </c>
      <c r="J327" s="129">
        <f>'[2]Base Inversionistas 26'!O330/$N$1</f>
        <v>0.25</v>
      </c>
      <c r="K327" s="129">
        <f>'[2]Base Inversionistas 26'!P330/$N$1</f>
        <v>0.25</v>
      </c>
      <c r="L327" s="129">
        <f>'[2]Base Inversionistas 26'!Q330/$N$1</f>
        <v>0</v>
      </c>
    </row>
    <row r="328" spans="1:12">
      <c r="A328" s="16" t="s">
        <v>685</v>
      </c>
      <c r="B328" s="16">
        <v>72309256</v>
      </c>
      <c r="C328" s="16"/>
      <c r="D328" s="12" t="s">
        <v>681</v>
      </c>
      <c r="E328" s="129">
        <f>'[2]Base Inversionistas 26'!J331/$N$1</f>
        <v>0</v>
      </c>
      <c r="F328" s="129">
        <f>'[2]Base Inversionistas 26'!K331/$N$1</f>
        <v>0</v>
      </c>
      <c r="G328" s="129">
        <f>'[2]Base Inversionistas 26'!L331/$N$1</f>
        <v>0</v>
      </c>
      <c r="H328" s="129">
        <f>'[2]Base Inversionistas 26'!M331/$N$1</f>
        <v>0.15</v>
      </c>
      <c r="I328" s="129">
        <f>'[2]Base Inversionistas 26'!N331/$N$1</f>
        <v>0</v>
      </c>
      <c r="J328" s="129">
        <f>'[2]Base Inversionistas 26'!O331/$N$1</f>
        <v>0</v>
      </c>
      <c r="K328" s="129">
        <f>'[2]Base Inversionistas 26'!P331/$N$1</f>
        <v>7.4999999999999997E-2</v>
      </c>
      <c r="L328" s="129">
        <f>'[2]Base Inversionistas 26'!Q331/$N$1</f>
        <v>0</v>
      </c>
    </row>
    <row r="329" spans="1:12">
      <c r="A329" s="16" t="s">
        <v>686</v>
      </c>
      <c r="B329" s="16">
        <v>1044427553</v>
      </c>
      <c r="C329" s="16"/>
      <c r="D329" s="12" t="s">
        <v>681</v>
      </c>
      <c r="E329" s="129">
        <f>'[2]Base Inversionistas 26'!J332/$N$1</f>
        <v>0</v>
      </c>
      <c r="F329" s="129">
        <f>'[2]Base Inversionistas 26'!K332/$N$1</f>
        <v>0</v>
      </c>
      <c r="G329" s="129">
        <f>'[2]Base Inversionistas 26'!L332/$N$1</f>
        <v>0</v>
      </c>
      <c r="H329" s="129">
        <f>'[2]Base Inversionistas 26'!M332/$N$1</f>
        <v>0.1875</v>
      </c>
      <c r="I329" s="129">
        <f>'[2]Base Inversionistas 26'!N332/$N$1</f>
        <v>0</v>
      </c>
      <c r="J329" s="129">
        <f>'[2]Base Inversionistas 26'!O332/$N$1</f>
        <v>0.22500000000000001</v>
      </c>
      <c r="K329" s="129">
        <f>'[2]Base Inversionistas 26'!P332/$N$1</f>
        <v>0.125</v>
      </c>
      <c r="L329" s="129">
        <f>'[2]Base Inversionistas 26'!Q332/$N$1</f>
        <v>0</v>
      </c>
    </row>
    <row r="330" spans="1:12">
      <c r="A330" s="16" t="s">
        <v>687</v>
      </c>
      <c r="B330" s="16">
        <v>26030830</v>
      </c>
      <c r="C330" s="16">
        <v>4148690455</v>
      </c>
      <c r="D330" s="12" t="s">
        <v>257</v>
      </c>
      <c r="E330" s="129">
        <f>'[2]Base Inversionistas 26'!J333/$N$1</f>
        <v>0</v>
      </c>
      <c r="F330" s="129">
        <f>'[2]Base Inversionistas 26'!K333/$N$1</f>
        <v>0</v>
      </c>
      <c r="G330" s="129">
        <f>'[2]Base Inversionistas 26'!L333/$N$1</f>
        <v>0</v>
      </c>
      <c r="H330" s="129">
        <f>'[2]Base Inversionistas 26'!M333/$N$1</f>
        <v>1</v>
      </c>
      <c r="I330" s="129">
        <f>'[2]Base Inversionistas 26'!N333/$N$1</f>
        <v>0</v>
      </c>
      <c r="J330" s="129">
        <f>'[2]Base Inversionistas 26'!O333/$N$1</f>
        <v>0</v>
      </c>
      <c r="K330" s="129">
        <f>'[2]Base Inversionistas 26'!P333/$N$1</f>
        <v>0</v>
      </c>
      <c r="L330" s="129">
        <f>'[2]Base Inversionistas 26'!Q333/$N$1</f>
        <v>0</v>
      </c>
    </row>
    <row r="331" spans="1:12">
      <c r="A331" s="16" t="s">
        <v>688</v>
      </c>
      <c r="B331" s="16">
        <v>88269622</v>
      </c>
      <c r="C331" s="16">
        <v>3135768027</v>
      </c>
      <c r="D331" s="12" t="s">
        <v>729</v>
      </c>
      <c r="E331" s="129">
        <f>'[2]Base Inversionistas 26'!J334/$N$1</f>
        <v>0</v>
      </c>
      <c r="F331" s="129">
        <f>'[2]Base Inversionistas 26'!K334/$N$1</f>
        <v>0</v>
      </c>
      <c r="G331" s="129">
        <f>'[2]Base Inversionistas 26'!L334/$N$1</f>
        <v>0</v>
      </c>
      <c r="H331" s="129">
        <f>'[2]Base Inversionistas 26'!M334/$N$1</f>
        <v>1</v>
      </c>
      <c r="I331" s="129">
        <f>'[2]Base Inversionistas 26'!N334/$N$1</f>
        <v>1</v>
      </c>
      <c r="J331" s="129">
        <f>'[2]Base Inversionistas 26'!O334/$N$1</f>
        <v>1</v>
      </c>
      <c r="K331" s="129">
        <f>'[2]Base Inversionistas 26'!P334/$N$1</f>
        <v>1</v>
      </c>
      <c r="L331" s="129">
        <f>'[2]Base Inversionistas 26'!Q334/$N$1</f>
        <v>0</v>
      </c>
    </row>
    <row r="332" spans="1:12">
      <c r="A332" s="16" t="s">
        <v>690</v>
      </c>
      <c r="B332" s="16"/>
      <c r="C332" s="16"/>
      <c r="D332" s="12" t="s">
        <v>691</v>
      </c>
      <c r="E332" s="129">
        <f>'[2]Base Inversionistas 26'!J335/$N$1</f>
        <v>0</v>
      </c>
      <c r="F332" s="129">
        <f>'[2]Base Inversionistas 26'!K335/$N$1</f>
        <v>0</v>
      </c>
      <c r="G332" s="129">
        <f>'[2]Base Inversionistas 26'!L335/$N$1</f>
        <v>0</v>
      </c>
      <c r="H332" s="129">
        <f>'[2]Base Inversionistas 26'!M335/$N$1</f>
        <v>0.375</v>
      </c>
      <c r="I332" s="129">
        <f>'[2]Base Inversionistas 26'!N335/$N$1</f>
        <v>0</v>
      </c>
      <c r="J332" s="129">
        <f>'[2]Base Inversionistas 26'!O335/$N$1</f>
        <v>0</v>
      </c>
      <c r="K332" s="129">
        <f>'[2]Base Inversionistas 26'!P335/$N$1</f>
        <v>0</v>
      </c>
      <c r="L332" s="129">
        <f>'[2]Base Inversionistas 26'!Q335/$N$1</f>
        <v>0</v>
      </c>
    </row>
    <row r="333" spans="1:12">
      <c r="A333" s="16" t="s">
        <v>692</v>
      </c>
      <c r="B333" s="16">
        <v>27705490</v>
      </c>
      <c r="C333" s="16">
        <v>3133240741</v>
      </c>
      <c r="D333" s="12" t="s">
        <v>344</v>
      </c>
      <c r="E333" s="129">
        <f>'[2]Base Inversionistas 26'!J336/$N$1</f>
        <v>0</v>
      </c>
      <c r="F333" s="129">
        <f>'[2]Base Inversionistas 26'!K336/$N$1</f>
        <v>0</v>
      </c>
      <c r="G333" s="129">
        <f>'[2]Base Inversionistas 26'!L336/$N$1</f>
        <v>0</v>
      </c>
      <c r="H333" s="129">
        <f>'[2]Base Inversionistas 26'!M336/$N$1</f>
        <v>2</v>
      </c>
      <c r="I333" s="129">
        <f>'[2]Base Inversionistas 26'!N336/$N$1</f>
        <v>0</v>
      </c>
      <c r="J333" s="129">
        <f>'[2]Base Inversionistas 26'!O336/$N$1</f>
        <v>0</v>
      </c>
      <c r="K333" s="129">
        <f>'[2]Base Inversionistas 26'!P336/$N$1</f>
        <v>0</v>
      </c>
      <c r="L333" s="129">
        <f>'[2]Base Inversionistas 26'!Q336/$N$1</f>
        <v>1</v>
      </c>
    </row>
    <row r="334" spans="1:12">
      <c r="A334" s="16" t="s">
        <v>693</v>
      </c>
      <c r="B334" s="16">
        <v>72193575</v>
      </c>
      <c r="C334" s="16"/>
      <c r="D334" s="12" t="s">
        <v>358</v>
      </c>
      <c r="E334" s="129">
        <f>'[2]Base Inversionistas 26'!J337/$N$1</f>
        <v>0</v>
      </c>
      <c r="F334" s="129">
        <f>'[2]Base Inversionistas 26'!K337/$N$1</f>
        <v>0</v>
      </c>
      <c r="G334" s="129">
        <f>'[2]Base Inversionistas 26'!L337/$N$1</f>
        <v>0</v>
      </c>
      <c r="H334" s="129">
        <f>'[2]Base Inversionistas 26'!M337/$N$1</f>
        <v>1</v>
      </c>
      <c r="I334" s="129">
        <f>'[2]Base Inversionistas 26'!N337/$N$1</f>
        <v>1</v>
      </c>
      <c r="J334" s="129">
        <f>'[2]Base Inversionistas 26'!O337/$N$1</f>
        <v>0</v>
      </c>
      <c r="K334" s="129">
        <f>'[2]Base Inversionistas 26'!P337/$N$1</f>
        <v>0</v>
      </c>
      <c r="L334" s="129">
        <f>'[2]Base Inversionistas 26'!Q337/$N$1</f>
        <v>0</v>
      </c>
    </row>
    <row r="335" spans="1:12">
      <c r="A335" s="16" t="s">
        <v>694</v>
      </c>
      <c r="B335" s="16">
        <v>1144057934</v>
      </c>
      <c r="C335" s="16">
        <v>3106434849</v>
      </c>
      <c r="D335" s="12" t="s">
        <v>257</v>
      </c>
      <c r="E335" s="129">
        <f>'[2]Base Inversionistas 26'!J338/$N$1</f>
        <v>0</v>
      </c>
      <c r="F335" s="129">
        <f>'[2]Base Inversionistas 26'!K338/$N$1</f>
        <v>0</v>
      </c>
      <c r="G335" s="129">
        <f>'[2]Base Inversionistas 26'!L338/$N$1</f>
        <v>0</v>
      </c>
      <c r="H335" s="129">
        <f>'[2]Base Inversionistas 26'!M338/$N$1</f>
        <v>1</v>
      </c>
      <c r="I335" s="129">
        <f>'[2]Base Inversionistas 26'!N338/$N$1</f>
        <v>1</v>
      </c>
      <c r="J335" s="129">
        <f>'[2]Base Inversionistas 26'!O338/$N$1</f>
        <v>0</v>
      </c>
      <c r="K335" s="129">
        <f>'[2]Base Inversionistas 26'!P338/$N$1</f>
        <v>0</v>
      </c>
      <c r="L335" s="129">
        <f>'[2]Base Inversionistas 26'!Q338/$N$1</f>
        <v>0</v>
      </c>
    </row>
    <row r="336" spans="1:12">
      <c r="A336" s="16" t="s">
        <v>695</v>
      </c>
      <c r="B336" s="16">
        <v>16784811</v>
      </c>
      <c r="C336" s="16">
        <v>3232388033</v>
      </c>
      <c r="D336" s="12" t="s">
        <v>696</v>
      </c>
      <c r="E336" s="129">
        <f>'[2]Base Inversionistas 26'!J339/$N$1</f>
        <v>0</v>
      </c>
      <c r="F336" s="129">
        <f>'[2]Base Inversionistas 26'!K339/$N$1</f>
        <v>0</v>
      </c>
      <c r="G336" s="129">
        <f>'[2]Base Inversionistas 26'!L339/$N$1</f>
        <v>0</v>
      </c>
      <c r="H336" s="129">
        <f>'[2]Base Inversionistas 26'!M339/$N$1</f>
        <v>1</v>
      </c>
      <c r="I336" s="129">
        <f>'[2]Base Inversionistas 26'!N339/$N$1</f>
        <v>1</v>
      </c>
      <c r="J336" s="129">
        <f>'[2]Base Inversionistas 26'!O339/$N$1</f>
        <v>1</v>
      </c>
      <c r="K336" s="129">
        <f>'[2]Base Inversionistas 26'!P339/$N$1</f>
        <v>0</v>
      </c>
      <c r="L336" s="129">
        <f>'[2]Base Inversionistas 26'!Q339/$N$1</f>
        <v>1</v>
      </c>
    </row>
    <row r="337" spans="1:12">
      <c r="A337" s="16" t="s">
        <v>697</v>
      </c>
      <c r="B337" s="16">
        <v>34500768</v>
      </c>
      <c r="C337" s="16">
        <v>3136589048</v>
      </c>
      <c r="D337" s="12" t="s">
        <v>698</v>
      </c>
      <c r="E337" s="129">
        <f>'[2]Base Inversionistas 26'!J340/$N$1</f>
        <v>0</v>
      </c>
      <c r="F337" s="129">
        <f>'[2]Base Inversionistas 26'!K340/$N$1</f>
        <v>0</v>
      </c>
      <c r="G337" s="129">
        <f>'[2]Base Inversionistas 26'!L340/$N$1</f>
        <v>0</v>
      </c>
      <c r="H337" s="129">
        <f>'[2]Base Inversionistas 26'!M340/$N$1</f>
        <v>0.25</v>
      </c>
      <c r="I337" s="129">
        <f>'[2]Base Inversionistas 26'!N340/$N$1</f>
        <v>0</v>
      </c>
      <c r="J337" s="129">
        <f>'[2]Base Inversionistas 26'!O340/$N$1</f>
        <v>0</v>
      </c>
      <c r="K337" s="129">
        <f>'[2]Base Inversionistas 26'!P340/$N$1</f>
        <v>0</v>
      </c>
      <c r="L337" s="129">
        <f>'[2]Base Inversionistas 26'!Q340/$N$1</f>
        <v>0</v>
      </c>
    </row>
    <row r="338" spans="1:12">
      <c r="A338" s="16" t="s">
        <v>699</v>
      </c>
      <c r="B338" s="16">
        <v>22579381</v>
      </c>
      <c r="C338" s="16">
        <v>3006140088</v>
      </c>
      <c r="D338" s="12" t="s">
        <v>681</v>
      </c>
      <c r="E338" s="129">
        <f>'[2]Base Inversionistas 26'!J341/$N$1</f>
        <v>0</v>
      </c>
      <c r="F338" s="129">
        <f>'[2]Base Inversionistas 26'!K341/$N$1</f>
        <v>0</v>
      </c>
      <c r="G338" s="129">
        <f>'[2]Base Inversionistas 26'!L341/$N$1</f>
        <v>0</v>
      </c>
      <c r="H338" s="129">
        <f>'[2]Base Inversionistas 26'!M341/$N$1</f>
        <v>1</v>
      </c>
      <c r="I338" s="129">
        <f>'[2]Base Inversionistas 26'!N341/$N$1</f>
        <v>0</v>
      </c>
      <c r="J338" s="129">
        <f>'[2]Base Inversionistas 26'!O341/$N$1</f>
        <v>0</v>
      </c>
      <c r="K338" s="129">
        <f>'[2]Base Inversionistas 26'!P341/$N$1</f>
        <v>0</v>
      </c>
      <c r="L338" s="129">
        <f>'[2]Base Inversionistas 26'!Q341/$N$1</f>
        <v>0</v>
      </c>
    </row>
    <row r="339" spans="1:12">
      <c r="A339" s="16" t="s">
        <v>700</v>
      </c>
      <c r="B339" s="16">
        <v>30312926</v>
      </c>
      <c r="C339" s="16"/>
      <c r="D339" s="12" t="s">
        <v>455</v>
      </c>
      <c r="E339" s="129">
        <f>'[2]Base Inversionistas 26'!J342/$N$1</f>
        <v>0</v>
      </c>
      <c r="F339" s="129">
        <f>'[2]Base Inversionistas 26'!K342/$N$1</f>
        <v>0</v>
      </c>
      <c r="G339" s="129">
        <f>'[2]Base Inversionistas 26'!L342/$N$1</f>
        <v>0</v>
      </c>
      <c r="H339" s="129">
        <f>'[2]Base Inversionistas 26'!M342/$N$1</f>
        <v>1</v>
      </c>
      <c r="I339" s="129">
        <f>'[2]Base Inversionistas 26'!N342/$N$1</f>
        <v>0</v>
      </c>
      <c r="J339" s="129">
        <f>'[2]Base Inversionistas 26'!O342/$N$1</f>
        <v>0</v>
      </c>
      <c r="K339" s="129">
        <f>'[2]Base Inversionistas 26'!P342/$N$1</f>
        <v>0</v>
      </c>
      <c r="L339" s="129">
        <f>'[2]Base Inversionistas 26'!Q342/$N$1</f>
        <v>0</v>
      </c>
    </row>
    <row r="340" spans="1:12">
      <c r="A340" s="16" t="s">
        <v>703</v>
      </c>
      <c r="B340" s="16"/>
      <c r="C340" s="16"/>
      <c r="D340" s="12" t="s">
        <v>345</v>
      </c>
      <c r="E340" s="129">
        <f>'[2]Base Inversionistas 26'!J343/$N$1</f>
        <v>0</v>
      </c>
      <c r="F340" s="129">
        <f>'[2]Base Inversionistas 26'!K343/$N$1</f>
        <v>0</v>
      </c>
      <c r="G340" s="129">
        <f>'[2]Base Inversionistas 26'!L343/$N$1</f>
        <v>0</v>
      </c>
      <c r="H340" s="129">
        <f>'[2]Base Inversionistas 26'!M343/$N$1</f>
        <v>0.5</v>
      </c>
      <c r="I340" s="129">
        <f>'[2]Base Inversionistas 26'!N343/$N$1</f>
        <v>0.5</v>
      </c>
      <c r="J340" s="129">
        <f>'[2]Base Inversionistas 26'!O343/$N$1</f>
        <v>1</v>
      </c>
      <c r="K340" s="129">
        <f>'[2]Base Inversionistas 26'!P343/$N$1</f>
        <v>0</v>
      </c>
      <c r="L340" s="129">
        <f>'[2]Base Inversionistas 26'!Q343/$N$1</f>
        <v>0</v>
      </c>
    </row>
    <row r="341" spans="1:12">
      <c r="A341" s="16" t="s">
        <v>704</v>
      </c>
      <c r="B341" s="16">
        <v>10017038</v>
      </c>
      <c r="C341" s="16">
        <v>3154427396</v>
      </c>
      <c r="D341" s="12" t="s">
        <v>455</v>
      </c>
      <c r="E341" s="129">
        <f>'[2]Base Inversionistas 26'!J344/$N$1</f>
        <v>0</v>
      </c>
      <c r="F341" s="129">
        <f>'[2]Base Inversionistas 26'!K344/$N$1</f>
        <v>0</v>
      </c>
      <c r="G341" s="129">
        <f>'[2]Base Inversionistas 26'!L344/$N$1</f>
        <v>0</v>
      </c>
      <c r="H341" s="129">
        <f>'[2]Base Inversionistas 26'!M344/$N$1</f>
        <v>0</v>
      </c>
      <c r="I341" s="129">
        <f>'[2]Base Inversionistas 26'!N344/$N$1</f>
        <v>2</v>
      </c>
      <c r="J341" s="129">
        <f>'[2]Base Inversionistas 26'!O344/$N$1</f>
        <v>0</v>
      </c>
      <c r="K341" s="129">
        <f>'[2]Base Inversionistas 26'!P344/$N$1</f>
        <v>0</v>
      </c>
      <c r="L341" s="129">
        <f>'[2]Base Inversionistas 26'!Q344/$N$1</f>
        <v>1</v>
      </c>
    </row>
    <row r="342" spans="1:12">
      <c r="A342" s="16" t="s">
        <v>705</v>
      </c>
      <c r="B342" s="16">
        <v>13873577</v>
      </c>
      <c r="C342" s="16">
        <v>3184381905</v>
      </c>
      <c r="D342" s="12" t="s">
        <v>547</v>
      </c>
      <c r="E342" s="129">
        <f>'[2]Base Inversionistas 26'!J345/$N$1</f>
        <v>0</v>
      </c>
      <c r="F342" s="129">
        <f>'[2]Base Inversionistas 26'!K345/$N$1</f>
        <v>0</v>
      </c>
      <c r="G342" s="129">
        <f>'[2]Base Inversionistas 26'!L345/$N$1</f>
        <v>0</v>
      </c>
      <c r="H342" s="129">
        <f>'[2]Base Inversionistas 26'!M345/$N$1</f>
        <v>0</v>
      </c>
      <c r="I342" s="129">
        <f>'[2]Base Inversionistas 26'!N345/$N$1</f>
        <v>1</v>
      </c>
      <c r="J342" s="129">
        <f>'[2]Base Inversionistas 26'!O345/$N$1</f>
        <v>1</v>
      </c>
      <c r="K342" s="129">
        <f>'[2]Base Inversionistas 26'!P345/$N$1</f>
        <v>0</v>
      </c>
      <c r="L342" s="129">
        <f>'[2]Base Inversionistas 26'!Q345/$N$1</f>
        <v>0</v>
      </c>
    </row>
    <row r="343" spans="1:12">
      <c r="A343" s="16" t="s">
        <v>706</v>
      </c>
      <c r="B343" s="16">
        <v>13520281</v>
      </c>
      <c r="C343" s="16"/>
      <c r="D343" s="12" t="s">
        <v>578</v>
      </c>
      <c r="E343" s="129">
        <f>'[2]Base Inversionistas 26'!J346/$N$1</f>
        <v>0</v>
      </c>
      <c r="F343" s="129">
        <f>'[2]Base Inversionistas 26'!K346/$N$1</f>
        <v>0</v>
      </c>
      <c r="G343" s="129">
        <f>'[2]Base Inversionistas 26'!L346/$N$1</f>
        <v>0</v>
      </c>
      <c r="H343" s="129">
        <f>'[2]Base Inversionistas 26'!M346/$N$1</f>
        <v>0</v>
      </c>
      <c r="I343" s="129">
        <f>'[2]Base Inversionistas 26'!N346/$N$1</f>
        <v>4</v>
      </c>
      <c r="J343" s="129">
        <f>'[2]Base Inversionistas 26'!O346/$N$1</f>
        <v>1</v>
      </c>
      <c r="K343" s="129">
        <f>'[2]Base Inversionistas 26'!P346/$N$1</f>
        <v>0</v>
      </c>
      <c r="L343" s="129">
        <f>'[2]Base Inversionistas 26'!Q346/$N$1</f>
        <v>0</v>
      </c>
    </row>
    <row r="344" spans="1:12">
      <c r="A344" s="16" t="s">
        <v>755</v>
      </c>
      <c r="B344" s="16">
        <v>1010132168</v>
      </c>
      <c r="C344" s="16">
        <v>3162491954</v>
      </c>
      <c r="D344" s="12" t="s">
        <v>465</v>
      </c>
      <c r="E344" s="129">
        <f>'[2]Base Inversionistas 26'!J347/$N$1</f>
        <v>0</v>
      </c>
      <c r="F344" s="129">
        <f>'[2]Base Inversionistas 26'!K347/$N$1</f>
        <v>0</v>
      </c>
      <c r="G344" s="129">
        <f>'[2]Base Inversionistas 26'!L347/$N$1</f>
        <v>0</v>
      </c>
      <c r="H344" s="129">
        <f>'[2]Base Inversionistas 26'!M347/$N$1</f>
        <v>0</v>
      </c>
      <c r="I344" s="129">
        <f>'[2]Base Inversionistas 26'!N347/$N$1</f>
        <v>1</v>
      </c>
      <c r="J344" s="129">
        <f>'[2]Base Inversionistas 26'!O347/$N$1</f>
        <v>0</v>
      </c>
      <c r="K344" s="129">
        <f>'[2]Base Inversionistas 26'!P347/$N$1</f>
        <v>0</v>
      </c>
      <c r="L344" s="129">
        <f>'[2]Base Inversionistas 26'!Q347/$N$1</f>
        <v>1.25</v>
      </c>
    </row>
    <row r="345" spans="1:12">
      <c r="A345" s="16" t="s">
        <v>718</v>
      </c>
      <c r="B345" s="16"/>
      <c r="C345" s="16"/>
      <c r="D345" s="12" t="s">
        <v>596</v>
      </c>
      <c r="E345" s="129">
        <f>'[2]Base Inversionistas 26'!J348/$N$1</f>
        <v>0</v>
      </c>
      <c r="F345" s="129">
        <f>'[2]Base Inversionistas 26'!K348/$N$1</f>
        <v>0</v>
      </c>
      <c r="G345" s="129">
        <f>'[2]Base Inversionistas 26'!L348/$N$1</f>
        <v>0</v>
      </c>
      <c r="H345" s="129">
        <f>'[2]Base Inversionistas 26'!M348/$N$1</f>
        <v>0</v>
      </c>
      <c r="I345" s="129">
        <f>'[2]Base Inversionistas 26'!N348/$N$1</f>
        <v>1</v>
      </c>
      <c r="J345" s="129">
        <f>'[2]Base Inversionistas 26'!O348/$N$1</f>
        <v>2</v>
      </c>
      <c r="K345" s="129">
        <f>'[2]Base Inversionistas 26'!P348/$N$1</f>
        <v>2</v>
      </c>
      <c r="L345" s="129">
        <f>'[2]Base Inversionistas 26'!Q348/$N$1</f>
        <v>2</v>
      </c>
    </row>
    <row r="346" spans="1:12">
      <c r="A346" s="16" t="s">
        <v>720</v>
      </c>
      <c r="B346" s="16"/>
      <c r="C346" s="16"/>
      <c r="D346" s="12" t="s">
        <v>163</v>
      </c>
      <c r="E346" s="129">
        <f>'[2]Base Inversionistas 26'!J349/$N$1</f>
        <v>0</v>
      </c>
      <c r="F346" s="129">
        <f>'[2]Base Inversionistas 26'!K349/$N$1</f>
        <v>0</v>
      </c>
      <c r="G346" s="129">
        <f>'[2]Base Inversionistas 26'!L349/$N$1</f>
        <v>0</v>
      </c>
      <c r="H346" s="129">
        <f>'[2]Base Inversionistas 26'!M349/$N$1</f>
        <v>0</v>
      </c>
      <c r="I346" s="129">
        <f>'[2]Base Inversionistas 26'!N349/$N$1</f>
        <v>0</v>
      </c>
      <c r="J346" s="129">
        <f>'[2]Base Inversionistas 26'!O349/$N$1</f>
        <v>2</v>
      </c>
      <c r="K346" s="129">
        <f>'[2]Base Inversionistas 26'!P349/$N$1</f>
        <v>0</v>
      </c>
      <c r="L346" s="129">
        <f>'[2]Base Inversionistas 26'!Q349/$N$1</f>
        <v>0</v>
      </c>
    </row>
    <row r="347" spans="1:12">
      <c r="A347" s="16" t="s">
        <v>722</v>
      </c>
      <c r="B347" s="16">
        <v>7685262</v>
      </c>
      <c r="C347" s="16"/>
      <c r="D347" s="12" t="s">
        <v>578</v>
      </c>
      <c r="E347" s="129">
        <f>'[2]Base Inversionistas 26'!J350/$N$1</f>
        <v>0</v>
      </c>
      <c r="F347" s="129">
        <f>'[2]Base Inversionistas 26'!K350/$N$1</f>
        <v>0</v>
      </c>
      <c r="G347" s="129">
        <f>'[2]Base Inversionistas 26'!L350/$N$1</f>
        <v>0</v>
      </c>
      <c r="H347" s="129">
        <f>'[2]Base Inversionistas 26'!M350/$N$1</f>
        <v>0</v>
      </c>
      <c r="I347" s="129">
        <f>'[2]Base Inversionistas 26'!N350/$N$1</f>
        <v>0</v>
      </c>
      <c r="J347" s="129">
        <f>'[2]Base Inversionistas 26'!O350/$N$1</f>
        <v>1</v>
      </c>
      <c r="K347" s="129">
        <f>'[2]Base Inversionistas 26'!P350/$N$1</f>
        <v>0</v>
      </c>
      <c r="L347" s="129">
        <f>'[2]Base Inversionistas 26'!Q350/$N$1</f>
        <v>0</v>
      </c>
    </row>
    <row r="348" spans="1:12">
      <c r="A348" s="16" t="s">
        <v>723</v>
      </c>
      <c r="B348" s="16"/>
      <c r="C348" s="16"/>
      <c r="D348" s="12" t="s">
        <v>346</v>
      </c>
      <c r="E348" s="129">
        <f>'[2]Base Inversionistas 26'!J351/$N$1</f>
        <v>0</v>
      </c>
      <c r="F348" s="129">
        <f>'[2]Base Inversionistas 26'!K351/$N$1</f>
        <v>0</v>
      </c>
      <c r="G348" s="129">
        <f>'[2]Base Inversionistas 26'!L351/$N$1</f>
        <v>0</v>
      </c>
      <c r="H348" s="129">
        <f>'[2]Base Inversionistas 26'!M351/$N$1</f>
        <v>0</v>
      </c>
      <c r="I348" s="129">
        <f>'[2]Base Inversionistas 26'!N351/$N$1</f>
        <v>0</v>
      </c>
      <c r="J348" s="129">
        <f>'[2]Base Inversionistas 26'!O351/$N$1</f>
        <v>1</v>
      </c>
      <c r="K348" s="129">
        <f>'[2]Base Inversionistas 26'!P351/$N$1</f>
        <v>0</v>
      </c>
      <c r="L348" s="129">
        <f>'[2]Base Inversionistas 26'!Q351/$N$1</f>
        <v>0</v>
      </c>
    </row>
    <row r="349" spans="1:12">
      <c r="A349" s="16" t="s">
        <v>724</v>
      </c>
      <c r="B349" s="16"/>
      <c r="C349" s="16"/>
      <c r="D349" s="12" t="s">
        <v>725</v>
      </c>
      <c r="E349" s="129">
        <f>'[2]Base Inversionistas 26'!J352/$N$1</f>
        <v>0</v>
      </c>
      <c r="F349" s="129">
        <f>'[2]Base Inversionistas 26'!K352/$N$1</f>
        <v>0</v>
      </c>
      <c r="G349" s="129">
        <f>'[2]Base Inversionistas 26'!L352/$N$1</f>
        <v>0</v>
      </c>
      <c r="H349" s="129">
        <f>'[2]Base Inversionistas 26'!M352/$N$1</f>
        <v>0</v>
      </c>
      <c r="I349" s="129">
        <f>'[2]Base Inversionistas 26'!N352/$N$1</f>
        <v>0</v>
      </c>
      <c r="J349" s="129">
        <f>'[2]Base Inversionistas 26'!O352/$N$1</f>
        <v>0.75</v>
      </c>
      <c r="K349" s="129">
        <f>'[2]Base Inversionistas 26'!P352/$N$1</f>
        <v>0</v>
      </c>
      <c r="L349" s="129">
        <f>'[2]Base Inversionistas 26'!Q352/$N$1</f>
        <v>0</v>
      </c>
    </row>
    <row r="350" spans="1:12">
      <c r="A350" s="16" t="s">
        <v>726</v>
      </c>
      <c r="B350" s="16"/>
      <c r="C350" s="16"/>
      <c r="D350" s="12" t="s">
        <v>729</v>
      </c>
      <c r="E350" s="129">
        <f>'[2]Base Inversionistas 26'!J353/$N$1</f>
        <v>0</v>
      </c>
      <c r="F350" s="129">
        <f>'[2]Base Inversionistas 26'!K353/$N$1</f>
        <v>0</v>
      </c>
      <c r="G350" s="129">
        <f>'[2]Base Inversionistas 26'!L353/$N$1</f>
        <v>0</v>
      </c>
      <c r="H350" s="129">
        <f>'[2]Base Inversionistas 26'!M353/$N$1</f>
        <v>0</v>
      </c>
      <c r="I350" s="129">
        <f>'[2]Base Inversionistas 26'!N353/$N$1</f>
        <v>0</v>
      </c>
      <c r="J350" s="129">
        <f>'[2]Base Inversionistas 26'!O353/$N$1</f>
        <v>45.897500000000001</v>
      </c>
      <c r="K350" s="129">
        <f>'[2]Base Inversionistas 26'!P353/$N$1</f>
        <v>0</v>
      </c>
      <c r="L350" s="129">
        <f>'[2]Base Inversionistas 26'!Q353/$N$1</f>
        <v>0</v>
      </c>
    </row>
    <row r="351" spans="1:12">
      <c r="A351" s="16" t="s">
        <v>727</v>
      </c>
      <c r="B351" s="16"/>
      <c r="C351" s="16"/>
      <c r="D351" s="12" t="s">
        <v>729</v>
      </c>
      <c r="E351" s="129">
        <f>'[2]Base Inversionistas 26'!J354/$N$1</f>
        <v>0</v>
      </c>
      <c r="F351" s="129">
        <f>'[2]Base Inversionistas 26'!K354/$N$1</f>
        <v>0</v>
      </c>
      <c r="G351" s="129">
        <f>'[2]Base Inversionistas 26'!L354/$N$1</f>
        <v>0</v>
      </c>
      <c r="H351" s="129">
        <f>'[2]Base Inversionistas 26'!M354/$N$1</f>
        <v>0</v>
      </c>
      <c r="I351" s="129">
        <f>'[2]Base Inversionistas 26'!N354/$N$1</f>
        <v>0</v>
      </c>
      <c r="J351" s="129">
        <f>'[2]Base Inversionistas 26'!O354/$N$1</f>
        <v>22.15</v>
      </c>
      <c r="K351" s="129">
        <f>'[2]Base Inversionistas 26'!P354/$N$1</f>
        <v>0</v>
      </c>
      <c r="L351" s="129">
        <f>'[2]Base Inversionistas 26'!Q354/$N$1</f>
        <v>0</v>
      </c>
    </row>
    <row r="352" spans="1:12">
      <c r="A352" s="16" t="s">
        <v>728</v>
      </c>
      <c r="B352" s="16"/>
      <c r="C352" s="16"/>
      <c r="D352" s="12" t="s">
        <v>445</v>
      </c>
      <c r="E352" s="129">
        <f>'[2]Base Inversionistas 26'!J355/$N$1</f>
        <v>0</v>
      </c>
      <c r="F352" s="129">
        <f>'[2]Base Inversionistas 26'!K355/$N$1</f>
        <v>0</v>
      </c>
      <c r="G352" s="129">
        <f>'[2]Base Inversionistas 26'!L355/$N$1</f>
        <v>0</v>
      </c>
      <c r="H352" s="129">
        <f>'[2]Base Inversionistas 26'!M355/$N$1</f>
        <v>0</v>
      </c>
      <c r="I352" s="129">
        <f>'[2]Base Inversionistas 26'!N355/$N$1</f>
        <v>0</v>
      </c>
      <c r="J352" s="129">
        <f>'[2]Base Inversionistas 26'!O355/$N$1</f>
        <v>1.375</v>
      </c>
      <c r="K352" s="129">
        <f>'[2]Base Inversionistas 26'!P355/$N$1</f>
        <v>0</v>
      </c>
      <c r="L352" s="129">
        <f>'[2]Base Inversionistas 26'!Q355/$N$1</f>
        <v>0</v>
      </c>
    </row>
    <row r="353" spans="1:12">
      <c r="A353" s="16" t="s">
        <v>730</v>
      </c>
      <c r="B353" s="16">
        <v>39358951</v>
      </c>
      <c r="C353" s="16"/>
      <c r="D353" s="12" t="s">
        <v>356</v>
      </c>
      <c r="E353" s="129">
        <f>'[2]Base Inversionistas 26'!J356/$N$1</f>
        <v>0</v>
      </c>
      <c r="F353" s="129">
        <f>'[2]Base Inversionistas 26'!K356/$N$1</f>
        <v>0</v>
      </c>
      <c r="G353" s="129">
        <f>'[2]Base Inversionistas 26'!L356/$N$1</f>
        <v>0</v>
      </c>
      <c r="H353" s="129">
        <f>'[2]Base Inversionistas 26'!M356/$N$1</f>
        <v>0</v>
      </c>
      <c r="I353" s="129">
        <f>'[2]Base Inversionistas 26'!N356/$N$1</f>
        <v>0</v>
      </c>
      <c r="J353" s="129">
        <f>'[2]Base Inversionistas 26'!O356/$N$1</f>
        <v>1</v>
      </c>
      <c r="K353" s="129">
        <f>'[2]Base Inversionistas 26'!P356/$N$1</f>
        <v>1</v>
      </c>
      <c r="L353" s="129">
        <f>'[2]Base Inversionistas 26'!Q356/$N$1</f>
        <v>0</v>
      </c>
    </row>
    <row r="354" spans="1:12">
      <c r="A354" s="16" t="s">
        <v>731</v>
      </c>
      <c r="B354" s="16"/>
      <c r="C354" s="16"/>
      <c r="D354" s="12" t="s">
        <v>729</v>
      </c>
      <c r="E354" s="129">
        <f>'[2]Base Inversionistas 26'!J357/$N$1</f>
        <v>0</v>
      </c>
      <c r="F354" s="129">
        <f>'[2]Base Inversionistas 26'!K357/$N$1</f>
        <v>0</v>
      </c>
      <c r="G354" s="129">
        <f>'[2]Base Inversionistas 26'!L357/$N$1</f>
        <v>0</v>
      </c>
      <c r="H354" s="129">
        <f>'[2]Base Inversionistas 26'!M357/$N$1</f>
        <v>0</v>
      </c>
      <c r="I354" s="129">
        <f>'[2]Base Inversionistas 26'!N357/$N$1</f>
        <v>0</v>
      </c>
      <c r="J354" s="129">
        <f>'[2]Base Inversionistas 26'!O357/$N$1</f>
        <v>0</v>
      </c>
      <c r="K354" s="129">
        <f>'[2]Base Inversionistas 26'!P357/$N$1</f>
        <v>2</v>
      </c>
      <c r="L354" s="129">
        <f>'[2]Base Inversionistas 26'!Q357/$N$1</f>
        <v>0</v>
      </c>
    </row>
    <row r="355" spans="1:12">
      <c r="A355" s="16" t="s">
        <v>736</v>
      </c>
      <c r="B355" s="16"/>
      <c r="C355" s="16"/>
      <c r="D355" s="12" t="s">
        <v>729</v>
      </c>
      <c r="E355" s="129">
        <f>'[2]Base Inversionistas 26'!J358/$N$1</f>
        <v>0</v>
      </c>
      <c r="F355" s="129">
        <f>'[2]Base Inversionistas 26'!K358/$N$1</f>
        <v>0</v>
      </c>
      <c r="G355" s="129">
        <f>'[2]Base Inversionistas 26'!L358/$N$1</f>
        <v>0</v>
      </c>
      <c r="H355" s="129">
        <f>'[2]Base Inversionistas 26'!M358/$N$1</f>
        <v>0</v>
      </c>
      <c r="I355" s="129">
        <f>'[2]Base Inversionistas 26'!N358/$N$1</f>
        <v>0</v>
      </c>
      <c r="J355" s="129">
        <f>'[2]Base Inversionistas 26'!O358/$N$1</f>
        <v>0</v>
      </c>
      <c r="K355" s="129">
        <f>'[2]Base Inversionistas 26'!P358/$N$1</f>
        <v>1</v>
      </c>
      <c r="L355" s="129">
        <f>'[2]Base Inversionistas 26'!Q358/$N$1</f>
        <v>1</v>
      </c>
    </row>
    <row r="356" spans="1:12">
      <c r="A356" s="16" t="s">
        <v>737</v>
      </c>
      <c r="B356" s="16"/>
      <c r="C356" s="16"/>
      <c r="D356" s="12" t="s">
        <v>729</v>
      </c>
      <c r="E356" s="129">
        <f>'[2]Base Inversionistas 26'!J359/$N$1</f>
        <v>0</v>
      </c>
      <c r="F356" s="129">
        <f>'[2]Base Inversionistas 26'!K359/$N$1</f>
        <v>0</v>
      </c>
      <c r="G356" s="129">
        <f>'[2]Base Inversionistas 26'!L359/$N$1</f>
        <v>0</v>
      </c>
      <c r="H356" s="129">
        <f>'[2]Base Inversionistas 26'!M359/$N$1</f>
        <v>0</v>
      </c>
      <c r="I356" s="129">
        <f>'[2]Base Inversionistas 26'!N359/$N$1</f>
        <v>0</v>
      </c>
      <c r="J356" s="129">
        <f>'[2]Base Inversionistas 26'!O359/$N$1</f>
        <v>0</v>
      </c>
      <c r="K356" s="129">
        <f>'[2]Base Inversionistas 26'!P359/$N$1</f>
        <v>1</v>
      </c>
      <c r="L356" s="129">
        <f>'[2]Base Inversionistas 26'!Q359/$N$1</f>
        <v>0</v>
      </c>
    </row>
    <row r="357" spans="1:12">
      <c r="A357" s="16" t="s">
        <v>738</v>
      </c>
      <c r="B357" s="16"/>
      <c r="C357" s="16"/>
      <c r="D357" s="12" t="s">
        <v>729</v>
      </c>
      <c r="E357" s="129">
        <f>'[2]Base Inversionistas 26'!J360/$N$1</f>
        <v>0</v>
      </c>
      <c r="F357" s="129">
        <f>'[2]Base Inversionistas 26'!K360/$N$1</f>
        <v>0</v>
      </c>
      <c r="G357" s="129">
        <f>'[2]Base Inversionistas 26'!L360/$N$1</f>
        <v>0</v>
      </c>
      <c r="H357" s="129">
        <f>'[2]Base Inversionistas 26'!M360/$N$1</f>
        <v>0</v>
      </c>
      <c r="I357" s="129">
        <f>'[2]Base Inversionistas 26'!N360/$N$1</f>
        <v>0</v>
      </c>
      <c r="J357" s="129">
        <f>'[2]Base Inversionistas 26'!O360/$N$1</f>
        <v>0</v>
      </c>
      <c r="K357" s="129">
        <f>'[2]Base Inversionistas 26'!P360/$N$1</f>
        <v>0.05</v>
      </c>
      <c r="L357" s="129">
        <f>'[2]Base Inversionistas 26'!Q360/$N$1</f>
        <v>0</v>
      </c>
    </row>
    <row r="358" spans="1:12">
      <c r="A358" s="16" t="s">
        <v>739</v>
      </c>
      <c r="B358" s="16">
        <v>1104013538</v>
      </c>
      <c r="C358" s="16"/>
      <c r="D358" s="12" t="s">
        <v>729</v>
      </c>
      <c r="E358" s="129">
        <f>'[2]Base Inversionistas 26'!J361/$N$1</f>
        <v>0</v>
      </c>
      <c r="F358" s="129">
        <f>'[2]Base Inversionistas 26'!K361/$N$1</f>
        <v>0</v>
      </c>
      <c r="G358" s="129">
        <f>'[2]Base Inversionistas 26'!L361/$N$1</f>
        <v>0</v>
      </c>
      <c r="H358" s="129">
        <f>'[2]Base Inversionistas 26'!M361/$N$1</f>
        <v>0</v>
      </c>
      <c r="I358" s="129">
        <f>'[2]Base Inversionistas 26'!N361/$N$1</f>
        <v>0</v>
      </c>
      <c r="J358" s="129">
        <f>'[2]Base Inversionistas 26'!O361/$N$1</f>
        <v>0</v>
      </c>
      <c r="K358" s="129">
        <f>'[2]Base Inversionistas 26'!P361/$N$1</f>
        <v>0.5</v>
      </c>
      <c r="L358" s="129">
        <f>'[2]Base Inversionistas 26'!Q361/$N$1</f>
        <v>0</v>
      </c>
    </row>
    <row r="359" spans="1:12">
      <c r="A359" s="16" t="s">
        <v>740</v>
      </c>
      <c r="B359" s="16">
        <v>1143389598</v>
      </c>
      <c r="C359" s="16"/>
      <c r="D359" s="12" t="s">
        <v>257</v>
      </c>
      <c r="E359" s="129">
        <f>'[2]Base Inversionistas 26'!J362/$N$1</f>
        <v>0</v>
      </c>
      <c r="F359" s="129">
        <f>'[2]Base Inversionistas 26'!K362/$N$1</f>
        <v>0</v>
      </c>
      <c r="G359" s="129">
        <f>'[2]Base Inversionistas 26'!L362/$N$1</f>
        <v>0</v>
      </c>
      <c r="H359" s="129">
        <f>'[2]Base Inversionistas 26'!M362/$N$1</f>
        <v>0</v>
      </c>
      <c r="I359" s="129">
        <f>'[2]Base Inversionistas 26'!N362/$N$1</f>
        <v>0</v>
      </c>
      <c r="J359" s="129">
        <f>'[2]Base Inversionistas 26'!O362/$N$1</f>
        <v>0</v>
      </c>
      <c r="K359" s="129">
        <f>'[2]Base Inversionistas 26'!P362/$N$1</f>
        <v>1</v>
      </c>
      <c r="L359" s="129">
        <f>'[2]Base Inversionistas 26'!Q362/$N$1</f>
        <v>0</v>
      </c>
    </row>
    <row r="360" spans="1:12">
      <c r="A360" s="16" t="s">
        <v>741</v>
      </c>
      <c r="B360" s="16">
        <v>32832250</v>
      </c>
      <c r="C360" s="16">
        <v>3012865606</v>
      </c>
      <c r="D360" s="12" t="s">
        <v>345</v>
      </c>
      <c r="E360" s="129">
        <f>'[2]Base Inversionistas 26'!J363/$N$1</f>
        <v>0</v>
      </c>
      <c r="F360" s="129">
        <f>'[2]Base Inversionistas 26'!K363/$N$1</f>
        <v>0</v>
      </c>
      <c r="G360" s="129">
        <f>'[2]Base Inversionistas 26'!L363/$N$1</f>
        <v>0</v>
      </c>
      <c r="H360" s="129">
        <f>'[2]Base Inversionistas 26'!M363/$N$1</f>
        <v>0</v>
      </c>
      <c r="I360" s="129">
        <f>'[2]Base Inversionistas 26'!N363/$N$1</f>
        <v>0</v>
      </c>
      <c r="J360" s="129">
        <f>'[2]Base Inversionistas 26'!O363/$N$1</f>
        <v>0</v>
      </c>
      <c r="K360" s="129">
        <f>'[2]Base Inversionistas 26'!P363/$N$1</f>
        <v>1</v>
      </c>
      <c r="L360" s="129">
        <f>'[2]Base Inversionistas 26'!Q363/$N$1</f>
        <v>0</v>
      </c>
    </row>
    <row r="361" spans="1:12">
      <c r="A361" s="16" t="s">
        <v>745</v>
      </c>
      <c r="B361" s="16"/>
      <c r="C361" s="16"/>
      <c r="D361" s="12" t="s">
        <v>646</v>
      </c>
      <c r="E361" s="129">
        <f>'[2]Base Inversionistas 26'!J364/$N$1</f>
        <v>0</v>
      </c>
      <c r="F361" s="129">
        <f>'[2]Base Inversionistas 26'!K364/$N$1</f>
        <v>0</v>
      </c>
      <c r="G361" s="129">
        <f>'[2]Base Inversionistas 26'!L364/$N$1</f>
        <v>0</v>
      </c>
      <c r="H361" s="129">
        <f>'[2]Base Inversionistas 26'!M364/$N$1</f>
        <v>0</v>
      </c>
      <c r="I361" s="129">
        <f>'[2]Base Inversionistas 26'!N364/$N$1</f>
        <v>0</v>
      </c>
      <c r="J361" s="129">
        <f>'[2]Base Inversionistas 26'!O364/$N$1</f>
        <v>0</v>
      </c>
      <c r="K361" s="129">
        <f>'[2]Base Inversionistas 26'!P364/$N$1</f>
        <v>0.5</v>
      </c>
      <c r="L361" s="129">
        <f>'[2]Base Inversionistas 26'!Q364/$N$1</f>
        <v>0</v>
      </c>
    </row>
    <row r="362" spans="1:12">
      <c r="A362" s="16" t="s">
        <v>746</v>
      </c>
      <c r="B362" s="16"/>
      <c r="C362" s="16"/>
      <c r="D362" s="12" t="s">
        <v>729</v>
      </c>
      <c r="E362" s="129">
        <f>'[2]Base Inversionistas 26'!J365/$N$1</f>
        <v>0</v>
      </c>
      <c r="F362" s="129">
        <f>'[2]Base Inversionistas 26'!K365/$N$1</f>
        <v>0</v>
      </c>
      <c r="G362" s="129">
        <f>'[2]Base Inversionistas 26'!L365/$N$1</f>
        <v>0</v>
      </c>
      <c r="H362" s="129">
        <f>'[2]Base Inversionistas 26'!M365/$N$1</f>
        <v>0</v>
      </c>
      <c r="I362" s="129">
        <f>'[2]Base Inversionistas 26'!N365/$N$1</f>
        <v>0</v>
      </c>
      <c r="J362" s="129">
        <f>'[2]Base Inversionistas 26'!O365/$N$1</f>
        <v>0</v>
      </c>
      <c r="K362" s="129">
        <f>'[2]Base Inversionistas 26'!P365/$N$1</f>
        <v>17.137499999999999</v>
      </c>
      <c r="L362" s="129">
        <f>'[2]Base Inversionistas 26'!Q365/$N$1</f>
        <v>0</v>
      </c>
    </row>
    <row r="363" spans="1:12">
      <c r="A363" s="16" t="s">
        <v>747</v>
      </c>
      <c r="B363" s="16"/>
      <c r="C363" s="16"/>
      <c r="D363" s="12" t="s">
        <v>358</v>
      </c>
      <c r="E363" s="129">
        <f>'[2]Base Inversionistas 26'!J366/$N$1</f>
        <v>0</v>
      </c>
      <c r="F363" s="129">
        <f>'[2]Base Inversionistas 26'!K366/$N$1</f>
        <v>0</v>
      </c>
      <c r="G363" s="129">
        <f>'[2]Base Inversionistas 26'!L366/$N$1</f>
        <v>0</v>
      </c>
      <c r="H363" s="129">
        <f>'[2]Base Inversionistas 26'!M366/$N$1</f>
        <v>0</v>
      </c>
      <c r="I363" s="129">
        <f>'[2]Base Inversionistas 26'!N366/$N$1</f>
        <v>0</v>
      </c>
      <c r="J363" s="129">
        <f>'[2]Base Inversionistas 26'!O366/$N$1</f>
        <v>0</v>
      </c>
      <c r="K363" s="129">
        <f>'[2]Base Inversionistas 26'!P366/$N$1</f>
        <v>1</v>
      </c>
      <c r="L363" s="129">
        <f>'[2]Base Inversionistas 26'!Q366/$N$1</f>
        <v>0</v>
      </c>
    </row>
    <row r="364" spans="1:12">
      <c r="A364" s="16" t="s">
        <v>748</v>
      </c>
      <c r="B364" s="16"/>
      <c r="C364" s="16"/>
      <c r="D364" s="12" t="s">
        <v>358</v>
      </c>
      <c r="E364" s="129">
        <f>'[2]Base Inversionistas 26'!J367/$N$1</f>
        <v>0</v>
      </c>
      <c r="F364" s="129">
        <f>'[2]Base Inversionistas 26'!K367/$N$1</f>
        <v>0</v>
      </c>
      <c r="G364" s="129">
        <f>'[2]Base Inversionistas 26'!L367/$N$1</f>
        <v>0</v>
      </c>
      <c r="H364" s="129">
        <f>'[2]Base Inversionistas 26'!M367/$N$1</f>
        <v>0</v>
      </c>
      <c r="I364" s="129">
        <f>'[2]Base Inversionistas 26'!N367/$N$1</f>
        <v>0</v>
      </c>
      <c r="J364" s="129">
        <f>'[2]Base Inversionistas 26'!O367/$N$1</f>
        <v>0</v>
      </c>
      <c r="K364" s="129">
        <f>'[2]Base Inversionistas 26'!P367/$N$1</f>
        <v>1</v>
      </c>
      <c r="L364" s="129">
        <f>'[2]Base Inversionistas 26'!Q367/$N$1</f>
        <v>0</v>
      </c>
    </row>
    <row r="365" spans="1:12">
      <c r="A365" s="16" t="s">
        <v>749</v>
      </c>
      <c r="B365" s="16"/>
      <c r="C365" s="16"/>
      <c r="D365" s="12" t="s">
        <v>346</v>
      </c>
      <c r="E365" s="129">
        <f>'[2]Base Inversionistas 26'!J368/$N$1</f>
        <v>0</v>
      </c>
      <c r="F365" s="129">
        <f>'[2]Base Inversionistas 26'!K368/$N$1</f>
        <v>0</v>
      </c>
      <c r="G365" s="129">
        <f>'[2]Base Inversionistas 26'!L368/$N$1</f>
        <v>0</v>
      </c>
      <c r="H365" s="129">
        <f>'[2]Base Inversionistas 26'!M368/$N$1</f>
        <v>0</v>
      </c>
      <c r="I365" s="129">
        <f>'[2]Base Inversionistas 26'!N368/$N$1</f>
        <v>0</v>
      </c>
      <c r="J365" s="129">
        <f>'[2]Base Inversionistas 26'!O368/$N$1</f>
        <v>0</v>
      </c>
      <c r="K365" s="129">
        <f>'[2]Base Inversionistas 26'!P368/$N$1</f>
        <v>1</v>
      </c>
      <c r="L365" s="129">
        <f>'[2]Base Inversionistas 26'!Q368/$N$1</f>
        <v>0</v>
      </c>
    </row>
    <row r="366" spans="1:12">
      <c r="A366" s="16" t="s">
        <v>756</v>
      </c>
      <c r="B366" s="16"/>
      <c r="C366" s="16"/>
      <c r="D366" s="12" t="s">
        <v>257</v>
      </c>
      <c r="E366" s="129">
        <f>'[2]Base Inversionistas 26'!J369/$N$1</f>
        <v>0</v>
      </c>
      <c r="F366" s="129">
        <f>'[2]Base Inversionistas 26'!K369/$N$1</f>
        <v>0</v>
      </c>
      <c r="G366" s="129">
        <f>'[2]Base Inversionistas 26'!L369/$N$1</f>
        <v>0</v>
      </c>
      <c r="H366" s="129">
        <f>'[2]Base Inversionistas 26'!M369/$N$1</f>
        <v>0</v>
      </c>
      <c r="I366" s="129">
        <f>'[2]Base Inversionistas 26'!N369/$N$1</f>
        <v>0</v>
      </c>
      <c r="J366" s="129">
        <f>'[2]Base Inversionistas 26'!O369/$N$1</f>
        <v>0</v>
      </c>
      <c r="K366" s="129">
        <f>'[2]Base Inversionistas 26'!P369/$N$1</f>
        <v>0</v>
      </c>
      <c r="L366" s="129">
        <f>'[2]Base Inversionistas 26'!Q369/$N$1</f>
        <v>1</v>
      </c>
    </row>
    <row r="367" spans="1:12">
      <c r="A367" s="16" t="s">
        <v>757</v>
      </c>
      <c r="B367" s="16">
        <v>88279891</v>
      </c>
      <c r="C367" s="16">
        <v>3118685433</v>
      </c>
      <c r="D367" s="12" t="s">
        <v>344</v>
      </c>
      <c r="E367" s="129">
        <f>'[2]Base Inversionistas 26'!J370/$N$1</f>
        <v>0</v>
      </c>
      <c r="F367" s="129">
        <f>'[2]Base Inversionistas 26'!K370/$N$1</f>
        <v>0</v>
      </c>
      <c r="G367" s="129">
        <f>'[2]Base Inversionistas 26'!L370/$N$1</f>
        <v>0</v>
      </c>
      <c r="H367" s="129">
        <f>'[2]Base Inversionistas 26'!M370/$N$1</f>
        <v>0</v>
      </c>
      <c r="I367" s="129">
        <f>'[2]Base Inversionistas 26'!N370/$N$1</f>
        <v>0</v>
      </c>
      <c r="J367" s="129">
        <f>'[2]Base Inversionistas 26'!O370/$N$1</f>
        <v>0</v>
      </c>
      <c r="K367" s="129">
        <f>'[2]Base Inversionistas 26'!P370/$N$1</f>
        <v>0</v>
      </c>
      <c r="L367" s="129">
        <f>'[2]Base Inversionistas 26'!Q370/$N$1</f>
        <v>1</v>
      </c>
    </row>
    <row r="368" spans="1:12">
      <c r="A368" s="16" t="s">
        <v>758</v>
      </c>
      <c r="B368" s="16">
        <v>1091669384</v>
      </c>
      <c r="C368" s="16">
        <v>3147117123</v>
      </c>
      <c r="D368" s="12" t="s">
        <v>344</v>
      </c>
      <c r="E368" s="129">
        <f>'[2]Base Inversionistas 26'!J371/$N$1</f>
        <v>0</v>
      </c>
      <c r="F368" s="129">
        <f>'[2]Base Inversionistas 26'!K371/$N$1</f>
        <v>0</v>
      </c>
      <c r="G368" s="129">
        <f>'[2]Base Inversionistas 26'!L371/$N$1</f>
        <v>0</v>
      </c>
      <c r="H368" s="129">
        <f>'[2]Base Inversionistas 26'!M371/$N$1</f>
        <v>0</v>
      </c>
      <c r="I368" s="129">
        <f>'[2]Base Inversionistas 26'!N371/$N$1</f>
        <v>0</v>
      </c>
      <c r="J368" s="129">
        <f>'[2]Base Inversionistas 26'!O371/$N$1</f>
        <v>0</v>
      </c>
      <c r="K368" s="129">
        <f>'[2]Base Inversionistas 26'!P371/$N$1</f>
        <v>0</v>
      </c>
      <c r="L368" s="129">
        <f>'[2]Base Inversionistas 26'!Q371/$N$1</f>
        <v>1</v>
      </c>
    </row>
    <row r="369" spans="1:12">
      <c r="A369" s="16" t="s">
        <v>759</v>
      </c>
      <c r="B369" s="16">
        <v>1092174014</v>
      </c>
      <c r="C369" s="16">
        <v>3219849926</v>
      </c>
      <c r="D369" s="12" t="s">
        <v>344</v>
      </c>
      <c r="E369" s="129">
        <f>'[2]Base Inversionistas 26'!J372/$N$1</f>
        <v>0</v>
      </c>
      <c r="F369" s="129">
        <f>'[2]Base Inversionistas 26'!K372/$N$1</f>
        <v>0</v>
      </c>
      <c r="G369" s="129">
        <f>'[2]Base Inversionistas 26'!L372/$N$1</f>
        <v>0</v>
      </c>
      <c r="H369" s="129">
        <f>'[2]Base Inversionistas 26'!M372/$N$1</f>
        <v>0</v>
      </c>
      <c r="I369" s="129">
        <f>'[2]Base Inversionistas 26'!N372/$N$1</f>
        <v>0</v>
      </c>
      <c r="J369" s="129">
        <f>'[2]Base Inversionistas 26'!O372/$N$1</f>
        <v>0</v>
      </c>
      <c r="K369" s="129">
        <f>'[2]Base Inversionistas 26'!P372/$N$1</f>
        <v>0</v>
      </c>
      <c r="L369" s="129">
        <f>'[2]Base Inversionistas 26'!Q372/$N$1</f>
        <v>1</v>
      </c>
    </row>
    <row r="370" spans="1:12">
      <c r="A370" s="16" t="s">
        <v>760</v>
      </c>
      <c r="B370" s="16"/>
      <c r="C370" s="16"/>
      <c r="D370" s="12" t="s">
        <v>729</v>
      </c>
      <c r="E370" s="129">
        <f>'[2]Base Inversionistas 26'!J373/$N$1</f>
        <v>0</v>
      </c>
      <c r="F370" s="129">
        <f>'[2]Base Inversionistas 26'!K373/$N$1</f>
        <v>0</v>
      </c>
      <c r="G370" s="129">
        <f>'[2]Base Inversionistas 26'!L373/$N$1</f>
        <v>0</v>
      </c>
      <c r="H370" s="129">
        <f>'[2]Base Inversionistas 26'!M373/$N$1</f>
        <v>0</v>
      </c>
      <c r="I370" s="129">
        <f>'[2]Base Inversionistas 26'!N373/$N$1</f>
        <v>0</v>
      </c>
      <c r="J370" s="129">
        <f>'[2]Base Inversionistas 26'!O373/$N$1</f>
        <v>0</v>
      </c>
      <c r="K370" s="129">
        <f>'[2]Base Inversionistas 26'!P373/$N$1</f>
        <v>27.704160000000002</v>
      </c>
      <c r="L370" s="129">
        <f>'[2]Base Inversionistas 26'!Q373/$N$1</f>
        <v>0</v>
      </c>
    </row>
    <row r="371" spans="1:12">
      <c r="A371" s="16" t="s">
        <v>766</v>
      </c>
      <c r="B371" s="16">
        <v>1030565501</v>
      </c>
      <c r="C371" s="16"/>
      <c r="D371" s="12" t="s">
        <v>257</v>
      </c>
      <c r="E371" s="129">
        <f>'[2]Base Inversionistas 26'!J374/$N$1</f>
        <v>0</v>
      </c>
      <c r="F371" s="129">
        <f>'[2]Base Inversionistas 26'!K374/$N$1</f>
        <v>0</v>
      </c>
      <c r="G371" s="129">
        <f>'[2]Base Inversionistas 26'!L374/$N$1</f>
        <v>0</v>
      </c>
      <c r="H371" s="129">
        <f>'[2]Base Inversionistas 26'!M374/$N$1</f>
        <v>0</v>
      </c>
      <c r="I371" s="129">
        <f>'[2]Base Inversionistas 26'!N374/$N$1</f>
        <v>0</v>
      </c>
      <c r="J371" s="129">
        <f>'[2]Base Inversionistas 26'!O374/$N$1</f>
        <v>0</v>
      </c>
      <c r="K371" s="129">
        <f>'[2]Base Inversionistas 26'!P374/$N$1</f>
        <v>0</v>
      </c>
      <c r="L371" s="129">
        <f>'[2]Base Inversionistas 26'!Q374/$N$1</f>
        <v>15</v>
      </c>
    </row>
    <row r="372" spans="1:12">
      <c r="A372" s="16" t="s">
        <v>767</v>
      </c>
      <c r="B372" s="16">
        <v>1057017303</v>
      </c>
      <c r="C372" s="16"/>
      <c r="D372" s="12" t="s">
        <v>479</v>
      </c>
      <c r="E372" s="129">
        <f>'[2]Base Inversionistas 26'!J375/$N$1</f>
        <v>0</v>
      </c>
      <c r="F372" s="129">
        <f>'[2]Base Inversionistas 26'!K375/$N$1</f>
        <v>0</v>
      </c>
      <c r="G372" s="129">
        <f>'[2]Base Inversionistas 26'!L375/$N$1</f>
        <v>0</v>
      </c>
      <c r="H372" s="129">
        <f>'[2]Base Inversionistas 26'!M375/$N$1</f>
        <v>0</v>
      </c>
      <c r="I372" s="129">
        <f>'[2]Base Inversionistas 26'!N375/$N$1</f>
        <v>0</v>
      </c>
      <c r="J372" s="129">
        <f>'[2]Base Inversionistas 26'!O375/$N$1</f>
        <v>0</v>
      </c>
      <c r="K372" s="129">
        <f>'[2]Base Inversionistas 26'!P375/$N$1</f>
        <v>0</v>
      </c>
      <c r="L372" s="129">
        <f>'[2]Base Inversionistas 26'!Q375/$N$1</f>
        <v>0.5</v>
      </c>
    </row>
    <row r="373" spans="1:12">
      <c r="A373" s="16" t="s">
        <v>768</v>
      </c>
      <c r="B373" s="16">
        <v>80295901</v>
      </c>
      <c r="C373" s="16"/>
      <c r="D373" s="12" t="s">
        <v>479</v>
      </c>
      <c r="E373" s="129">
        <f>'[2]Base Inversionistas 26'!J376/$N$1</f>
        <v>0</v>
      </c>
      <c r="F373" s="129">
        <f>'[2]Base Inversionistas 26'!K376/$N$1</f>
        <v>0</v>
      </c>
      <c r="G373" s="129">
        <f>'[2]Base Inversionistas 26'!L376/$N$1</f>
        <v>0</v>
      </c>
      <c r="H373" s="129">
        <f>'[2]Base Inversionistas 26'!M376/$N$1</f>
        <v>0</v>
      </c>
      <c r="I373" s="129">
        <f>'[2]Base Inversionistas 26'!N376/$N$1</f>
        <v>0</v>
      </c>
      <c r="J373" s="129">
        <f>'[2]Base Inversionistas 26'!O376/$N$1</f>
        <v>0</v>
      </c>
      <c r="K373" s="129">
        <f>'[2]Base Inversionistas 26'!P376/$N$1</f>
        <v>0</v>
      </c>
      <c r="L373" s="129">
        <f>'[2]Base Inversionistas 26'!Q376/$N$1</f>
        <v>0.5</v>
      </c>
    </row>
    <row r="374" spans="1:12">
      <c r="A374" s="16" t="s">
        <v>769</v>
      </c>
      <c r="B374" s="16">
        <v>79168468</v>
      </c>
      <c r="C374" s="16"/>
      <c r="D374" s="12" t="s">
        <v>479</v>
      </c>
      <c r="E374" s="129">
        <f>'[2]Base Inversionistas 26'!J377/$N$1</f>
        <v>0</v>
      </c>
      <c r="F374" s="129">
        <f>'[2]Base Inversionistas 26'!K377/$N$1</f>
        <v>0</v>
      </c>
      <c r="G374" s="129">
        <f>'[2]Base Inversionistas 26'!L377/$N$1</f>
        <v>0</v>
      </c>
      <c r="H374" s="129">
        <f>'[2]Base Inversionistas 26'!M377/$N$1</f>
        <v>0</v>
      </c>
      <c r="I374" s="129">
        <f>'[2]Base Inversionistas 26'!N377/$N$1</f>
        <v>0</v>
      </c>
      <c r="J374" s="129">
        <f>'[2]Base Inversionistas 26'!O377/$N$1</f>
        <v>0</v>
      </c>
      <c r="K374" s="129">
        <f>'[2]Base Inversionistas 26'!P377/$N$1</f>
        <v>0</v>
      </c>
      <c r="L374" s="129">
        <f>'[2]Base Inversionistas 26'!Q377/$N$1</f>
        <v>1</v>
      </c>
    </row>
    <row r="375" spans="1:12">
      <c r="A375" s="16" t="s">
        <v>770</v>
      </c>
      <c r="B375" s="16">
        <v>30237011</v>
      </c>
      <c r="C375" s="16"/>
      <c r="D375" s="12" t="s">
        <v>257</v>
      </c>
      <c r="E375" s="129">
        <f>'[2]Base Inversionistas 26'!J378/$N$1</f>
        <v>0</v>
      </c>
      <c r="F375" s="129">
        <f>'[2]Base Inversionistas 26'!K378/$N$1</f>
        <v>0</v>
      </c>
      <c r="G375" s="129">
        <f>'[2]Base Inversionistas 26'!L378/$N$1</f>
        <v>0</v>
      </c>
      <c r="H375" s="129">
        <f>'[2]Base Inversionistas 26'!M378/$N$1</f>
        <v>0</v>
      </c>
      <c r="I375" s="129">
        <f>'[2]Base Inversionistas 26'!N378/$N$1</f>
        <v>0</v>
      </c>
      <c r="J375" s="129">
        <f>'[2]Base Inversionistas 26'!O378/$N$1</f>
        <v>0</v>
      </c>
      <c r="K375" s="129">
        <f>'[2]Base Inversionistas 26'!P378/$N$1</f>
        <v>0</v>
      </c>
      <c r="L375" s="129">
        <f>'[2]Base Inversionistas 26'!Q378/$N$1</f>
        <v>1</v>
      </c>
    </row>
    <row r="376" spans="1:12">
      <c r="A376" s="16" t="s">
        <v>771</v>
      </c>
      <c r="B376" s="16">
        <v>1007539660</v>
      </c>
      <c r="C376" s="16"/>
      <c r="D376" s="12" t="s">
        <v>772</v>
      </c>
      <c r="E376" s="129">
        <f>'[2]Base Inversionistas 26'!J379/$N$1</f>
        <v>0</v>
      </c>
      <c r="F376" s="129">
        <f>'[2]Base Inversionistas 26'!K379/$N$1</f>
        <v>0</v>
      </c>
      <c r="G376" s="129">
        <f>'[2]Base Inversionistas 26'!L379/$N$1</f>
        <v>0</v>
      </c>
      <c r="H376" s="129">
        <f>'[2]Base Inversionistas 26'!M379/$N$1</f>
        <v>0</v>
      </c>
      <c r="I376" s="129">
        <f>'[2]Base Inversionistas 26'!N379/$N$1</f>
        <v>0</v>
      </c>
      <c r="J376" s="129">
        <f>'[2]Base Inversionistas 26'!O379/$N$1</f>
        <v>0</v>
      </c>
      <c r="K376" s="129">
        <f>'[2]Base Inversionistas 26'!P379/$N$1</f>
        <v>0</v>
      </c>
      <c r="L376" s="129">
        <f>'[2]Base Inversionistas 26'!Q379/$N$1</f>
        <v>1</v>
      </c>
    </row>
  </sheetData>
  <autoFilter ref="A1:L376" xr:uid="{12A44884-D319-4B9C-B23B-B1FBCF4306B4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Base Inversionistas</vt:lpstr>
      <vt:lpstr>Gastos</vt:lpstr>
      <vt:lpstr>Resumen 2025</vt:lpstr>
      <vt:lpstr>Base Inversionistas 26</vt:lpstr>
      <vt:lpstr>Gastos 26</vt:lpstr>
      <vt:lpstr>Resumen 2026</vt:lpstr>
      <vt:lpstr>XLOCALIDAD</vt:lpstr>
      <vt:lpstr>Nuevos IDR Cepev</vt:lpstr>
      <vt:lpstr>Central_IDR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 EN EL DISTRITO CAPITAL</dc:creator>
  <cp:lastModifiedBy>User</cp:lastModifiedBy>
  <cp:lastPrinted>2025-06-06T14:19:24Z</cp:lastPrinted>
  <dcterms:created xsi:type="dcterms:W3CDTF">2015-06-05T18:19:34Z</dcterms:created>
  <dcterms:modified xsi:type="dcterms:W3CDTF">2026-09-12T20:53:23Z</dcterms:modified>
</cp:coreProperties>
</file>