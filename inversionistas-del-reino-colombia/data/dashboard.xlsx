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5C6AA564-5593-4E21-8C75-66EE1999B8C0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26'!$A$4:$Y$371</definedName>
    <definedName name="_xlnm._FilterDatabase" localSheetId="1" hidden="1">'Gastos 26'!$A$4:$T$53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4" l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X370" i="3"/>
  <c r="W370" i="3"/>
  <c r="Y370" i="3" s="1"/>
  <c r="V370" i="3"/>
  <c r="Y369" i="3"/>
  <c r="X369" i="3"/>
  <c r="W369" i="3"/>
  <c r="V369" i="3"/>
  <c r="X368" i="3"/>
  <c r="W368" i="3"/>
  <c r="Y368" i="3" s="1"/>
  <c r="V368" i="3"/>
  <c r="Y367" i="3"/>
  <c r="X367" i="3"/>
  <c r="W367" i="3"/>
  <c r="V367" i="3"/>
  <c r="X366" i="3"/>
  <c r="W366" i="3"/>
  <c r="Y366" i="3" s="1"/>
  <c r="V366" i="3"/>
  <c r="Y365" i="3"/>
  <c r="X365" i="3"/>
  <c r="W365" i="3"/>
  <c r="V365" i="3"/>
  <c r="X364" i="3"/>
  <c r="W364" i="3"/>
  <c r="Y364" i="3" s="1"/>
  <c r="V364" i="3"/>
  <c r="Y363" i="3"/>
  <c r="X363" i="3"/>
  <c r="W363" i="3"/>
  <c r="V363" i="3"/>
  <c r="X362" i="3"/>
  <c r="W362" i="3"/>
  <c r="Y362" i="3" s="1"/>
  <c r="V362" i="3"/>
  <c r="Y361" i="3"/>
  <c r="X361" i="3"/>
  <c r="W361" i="3"/>
  <c r="V361" i="3"/>
  <c r="X360" i="3"/>
  <c r="W360" i="3"/>
  <c r="Y360" i="3" s="1"/>
  <c r="V360" i="3"/>
  <c r="Y359" i="3"/>
  <c r="X359" i="3"/>
  <c r="W359" i="3"/>
  <c r="V359" i="3"/>
  <c r="X358" i="3"/>
  <c r="W358" i="3"/>
  <c r="Y358" i="3" s="1"/>
  <c r="V358" i="3"/>
  <c r="Y357" i="3"/>
  <c r="X357" i="3"/>
  <c r="W357" i="3"/>
  <c r="V357" i="3"/>
  <c r="X356" i="3"/>
  <c r="W356" i="3"/>
  <c r="Y356" i="3" s="1"/>
  <c r="V356" i="3"/>
  <c r="Y355" i="3"/>
  <c r="X355" i="3"/>
  <c r="W355" i="3"/>
  <c r="V355" i="3"/>
  <c r="X354" i="3"/>
  <c r="W354" i="3"/>
  <c r="Y354" i="3" s="1"/>
  <c r="V354" i="3"/>
  <c r="Y353" i="3"/>
  <c r="X353" i="3"/>
  <c r="W353" i="3"/>
  <c r="V353" i="3"/>
  <c r="X352" i="3"/>
  <c r="W352" i="3"/>
  <c r="Y352" i="3" s="1"/>
  <c r="V352" i="3"/>
  <c r="Y351" i="3"/>
  <c r="X351" i="3"/>
  <c r="W351" i="3"/>
  <c r="V351" i="3"/>
  <c r="X350" i="3"/>
  <c r="W350" i="3"/>
  <c r="Y350" i="3" s="1"/>
  <c r="V350" i="3"/>
  <c r="Y349" i="3"/>
  <c r="X349" i="3"/>
  <c r="W349" i="3"/>
  <c r="V349" i="3"/>
  <c r="X348" i="3"/>
  <c r="W348" i="3"/>
  <c r="Y348" i="3" s="1"/>
  <c r="V348" i="3"/>
  <c r="Y347" i="3"/>
  <c r="X347" i="3"/>
  <c r="W347" i="3"/>
  <c r="V347" i="3"/>
  <c r="X346" i="3"/>
  <c r="W346" i="3"/>
  <c r="Y346" i="3" s="1"/>
  <c r="V346" i="3"/>
  <c r="Y345" i="3"/>
  <c r="X345" i="3"/>
  <c r="W345" i="3"/>
  <c r="V345" i="3"/>
  <c r="X344" i="3"/>
  <c r="W344" i="3"/>
  <c r="Y344" i="3" s="1"/>
  <c r="V344" i="3"/>
  <c r="Y343" i="3"/>
  <c r="X343" i="3"/>
  <c r="W343" i="3"/>
  <c r="V343" i="3"/>
  <c r="X342" i="3"/>
  <c r="W342" i="3"/>
  <c r="Y342" i="3" s="1"/>
  <c r="V342" i="3"/>
  <c r="Y341" i="3"/>
  <c r="X341" i="3"/>
  <c r="W341" i="3"/>
  <c r="V341" i="3"/>
  <c r="X340" i="3"/>
  <c r="W340" i="3"/>
  <c r="Y340" i="3" s="1"/>
  <c r="V340" i="3"/>
  <c r="Y339" i="3"/>
  <c r="X339" i="3"/>
  <c r="W339" i="3"/>
  <c r="V339" i="3"/>
  <c r="X338" i="3"/>
  <c r="W338" i="3"/>
  <c r="Y338" i="3" s="1"/>
  <c r="V338" i="3"/>
  <c r="Y337" i="3"/>
  <c r="X337" i="3"/>
  <c r="W337" i="3"/>
  <c r="V337" i="3"/>
  <c r="X336" i="3"/>
  <c r="W336" i="3"/>
  <c r="Y336" i="3" s="1"/>
  <c r="V336" i="3"/>
  <c r="Y335" i="3"/>
  <c r="X335" i="3"/>
  <c r="W335" i="3"/>
  <c r="V335" i="3"/>
  <c r="X334" i="3"/>
  <c r="W334" i="3"/>
  <c r="Y334" i="3" s="1"/>
  <c r="V334" i="3"/>
  <c r="Y333" i="3"/>
  <c r="X333" i="3"/>
  <c r="W333" i="3"/>
  <c r="V333" i="3"/>
  <c r="X332" i="3"/>
  <c r="W332" i="3"/>
  <c r="Y332" i="3" s="1"/>
  <c r="V332" i="3"/>
  <c r="Y331" i="3"/>
  <c r="X331" i="3"/>
  <c r="W331" i="3"/>
  <c r="V331" i="3"/>
  <c r="X330" i="3"/>
  <c r="W330" i="3"/>
  <c r="Y330" i="3" s="1"/>
  <c r="V330" i="3"/>
  <c r="Y329" i="3"/>
  <c r="X329" i="3"/>
  <c r="W329" i="3"/>
  <c r="V329" i="3"/>
  <c r="X328" i="3"/>
  <c r="W328" i="3"/>
  <c r="Y328" i="3" s="1"/>
  <c r="V328" i="3"/>
  <c r="Y327" i="3"/>
  <c r="X327" i="3"/>
  <c r="W327" i="3"/>
  <c r="V327" i="3"/>
  <c r="X326" i="3"/>
  <c r="W326" i="3"/>
  <c r="Y326" i="3" s="1"/>
  <c r="V326" i="3"/>
  <c r="Y325" i="3"/>
  <c r="X325" i="3"/>
  <c r="W325" i="3"/>
  <c r="V325" i="3"/>
  <c r="X324" i="3"/>
  <c r="W324" i="3"/>
  <c r="Y324" i="3" s="1"/>
  <c r="V324" i="3"/>
  <c r="Y323" i="3"/>
  <c r="X323" i="3"/>
  <c r="W323" i="3"/>
  <c r="V323" i="3"/>
  <c r="X322" i="3"/>
  <c r="W322" i="3"/>
  <c r="Y322" i="3" s="1"/>
  <c r="V322" i="3"/>
  <c r="Y321" i="3"/>
  <c r="X321" i="3"/>
  <c r="W321" i="3"/>
  <c r="V321" i="3"/>
  <c r="X320" i="3"/>
  <c r="W320" i="3"/>
  <c r="Y320" i="3" s="1"/>
  <c r="V320" i="3"/>
  <c r="Y319" i="3"/>
  <c r="X319" i="3"/>
  <c r="W319" i="3"/>
  <c r="V319" i="3"/>
  <c r="X318" i="3"/>
  <c r="W318" i="3"/>
  <c r="Y318" i="3" s="1"/>
  <c r="V318" i="3"/>
  <c r="Y317" i="3"/>
  <c r="X317" i="3"/>
  <c r="W317" i="3"/>
  <c r="V317" i="3"/>
  <c r="X316" i="3"/>
  <c r="W316" i="3"/>
  <c r="Y316" i="3" s="1"/>
  <c r="V316" i="3"/>
  <c r="Y315" i="3"/>
  <c r="X315" i="3"/>
  <c r="W315" i="3"/>
  <c r="V315" i="3"/>
  <c r="X314" i="3"/>
  <c r="W314" i="3"/>
  <c r="Y314" i="3" s="1"/>
  <c r="V314" i="3"/>
  <c r="Y313" i="3"/>
  <c r="X313" i="3"/>
  <c r="W313" i="3"/>
  <c r="V313" i="3"/>
  <c r="X312" i="3"/>
  <c r="W312" i="3"/>
  <c r="Y312" i="3" s="1"/>
  <c r="V312" i="3"/>
  <c r="Y311" i="3"/>
  <c r="X311" i="3"/>
  <c r="W311" i="3"/>
  <c r="V311" i="3"/>
  <c r="X310" i="3"/>
  <c r="W310" i="3"/>
  <c r="Y310" i="3" s="1"/>
  <c r="V310" i="3"/>
  <c r="Y309" i="3"/>
  <c r="X309" i="3"/>
  <c r="W309" i="3"/>
  <c r="V309" i="3"/>
  <c r="X308" i="3"/>
  <c r="W308" i="3"/>
  <c r="Y308" i="3" s="1"/>
  <c r="V308" i="3"/>
  <c r="Y307" i="3"/>
  <c r="X307" i="3"/>
  <c r="W307" i="3"/>
  <c r="V307" i="3"/>
  <c r="X306" i="3"/>
  <c r="W306" i="3"/>
  <c r="Y306" i="3" s="1"/>
  <c r="V306" i="3"/>
  <c r="Y305" i="3"/>
  <c r="X305" i="3"/>
  <c r="W305" i="3"/>
  <c r="V305" i="3"/>
  <c r="X304" i="3"/>
  <c r="W304" i="3"/>
  <c r="Y304" i="3" s="1"/>
  <c r="V304" i="3"/>
  <c r="Y303" i="3"/>
  <c r="X303" i="3"/>
  <c r="W303" i="3"/>
  <c r="V303" i="3"/>
  <c r="X302" i="3"/>
  <c r="W302" i="3"/>
  <c r="Y302" i="3" s="1"/>
  <c r="V302" i="3"/>
  <c r="Y301" i="3"/>
  <c r="X301" i="3"/>
  <c r="W301" i="3"/>
  <c r="V301" i="3"/>
  <c r="X300" i="3"/>
  <c r="W300" i="3"/>
  <c r="Y300" i="3" s="1"/>
  <c r="V300" i="3"/>
  <c r="Y299" i="3"/>
  <c r="X299" i="3"/>
  <c r="W299" i="3"/>
  <c r="V299" i="3"/>
  <c r="X298" i="3"/>
  <c r="W298" i="3"/>
  <c r="Y298" i="3" s="1"/>
  <c r="V298" i="3"/>
  <c r="Y297" i="3"/>
  <c r="X297" i="3"/>
  <c r="W297" i="3"/>
  <c r="V297" i="3"/>
  <c r="X296" i="3"/>
  <c r="W296" i="3"/>
  <c r="Y296" i="3" s="1"/>
  <c r="V296" i="3"/>
  <c r="Y295" i="3"/>
  <c r="X295" i="3"/>
  <c r="W295" i="3"/>
  <c r="V295" i="3"/>
  <c r="X294" i="3"/>
  <c r="W294" i="3"/>
  <c r="Y294" i="3" s="1"/>
  <c r="V294" i="3"/>
  <c r="Y293" i="3"/>
  <c r="X293" i="3"/>
  <c r="W293" i="3"/>
  <c r="V293" i="3"/>
  <c r="X292" i="3"/>
  <c r="W292" i="3"/>
  <c r="Y292" i="3" s="1"/>
  <c r="V292" i="3"/>
  <c r="Y291" i="3"/>
  <c r="X291" i="3"/>
  <c r="W291" i="3"/>
  <c r="V291" i="3"/>
  <c r="X290" i="3"/>
  <c r="W290" i="3"/>
  <c r="Y290" i="3" s="1"/>
  <c r="V290" i="3"/>
  <c r="Y289" i="3"/>
  <c r="X289" i="3"/>
  <c r="W289" i="3"/>
  <c r="V289" i="3"/>
  <c r="X288" i="3"/>
  <c r="W288" i="3"/>
  <c r="Y288" i="3" s="1"/>
  <c r="V288" i="3"/>
  <c r="Y287" i="3"/>
  <c r="X287" i="3"/>
  <c r="W287" i="3"/>
  <c r="V287" i="3"/>
  <c r="X286" i="3"/>
  <c r="W286" i="3"/>
  <c r="Y286" i="3" s="1"/>
  <c r="V286" i="3"/>
  <c r="Y285" i="3"/>
  <c r="X285" i="3"/>
  <c r="W285" i="3"/>
  <c r="V285" i="3"/>
  <c r="X284" i="3"/>
  <c r="W284" i="3"/>
  <c r="Y284" i="3" s="1"/>
  <c r="V284" i="3"/>
  <c r="Y283" i="3"/>
  <c r="X283" i="3"/>
  <c r="W283" i="3"/>
  <c r="V283" i="3"/>
  <c r="X282" i="3"/>
  <c r="W282" i="3"/>
  <c r="Y282" i="3" s="1"/>
  <c r="V282" i="3"/>
  <c r="Y281" i="3"/>
  <c r="X281" i="3"/>
  <c r="W281" i="3"/>
  <c r="V281" i="3"/>
  <c r="X280" i="3"/>
  <c r="W280" i="3"/>
  <c r="Y280" i="3" s="1"/>
  <c r="V280" i="3"/>
  <c r="Y279" i="3"/>
  <c r="X279" i="3"/>
  <c r="W279" i="3"/>
  <c r="V279" i="3"/>
  <c r="X278" i="3"/>
  <c r="W278" i="3"/>
  <c r="Y278" i="3" s="1"/>
  <c r="V278" i="3"/>
  <c r="Y277" i="3"/>
  <c r="X277" i="3"/>
  <c r="W277" i="3"/>
  <c r="V277" i="3"/>
  <c r="X276" i="3"/>
  <c r="W276" i="3"/>
  <c r="Y276" i="3" s="1"/>
  <c r="V276" i="3"/>
  <c r="Y275" i="3"/>
  <c r="X275" i="3"/>
  <c r="W275" i="3"/>
  <c r="V275" i="3"/>
  <c r="X274" i="3"/>
  <c r="W274" i="3"/>
  <c r="Y274" i="3" s="1"/>
  <c r="V274" i="3"/>
  <c r="Y273" i="3"/>
  <c r="X273" i="3"/>
  <c r="W273" i="3"/>
  <c r="V273" i="3"/>
  <c r="X272" i="3"/>
  <c r="W272" i="3"/>
  <c r="Y272" i="3" s="1"/>
  <c r="V272" i="3"/>
  <c r="Y271" i="3"/>
  <c r="X271" i="3"/>
  <c r="V271" i="3"/>
  <c r="W271" i="3" s="1"/>
  <c r="Y270" i="3"/>
  <c r="X270" i="3"/>
  <c r="W270" i="3"/>
  <c r="V270" i="3"/>
  <c r="Y269" i="3"/>
  <c r="X269" i="3"/>
  <c r="W269" i="3"/>
  <c r="V269" i="3"/>
  <c r="Y268" i="3"/>
  <c r="X268" i="3"/>
  <c r="W268" i="3"/>
  <c r="V268" i="3"/>
  <c r="Y267" i="3"/>
  <c r="X267" i="3"/>
  <c r="W267" i="3"/>
  <c r="V267" i="3"/>
  <c r="Y266" i="3"/>
  <c r="X266" i="3"/>
  <c r="W266" i="3"/>
  <c r="V266" i="3"/>
  <c r="Y265" i="3"/>
  <c r="X265" i="3"/>
  <c r="W265" i="3"/>
  <c r="V265" i="3"/>
  <c r="Y264" i="3"/>
  <c r="X264" i="3"/>
  <c r="W264" i="3"/>
  <c r="V264" i="3"/>
  <c r="Y263" i="3"/>
  <c r="X263" i="3"/>
  <c r="W263" i="3"/>
  <c r="V263" i="3"/>
  <c r="Y262" i="3"/>
  <c r="X262" i="3"/>
  <c r="W262" i="3"/>
  <c r="V262" i="3"/>
  <c r="Y261" i="3"/>
  <c r="X261" i="3"/>
  <c r="W261" i="3"/>
  <c r="V261" i="3"/>
  <c r="Y260" i="3"/>
  <c r="X260" i="3"/>
  <c r="W260" i="3"/>
  <c r="V260" i="3"/>
  <c r="Y259" i="3"/>
  <c r="X259" i="3"/>
  <c r="W259" i="3"/>
  <c r="V259" i="3"/>
  <c r="Y258" i="3"/>
  <c r="X258" i="3"/>
  <c r="W258" i="3"/>
  <c r="V258" i="3"/>
  <c r="Y257" i="3"/>
  <c r="X257" i="3"/>
  <c r="W257" i="3"/>
  <c r="V257" i="3"/>
  <c r="Y256" i="3"/>
  <c r="X256" i="3"/>
  <c r="W256" i="3"/>
  <c r="V256" i="3"/>
  <c r="Y255" i="3"/>
  <c r="X255" i="3"/>
  <c r="W255" i="3"/>
  <c r="V255" i="3"/>
  <c r="Y254" i="3"/>
  <c r="X254" i="3"/>
  <c r="W254" i="3"/>
  <c r="V254" i="3"/>
  <c r="Y253" i="3"/>
  <c r="X253" i="3"/>
  <c r="W253" i="3"/>
  <c r="V253" i="3"/>
  <c r="Y252" i="3"/>
  <c r="X252" i="3"/>
  <c r="W252" i="3"/>
  <c r="V252" i="3"/>
  <c r="Y251" i="3"/>
  <c r="X251" i="3"/>
  <c r="W251" i="3"/>
  <c r="V251" i="3"/>
  <c r="Y250" i="3"/>
  <c r="X250" i="3"/>
  <c r="W250" i="3"/>
  <c r="V250" i="3"/>
  <c r="Y249" i="3"/>
  <c r="X249" i="3"/>
  <c r="W249" i="3"/>
  <c r="V249" i="3"/>
  <c r="Y248" i="3"/>
  <c r="X248" i="3"/>
  <c r="W248" i="3"/>
  <c r="V248" i="3"/>
  <c r="Y247" i="3"/>
  <c r="X247" i="3"/>
  <c r="W247" i="3"/>
  <c r="V247" i="3"/>
  <c r="Y246" i="3"/>
  <c r="X246" i="3"/>
  <c r="W246" i="3"/>
  <c r="V246" i="3"/>
  <c r="Y245" i="3"/>
  <c r="X245" i="3"/>
  <c r="W245" i="3"/>
  <c r="V245" i="3"/>
  <c r="Y244" i="3"/>
  <c r="X244" i="3"/>
  <c r="W244" i="3"/>
  <c r="V244" i="3"/>
  <c r="Y243" i="3"/>
  <c r="X243" i="3"/>
  <c r="W243" i="3"/>
  <c r="V243" i="3"/>
  <c r="Y242" i="3"/>
  <c r="X242" i="3"/>
  <c r="W242" i="3"/>
  <c r="V242" i="3"/>
  <c r="Y241" i="3"/>
  <c r="X241" i="3"/>
  <c r="W241" i="3"/>
  <c r="V241" i="3"/>
  <c r="Y240" i="3"/>
  <c r="X240" i="3"/>
  <c r="W240" i="3"/>
  <c r="V240" i="3"/>
  <c r="Y239" i="3"/>
  <c r="X239" i="3"/>
  <c r="W239" i="3"/>
  <c r="V239" i="3"/>
  <c r="Y238" i="3"/>
  <c r="X238" i="3"/>
  <c r="W238" i="3"/>
  <c r="V238" i="3"/>
  <c r="Y237" i="3"/>
  <c r="X237" i="3"/>
  <c r="W237" i="3"/>
  <c r="V237" i="3"/>
  <c r="Y236" i="3"/>
  <c r="X236" i="3"/>
  <c r="W236" i="3"/>
  <c r="V236" i="3"/>
  <c r="Y235" i="3"/>
  <c r="X235" i="3"/>
  <c r="V235" i="3"/>
  <c r="W235" i="3" s="1"/>
  <c r="X234" i="3"/>
  <c r="W234" i="3"/>
  <c r="Y234" i="3" s="1"/>
  <c r="V234" i="3"/>
  <c r="Y233" i="3"/>
  <c r="X233" i="3"/>
  <c r="V233" i="3"/>
  <c r="W233" i="3" s="1"/>
  <c r="Y232" i="3"/>
  <c r="X232" i="3"/>
  <c r="W232" i="3"/>
  <c r="V232" i="3"/>
  <c r="X231" i="3"/>
  <c r="V231" i="3"/>
  <c r="W231" i="3" s="1"/>
  <c r="Y231" i="3" s="1"/>
  <c r="Y230" i="3"/>
  <c r="X230" i="3"/>
  <c r="W230" i="3"/>
  <c r="V230" i="3"/>
  <c r="Y229" i="3"/>
  <c r="X229" i="3"/>
  <c r="V229" i="3"/>
  <c r="W229" i="3" s="1"/>
  <c r="Y228" i="3"/>
  <c r="X228" i="3"/>
  <c r="W228" i="3"/>
  <c r="V228" i="3"/>
  <c r="Y227" i="3"/>
  <c r="X227" i="3"/>
  <c r="V227" i="3"/>
  <c r="W227" i="3" s="1"/>
  <c r="Y226" i="3"/>
  <c r="X226" i="3"/>
  <c r="W226" i="3"/>
  <c r="V226" i="3"/>
  <c r="X225" i="3"/>
  <c r="V225" i="3"/>
  <c r="W225" i="3" s="1"/>
  <c r="Y225" i="3" s="1"/>
  <c r="X224" i="3"/>
  <c r="W224" i="3"/>
  <c r="Y224" i="3" s="1"/>
  <c r="V224" i="3"/>
  <c r="Y223" i="3"/>
  <c r="X223" i="3"/>
  <c r="V223" i="3"/>
  <c r="W223" i="3" s="1"/>
  <c r="Y222" i="3"/>
  <c r="X222" i="3"/>
  <c r="W222" i="3"/>
  <c r="V222" i="3"/>
  <c r="Y221" i="3"/>
  <c r="X221" i="3"/>
  <c r="V221" i="3"/>
  <c r="W221" i="3" s="1"/>
  <c r="Y220" i="3"/>
  <c r="X220" i="3"/>
  <c r="W220" i="3"/>
  <c r="V220" i="3"/>
  <c r="Y219" i="3"/>
  <c r="X219" i="3"/>
  <c r="V219" i="3"/>
  <c r="W219" i="3" s="1"/>
  <c r="X218" i="3"/>
  <c r="W218" i="3"/>
  <c r="Y218" i="3" s="1"/>
  <c r="V218" i="3"/>
  <c r="Y217" i="3"/>
  <c r="X217" i="3"/>
  <c r="V217" i="3"/>
  <c r="W217" i="3" s="1"/>
  <c r="Y216" i="3"/>
  <c r="X216" i="3"/>
  <c r="W216" i="3"/>
  <c r="V216" i="3"/>
  <c r="X215" i="3"/>
  <c r="V215" i="3"/>
  <c r="W215" i="3" s="1"/>
  <c r="Y215" i="3" s="1"/>
  <c r="Y214" i="3"/>
  <c r="X214" i="3"/>
  <c r="W214" i="3"/>
  <c r="V214" i="3"/>
  <c r="Y213" i="3"/>
  <c r="X213" i="3"/>
  <c r="V213" i="3"/>
  <c r="W213" i="3" s="1"/>
  <c r="Y212" i="3"/>
  <c r="X212" i="3"/>
  <c r="W212" i="3"/>
  <c r="V212" i="3"/>
  <c r="Y211" i="3"/>
  <c r="X211" i="3"/>
  <c r="V211" i="3"/>
  <c r="W211" i="3" s="1"/>
  <c r="Y210" i="3"/>
  <c r="X210" i="3"/>
  <c r="W210" i="3"/>
  <c r="V210" i="3"/>
  <c r="X209" i="3"/>
  <c r="V209" i="3"/>
  <c r="W209" i="3" s="1"/>
  <c r="Y209" i="3" s="1"/>
  <c r="X208" i="3"/>
  <c r="W208" i="3"/>
  <c r="Y208" i="3" s="1"/>
  <c r="V208" i="3"/>
  <c r="Y207" i="3"/>
  <c r="X207" i="3"/>
  <c r="V207" i="3"/>
  <c r="W207" i="3" s="1"/>
  <c r="Y206" i="3"/>
  <c r="X206" i="3"/>
  <c r="W206" i="3"/>
  <c r="V206" i="3"/>
  <c r="Y205" i="3"/>
  <c r="X205" i="3"/>
  <c r="V205" i="3"/>
  <c r="W205" i="3" s="1"/>
  <c r="Y204" i="3"/>
  <c r="X204" i="3"/>
  <c r="W204" i="3"/>
  <c r="V204" i="3"/>
  <c r="Y203" i="3"/>
  <c r="X203" i="3"/>
  <c r="V203" i="3"/>
  <c r="W203" i="3" s="1"/>
  <c r="X202" i="3"/>
  <c r="W202" i="3"/>
  <c r="Y202" i="3" s="1"/>
  <c r="V202" i="3"/>
  <c r="Y201" i="3"/>
  <c r="X201" i="3"/>
  <c r="V201" i="3"/>
  <c r="W201" i="3" s="1"/>
  <c r="Y200" i="3"/>
  <c r="X200" i="3"/>
  <c r="W200" i="3"/>
  <c r="V200" i="3"/>
  <c r="X199" i="3"/>
  <c r="V199" i="3"/>
  <c r="W199" i="3" s="1"/>
  <c r="Y199" i="3" s="1"/>
  <c r="Y198" i="3"/>
  <c r="X198" i="3"/>
  <c r="W198" i="3"/>
  <c r="V198" i="3"/>
  <c r="X197" i="3"/>
  <c r="V197" i="3"/>
  <c r="W197" i="3" s="1"/>
  <c r="Y197" i="3" s="1"/>
  <c r="Y196" i="3"/>
  <c r="X196" i="3"/>
  <c r="W196" i="3"/>
  <c r="V196" i="3"/>
  <c r="Y195" i="3"/>
  <c r="X195" i="3"/>
  <c r="V195" i="3"/>
  <c r="W195" i="3" s="1"/>
  <c r="Y194" i="3"/>
  <c r="X194" i="3"/>
  <c r="W194" i="3"/>
  <c r="V194" i="3"/>
  <c r="X193" i="3"/>
  <c r="V193" i="3"/>
  <c r="W193" i="3" s="1"/>
  <c r="Y193" i="3" s="1"/>
  <c r="X192" i="3"/>
  <c r="W192" i="3"/>
  <c r="Y192" i="3" s="1"/>
  <c r="V192" i="3"/>
  <c r="Y191" i="3"/>
  <c r="X191" i="3"/>
  <c r="V191" i="3"/>
  <c r="W191" i="3" s="1"/>
  <c r="X190" i="3"/>
  <c r="W190" i="3"/>
  <c r="Y190" i="3" s="1"/>
  <c r="V190" i="3"/>
  <c r="Y189" i="3"/>
  <c r="X189" i="3"/>
  <c r="V189" i="3"/>
  <c r="W189" i="3" s="1"/>
  <c r="Y188" i="3"/>
  <c r="X188" i="3"/>
  <c r="W188" i="3"/>
  <c r="V188" i="3"/>
  <c r="Y187" i="3"/>
  <c r="X187" i="3"/>
  <c r="V187" i="3"/>
  <c r="W187" i="3" s="1"/>
  <c r="X186" i="3"/>
  <c r="W186" i="3"/>
  <c r="Y186" i="3" s="1"/>
  <c r="V186" i="3"/>
  <c r="Y185" i="3"/>
  <c r="X185" i="3"/>
  <c r="V185" i="3"/>
  <c r="W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Y180" i="3"/>
  <c r="X180" i="3"/>
  <c r="W180" i="3"/>
  <c r="V180" i="3"/>
  <c r="Y179" i="3"/>
  <c r="X179" i="3"/>
  <c r="V179" i="3"/>
  <c r="W179" i="3" s="1"/>
  <c r="Y178" i="3"/>
  <c r="X178" i="3"/>
  <c r="W178" i="3"/>
  <c r="V178" i="3"/>
  <c r="X177" i="3"/>
  <c r="V177" i="3"/>
  <c r="W177" i="3" s="1"/>
  <c r="Y177" i="3" s="1"/>
  <c r="X176" i="3"/>
  <c r="V176" i="3"/>
  <c r="W176" i="3" s="1"/>
  <c r="Y176" i="3" s="1"/>
  <c r="Y175" i="3"/>
  <c r="X175" i="3"/>
  <c r="V175" i="3"/>
  <c r="W175" i="3" s="1"/>
  <c r="X174" i="3"/>
  <c r="W174" i="3"/>
  <c r="Y174" i="3" s="1"/>
  <c r="V174" i="3"/>
  <c r="Y173" i="3"/>
  <c r="X173" i="3"/>
  <c r="V173" i="3"/>
  <c r="W173" i="3" s="1"/>
  <c r="X172" i="3"/>
  <c r="V172" i="3"/>
  <c r="W172" i="3" s="1"/>
  <c r="Y172" i="3" s="1"/>
  <c r="Y171" i="3"/>
  <c r="X171" i="3"/>
  <c r="V171" i="3"/>
  <c r="W171" i="3" s="1"/>
  <c r="X170" i="3"/>
  <c r="W170" i="3"/>
  <c r="Y170" i="3" s="1"/>
  <c r="V170" i="3"/>
  <c r="Y169" i="3"/>
  <c r="X169" i="3"/>
  <c r="V169" i="3"/>
  <c r="W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Y164" i="3"/>
  <c r="X164" i="3"/>
  <c r="W164" i="3"/>
  <c r="V164" i="3"/>
  <c r="Y163" i="3"/>
  <c r="X163" i="3"/>
  <c r="V163" i="3"/>
  <c r="W163" i="3" s="1"/>
  <c r="Y162" i="3"/>
  <c r="X162" i="3"/>
  <c r="W162" i="3"/>
  <c r="V162" i="3"/>
  <c r="X161" i="3"/>
  <c r="V161" i="3"/>
  <c r="W161" i="3" s="1"/>
  <c r="Y161" i="3" s="1"/>
  <c r="X160" i="3"/>
  <c r="V160" i="3"/>
  <c r="W160" i="3" s="1"/>
  <c r="Y160" i="3" s="1"/>
  <c r="Y159" i="3"/>
  <c r="X159" i="3"/>
  <c r="V159" i="3"/>
  <c r="W159" i="3" s="1"/>
  <c r="X158" i="3"/>
  <c r="W158" i="3"/>
  <c r="Y158" i="3" s="1"/>
  <c r="V158" i="3"/>
  <c r="Y157" i="3"/>
  <c r="X157" i="3"/>
  <c r="V157" i="3"/>
  <c r="W157" i="3" s="1"/>
  <c r="X156" i="3"/>
  <c r="V156" i="3"/>
  <c r="W156" i="3" s="1"/>
  <c r="Y156" i="3" s="1"/>
  <c r="Y155" i="3"/>
  <c r="X155" i="3"/>
  <c r="V155" i="3"/>
  <c r="W155" i="3" s="1"/>
  <c r="X154" i="3"/>
  <c r="W154" i="3"/>
  <c r="Y154" i="3" s="1"/>
  <c r="V154" i="3"/>
  <c r="Y153" i="3"/>
  <c r="X153" i="3"/>
  <c r="V153" i="3"/>
  <c r="W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Y148" i="3"/>
  <c r="X148" i="3"/>
  <c r="W148" i="3"/>
  <c r="V148" i="3"/>
  <c r="Y147" i="3"/>
  <c r="X147" i="3"/>
  <c r="V147" i="3"/>
  <c r="W147" i="3" s="1"/>
  <c r="Y146" i="3"/>
  <c r="X146" i="3"/>
  <c r="W146" i="3"/>
  <c r="V146" i="3"/>
  <c r="X145" i="3"/>
  <c r="V145" i="3"/>
  <c r="W145" i="3" s="1"/>
  <c r="Y145" i="3" s="1"/>
  <c r="X144" i="3"/>
  <c r="V144" i="3"/>
  <c r="W144" i="3" s="1"/>
  <c r="Y144" i="3" s="1"/>
  <c r="Y143" i="3"/>
  <c r="X143" i="3"/>
  <c r="V143" i="3"/>
  <c r="W143" i="3" s="1"/>
  <c r="X142" i="3"/>
  <c r="W142" i="3"/>
  <c r="Y142" i="3" s="1"/>
  <c r="V142" i="3"/>
  <c r="Y141" i="3"/>
  <c r="X141" i="3"/>
  <c r="V141" i="3"/>
  <c r="W141" i="3" s="1"/>
  <c r="X140" i="3"/>
  <c r="V140" i="3"/>
  <c r="W140" i="3" s="1"/>
  <c r="Y140" i="3" s="1"/>
  <c r="Y139" i="3"/>
  <c r="X139" i="3"/>
  <c r="V139" i="3"/>
  <c r="W139" i="3" s="1"/>
  <c r="X138" i="3"/>
  <c r="W138" i="3"/>
  <c r="Y138" i="3" s="1"/>
  <c r="V138" i="3"/>
  <c r="Y137" i="3"/>
  <c r="X137" i="3"/>
  <c r="V137" i="3"/>
  <c r="W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Y132" i="3"/>
  <c r="X132" i="3"/>
  <c r="W132" i="3"/>
  <c r="V132" i="3"/>
  <c r="Y131" i="3"/>
  <c r="X131" i="3"/>
  <c r="V131" i="3"/>
  <c r="W131" i="3" s="1"/>
  <c r="Y130" i="3"/>
  <c r="X130" i="3"/>
  <c r="W130" i="3"/>
  <c r="V130" i="3"/>
  <c r="X129" i="3"/>
  <c r="V129" i="3"/>
  <c r="W129" i="3" s="1"/>
  <c r="Y129" i="3" s="1"/>
  <c r="X128" i="3"/>
  <c r="V128" i="3"/>
  <c r="W128" i="3" s="1"/>
  <c r="Y128" i="3" s="1"/>
  <c r="Y127" i="3"/>
  <c r="X127" i="3"/>
  <c r="V127" i="3"/>
  <c r="W127" i="3" s="1"/>
  <c r="X126" i="3"/>
  <c r="W126" i="3"/>
  <c r="Y126" i="3" s="1"/>
  <c r="V126" i="3"/>
  <c r="Y125" i="3"/>
  <c r="X125" i="3"/>
  <c r="V125" i="3"/>
  <c r="W125" i="3" s="1"/>
  <c r="X124" i="3"/>
  <c r="V124" i="3"/>
  <c r="W124" i="3" s="1"/>
  <c r="Y124" i="3" s="1"/>
  <c r="Y123" i="3"/>
  <c r="X123" i="3"/>
  <c r="V123" i="3"/>
  <c r="W123" i="3" s="1"/>
  <c r="X122" i="3"/>
  <c r="W122" i="3"/>
  <c r="Y122" i="3" s="1"/>
  <c r="V122" i="3"/>
  <c r="Y121" i="3"/>
  <c r="X121" i="3"/>
  <c r="V121" i="3"/>
  <c r="W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Y116" i="3"/>
  <c r="X116" i="3"/>
  <c r="W116" i="3"/>
  <c r="V116" i="3"/>
  <c r="Y115" i="3"/>
  <c r="X115" i="3"/>
  <c r="V115" i="3"/>
  <c r="W115" i="3" s="1"/>
  <c r="Y114" i="3"/>
  <c r="X114" i="3"/>
  <c r="W114" i="3"/>
  <c r="V114" i="3"/>
  <c r="X113" i="3"/>
  <c r="V113" i="3"/>
  <c r="W113" i="3" s="1"/>
  <c r="Y113" i="3" s="1"/>
  <c r="X112" i="3"/>
  <c r="V112" i="3"/>
  <c r="W112" i="3" s="1"/>
  <c r="Y112" i="3" s="1"/>
  <c r="Y111" i="3"/>
  <c r="X111" i="3"/>
  <c r="V111" i="3"/>
  <c r="W111" i="3" s="1"/>
  <c r="X110" i="3"/>
  <c r="W110" i="3"/>
  <c r="Y110" i="3" s="1"/>
  <c r="V110" i="3"/>
  <c r="Y109" i="3"/>
  <c r="X109" i="3"/>
  <c r="V109" i="3"/>
  <c r="W109" i="3" s="1"/>
  <c r="X108" i="3"/>
  <c r="V108" i="3"/>
  <c r="W108" i="3" s="1"/>
  <c r="Y108" i="3" s="1"/>
  <c r="Y107" i="3"/>
  <c r="X107" i="3"/>
  <c r="V107" i="3"/>
  <c r="W107" i="3" s="1"/>
  <c r="X106" i="3"/>
  <c r="W106" i="3"/>
  <c r="Y106" i="3" s="1"/>
  <c r="V106" i="3"/>
  <c r="Y105" i="3"/>
  <c r="X105" i="3"/>
  <c r="V105" i="3"/>
  <c r="W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Y100" i="3"/>
  <c r="X100" i="3"/>
  <c r="W100" i="3"/>
  <c r="V100" i="3"/>
  <c r="Y99" i="3"/>
  <c r="X99" i="3"/>
  <c r="V99" i="3"/>
  <c r="W99" i="3" s="1"/>
  <c r="Y98" i="3"/>
  <c r="X98" i="3"/>
  <c r="W98" i="3"/>
  <c r="V98" i="3"/>
  <c r="X97" i="3"/>
  <c r="V97" i="3"/>
  <c r="W97" i="3" s="1"/>
  <c r="Y97" i="3" s="1"/>
  <c r="X96" i="3"/>
  <c r="V96" i="3"/>
  <c r="W96" i="3" s="1"/>
  <c r="Y96" i="3" s="1"/>
  <c r="Y95" i="3"/>
  <c r="X95" i="3"/>
  <c r="V95" i="3"/>
  <c r="W95" i="3" s="1"/>
  <c r="X94" i="3"/>
  <c r="W94" i="3"/>
  <c r="Y94" i="3" s="1"/>
  <c r="V94" i="3"/>
  <c r="Y93" i="3"/>
  <c r="X93" i="3"/>
  <c r="V93" i="3"/>
  <c r="W93" i="3" s="1"/>
  <c r="X92" i="3"/>
  <c r="V92" i="3"/>
  <c r="W92" i="3" s="1"/>
  <c r="Y92" i="3" s="1"/>
  <c r="Y91" i="3"/>
  <c r="X91" i="3"/>
  <c r="V91" i="3"/>
  <c r="W91" i="3" s="1"/>
  <c r="X90" i="3"/>
  <c r="W90" i="3"/>
  <c r="Y90" i="3" s="1"/>
  <c r="V90" i="3"/>
  <c r="Y89" i="3"/>
  <c r="X89" i="3"/>
  <c r="V89" i="3"/>
  <c r="W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Y84" i="3"/>
  <c r="X84" i="3"/>
  <c r="W84" i="3"/>
  <c r="V84" i="3"/>
  <c r="Y83" i="3"/>
  <c r="X83" i="3"/>
  <c r="V83" i="3"/>
  <c r="W83" i="3" s="1"/>
  <c r="Y82" i="3"/>
  <c r="X82" i="3"/>
  <c r="W82" i="3"/>
  <c r="V82" i="3"/>
  <c r="X81" i="3"/>
  <c r="V81" i="3"/>
  <c r="W81" i="3" s="1"/>
  <c r="Y81" i="3" s="1"/>
  <c r="X80" i="3"/>
  <c r="V80" i="3"/>
  <c r="W80" i="3" s="1"/>
  <c r="Y80" i="3" s="1"/>
  <c r="Y79" i="3"/>
  <c r="X79" i="3"/>
  <c r="V79" i="3"/>
  <c r="W79" i="3" s="1"/>
  <c r="X78" i="3"/>
  <c r="W78" i="3"/>
  <c r="Y78" i="3" s="1"/>
  <c r="V78" i="3"/>
  <c r="Y77" i="3"/>
  <c r="X77" i="3"/>
  <c r="V77" i="3"/>
  <c r="W77" i="3" s="1"/>
  <c r="X76" i="3"/>
  <c r="V76" i="3"/>
  <c r="W76" i="3" s="1"/>
  <c r="Y76" i="3" s="1"/>
  <c r="Y75" i="3"/>
  <c r="X75" i="3"/>
  <c r="V75" i="3"/>
  <c r="W75" i="3" s="1"/>
  <c r="X74" i="3"/>
  <c r="W74" i="3"/>
  <c r="Y74" i="3" s="1"/>
  <c r="V74" i="3"/>
  <c r="Y73" i="3"/>
  <c r="X73" i="3"/>
  <c r="V73" i="3"/>
  <c r="W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Y68" i="3"/>
  <c r="X68" i="3"/>
  <c r="W68" i="3"/>
  <c r="V68" i="3"/>
  <c r="X67" i="3"/>
  <c r="V67" i="3"/>
  <c r="W67" i="3" s="1"/>
  <c r="Y67" i="3" s="1"/>
  <c r="Y66" i="3"/>
  <c r="X66" i="3"/>
  <c r="W66" i="3"/>
  <c r="V66" i="3"/>
  <c r="X65" i="3"/>
  <c r="V65" i="3"/>
  <c r="W65" i="3" s="1"/>
  <c r="Y65" i="3" s="1"/>
  <c r="Y64" i="3"/>
  <c r="X64" i="3"/>
  <c r="W64" i="3"/>
  <c r="V64" i="3"/>
  <c r="X63" i="3"/>
  <c r="V63" i="3"/>
  <c r="W63" i="3" s="1"/>
  <c r="Y63" i="3" s="1"/>
  <c r="Y62" i="3"/>
  <c r="X62" i="3"/>
  <c r="W62" i="3"/>
  <c r="V62" i="3"/>
  <c r="X61" i="3"/>
  <c r="V61" i="3"/>
  <c r="W61" i="3" s="1"/>
  <c r="Y61" i="3" s="1"/>
  <c r="Y60" i="3"/>
  <c r="X60" i="3"/>
  <c r="W60" i="3"/>
  <c r="V60" i="3"/>
  <c r="X59" i="3"/>
  <c r="V59" i="3"/>
  <c r="W59" i="3" s="1"/>
  <c r="Y59" i="3" s="1"/>
  <c r="Y58" i="3"/>
  <c r="X58" i="3"/>
  <c r="W58" i="3"/>
  <c r="V58" i="3"/>
  <c r="X57" i="3"/>
  <c r="V57" i="3"/>
  <c r="W57" i="3" s="1"/>
  <c r="Y57" i="3" s="1"/>
  <c r="Y56" i="3"/>
  <c r="X56" i="3"/>
  <c r="W56" i="3"/>
  <c r="V56" i="3"/>
  <c r="X55" i="3"/>
  <c r="V55" i="3"/>
  <c r="W55" i="3" s="1"/>
  <c r="Y55" i="3" s="1"/>
  <c r="Y54" i="3"/>
  <c r="X54" i="3"/>
  <c r="W54" i="3"/>
  <c r="V54" i="3"/>
  <c r="X53" i="3"/>
  <c r="V53" i="3"/>
  <c r="W53" i="3" s="1"/>
  <c r="Y53" i="3" s="1"/>
  <c r="Y52" i="3"/>
  <c r="X52" i="3"/>
  <c r="W52" i="3"/>
  <c r="V52" i="3"/>
  <c r="X51" i="3"/>
  <c r="V51" i="3"/>
  <c r="W51" i="3" s="1"/>
  <c r="Y51" i="3" s="1"/>
  <c r="Y50" i="3"/>
  <c r="X50" i="3"/>
  <c r="W50" i="3"/>
  <c r="V50" i="3"/>
  <c r="X49" i="3"/>
  <c r="V49" i="3"/>
  <c r="W49" i="3" s="1"/>
  <c r="Y49" i="3" s="1"/>
  <c r="Y48" i="3"/>
  <c r="X48" i="3"/>
  <c r="W48" i="3"/>
  <c r="V48" i="3"/>
  <c r="X47" i="3"/>
  <c r="V47" i="3"/>
  <c r="W47" i="3" s="1"/>
  <c r="Y47" i="3" s="1"/>
  <c r="Y46" i="3"/>
  <c r="X46" i="3"/>
  <c r="W46" i="3"/>
  <c r="V46" i="3"/>
  <c r="X45" i="3"/>
  <c r="V45" i="3"/>
  <c r="W45" i="3" s="1"/>
  <c r="Y45" i="3" s="1"/>
  <c r="Y44" i="3"/>
  <c r="X44" i="3"/>
  <c r="W44" i="3"/>
  <c r="V44" i="3"/>
  <c r="X43" i="3"/>
  <c r="V43" i="3"/>
  <c r="W43" i="3" s="1"/>
  <c r="Y43" i="3" s="1"/>
  <c r="Y42" i="3"/>
  <c r="X42" i="3"/>
  <c r="W42" i="3"/>
  <c r="V42" i="3"/>
  <c r="X41" i="3"/>
  <c r="V41" i="3"/>
  <c r="W41" i="3" s="1"/>
  <c r="Y41" i="3" s="1"/>
  <c r="Y40" i="3"/>
  <c r="X40" i="3"/>
  <c r="W40" i="3"/>
  <c r="V40" i="3"/>
  <c r="X39" i="3"/>
  <c r="V39" i="3"/>
  <c r="W39" i="3" s="1"/>
  <c r="Y39" i="3" s="1"/>
  <c r="Y38" i="3"/>
  <c r="X38" i="3"/>
  <c r="W38" i="3"/>
  <c r="V38" i="3"/>
  <c r="X37" i="3"/>
  <c r="V37" i="3"/>
  <c r="W37" i="3" s="1"/>
  <c r="Y37" i="3" s="1"/>
  <c r="Y36" i="3"/>
  <c r="X36" i="3"/>
  <c r="W36" i="3"/>
  <c r="V36" i="3"/>
  <c r="X35" i="3"/>
  <c r="V35" i="3"/>
  <c r="W35" i="3" s="1"/>
  <c r="Y35" i="3" s="1"/>
  <c r="Y34" i="3"/>
  <c r="X34" i="3"/>
  <c r="W34" i="3"/>
  <c r="V34" i="3"/>
  <c r="X33" i="3"/>
  <c r="V33" i="3"/>
  <c r="W33" i="3" s="1"/>
  <c r="Y33" i="3" s="1"/>
  <c r="Y32" i="3"/>
  <c r="X32" i="3"/>
  <c r="W32" i="3"/>
  <c r="V32" i="3"/>
  <c r="X31" i="3"/>
  <c r="V31" i="3"/>
  <c r="W31" i="3" s="1"/>
  <c r="Y31" i="3" s="1"/>
  <c r="Y30" i="3"/>
  <c r="X30" i="3"/>
  <c r="W30" i="3"/>
  <c r="V30" i="3"/>
  <c r="X29" i="3"/>
  <c r="V29" i="3"/>
  <c r="W29" i="3" s="1"/>
  <c r="Y29" i="3" s="1"/>
  <c r="Y28" i="3"/>
  <c r="X28" i="3"/>
  <c r="W28" i="3"/>
  <c r="V28" i="3"/>
  <c r="X27" i="3"/>
  <c r="V27" i="3"/>
  <c r="W27" i="3" s="1"/>
  <c r="Y27" i="3" s="1"/>
  <c r="Y26" i="3"/>
  <c r="X26" i="3"/>
  <c r="W26" i="3"/>
  <c r="V26" i="3"/>
  <c r="X25" i="3"/>
  <c r="V25" i="3"/>
  <c r="W25" i="3" s="1"/>
  <c r="Y25" i="3" s="1"/>
  <c r="Y24" i="3"/>
  <c r="X24" i="3"/>
  <c r="W24" i="3"/>
  <c r="V24" i="3"/>
  <c r="X23" i="3"/>
  <c r="V23" i="3"/>
  <c r="W23" i="3" s="1"/>
  <c r="Y23" i="3" s="1"/>
  <c r="Y22" i="3"/>
  <c r="X22" i="3"/>
  <c r="W22" i="3"/>
  <c r="V22" i="3"/>
  <c r="X21" i="3"/>
  <c r="V21" i="3"/>
  <c r="W21" i="3" s="1"/>
  <c r="Y21" i="3" s="1"/>
  <c r="Y20" i="3"/>
  <c r="X20" i="3"/>
  <c r="W20" i="3"/>
  <c r="V20" i="3"/>
  <c r="X19" i="3"/>
  <c r="V19" i="3"/>
  <c r="W19" i="3" s="1"/>
  <c r="Y19" i="3" s="1"/>
  <c r="Y18" i="3"/>
  <c r="X18" i="3"/>
  <c r="W18" i="3"/>
  <c r="V18" i="3"/>
  <c r="X17" i="3"/>
  <c r="V17" i="3"/>
  <c r="W17" i="3" s="1"/>
  <c r="Y17" i="3" s="1"/>
  <c r="Y16" i="3"/>
  <c r="X16" i="3"/>
  <c r="W16" i="3"/>
  <c r="V16" i="3"/>
  <c r="X15" i="3"/>
  <c r="V15" i="3"/>
  <c r="W15" i="3" s="1"/>
  <c r="Y15" i="3" s="1"/>
  <c r="Y14" i="3"/>
  <c r="X14" i="3"/>
  <c r="W14" i="3"/>
  <c r="V14" i="3"/>
  <c r="X13" i="3"/>
  <c r="V13" i="3"/>
  <c r="W13" i="3" s="1"/>
  <c r="Y13" i="3" s="1"/>
  <c r="Y12" i="3"/>
  <c r="X12" i="3"/>
  <c r="W12" i="3"/>
  <c r="V12" i="3"/>
  <c r="X11" i="3"/>
  <c r="V11" i="3"/>
  <c r="W11" i="3" s="1"/>
  <c r="Y11" i="3" s="1"/>
  <c r="Y10" i="3"/>
  <c r="X10" i="3"/>
  <c r="W10" i="3"/>
  <c r="V10" i="3"/>
  <c r="X9" i="3"/>
  <c r="V9" i="3"/>
  <c r="W9" i="3" s="1"/>
  <c r="Y9" i="3" s="1"/>
  <c r="Y8" i="3"/>
  <c r="X8" i="3"/>
  <c r="W8" i="3"/>
  <c r="V8" i="3"/>
  <c r="X7" i="3"/>
  <c r="V7" i="3"/>
  <c r="W7" i="3" s="1"/>
  <c r="Y7" i="3" s="1"/>
  <c r="Y6" i="3"/>
  <c r="X6" i="3"/>
  <c r="W6" i="3"/>
  <c r="V6" i="3"/>
  <c r="X5" i="3"/>
  <c r="V5" i="3"/>
  <c r="W5" i="3" s="1"/>
  <c r="Y5" i="3" s="1"/>
</calcChain>
</file>

<file path=xl/sharedStrings.xml><?xml version="1.0" encoding="utf-8"?>
<sst xmlns="http://schemas.openxmlformats.org/spreadsheetml/2006/main" count="1462" uniqueCount="582">
  <si>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</si>
  <si>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</si>
  <si>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</si>
  <si>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</si>
  <si>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</si>
  <si>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</si>
  <si>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</si>
  <si>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</si>
  <si>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</si>
  <si>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</si>
  <si>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</si>
  <si>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</si>
  <si>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</si>
  <si>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</si>
  <si>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</si>
  <si>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</si>
  <si>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</si>
  <si>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</si>
  <si>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</si>
  <si>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</si>
  <si>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</si>
  <si>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</si>
  <si>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ABNER GONZALEZ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</si>
  <si>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</si>
  <si>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</si>
  <si>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</si>
  <si>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</si>
  <si>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</si>
  <si>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</si>
  <si>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</si>
  <si>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</si>
  <si>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</si>
  <si>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</si>
  <si>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</si>
  <si>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</si>
  <si>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</si>
  <si>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</si>
  <si>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</si>
  <si>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</si>
  <si>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</si>
  <si>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</si>
  <si>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</si>
  <si>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</si>
  <si>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</si>
  <si>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</si>
  <si>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</si>
  <si>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DOSQUEBRADAS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</si>
  <si>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</si>
  <si>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</si>
  <si>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</si>
  <si>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</si>
  <si>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</si>
  <si>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</si>
  <si>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</si>
  <si>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</si>
  <si>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</si>
  <si>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</si>
  <si>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</si>
  <si>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</si>
  <si>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</si>
  <si>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</si>
  <si>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</si>
  <si>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</si>
  <si>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</si>
  <si>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</si>
  <si>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</si>
  <si>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</si>
  <si>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</si>
  <si>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</si>
  <si>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</si>
  <si>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</si>
  <si>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</si>
  <si>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</si>
  <si>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</si>
  <si>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</si>
  <si>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</si>
  <si>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</si>
  <si>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</si>
  <si>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</si>
  <si>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</si>
  <si>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</si>
  <si>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</si>
  <si>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</si>
  <si>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</si>
  <si>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</si>
  <si>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</si>
  <si>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</si>
  <si>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</si>
  <si>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</si>
  <si>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</si>
  <si>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</si>
  <si>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</si>
  <si>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</si>
  <si>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</si>
  <si>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</si>
  <si>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</si>
  <si>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</si>
  <si>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</si>
  <si>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</si>
  <si>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</si>
  <si>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</si>
  <si>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</si>
  <si>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</si>
  <si>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</si>
  <si>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</si>
  <si>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</si>
  <si>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</si>
  <si>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</si>
  <si>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</si>
  <si>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</si>
  <si>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</si>
  <si>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</si>
  <si>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</si>
  <si>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</si>
  <si>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</si>
  <si>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</si>
  <si>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</si>
  <si>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</si>
  <si>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</si>
  <si>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</si>
  <si>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</si>
  <si>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</si>
  <si>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</si>
  <si>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</si>
  <si>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</si>
  <si>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</si>
  <si>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</si>
  <si>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</si>
  <si>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</si>
  <si>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</si>
  <si>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</si>
  <si>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</si>
  <si>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</si>
  <si>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</si>
  <si>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</si>
  <si>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</si>
  <si>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</si>
  <si>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</si>
  <si>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</si>
  <si>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</si>
  <si>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</si>
  <si>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</si>
  <si>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</si>
  <si>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</si>
  <si>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</si>
  <si>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</si>
  <si>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</si>
  <si>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</si>
  <si>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</si>
  <si>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</si>
  <si>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</si>
  <si>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</si>
  <si>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</si>
  <si>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</si>
  <si>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</si>
  <si>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</si>
  <si>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</si>
  <si>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</si>
  <si>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</si>
  <si>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</si>
  <si>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</si>
  <si>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</si>
  <si>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</si>
  <si>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</si>
  <si>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</si>
  <si>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</si>
  <si>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</si>
  <si>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</si>
  <si>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</si>
  <si>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</si>
  <si>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</si>
  <si>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</si>
  <si>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</si>
  <si>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</si>
  <si>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</si>
  <si>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</si>
  <si>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</si>
  <si>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</si>
  <si>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</si>
  <si>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</si>
  <si>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</si>
  <si>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</si>
  <si>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</si>
  <si>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</si>
  <si>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</si>
  <si>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</si>
  <si>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</si>
  <si>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</si>
  <si>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</si>
  <si>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</si>
  <si>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</si>
  <si>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</si>
  <si>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</si>
  <si>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</si>
  <si>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</si>
  <si>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</si>
  <si>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</si>
  <si>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</si>
  <si>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</si>
  <si>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</si>
  <si>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</si>
  <si>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</si>
  <si>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</si>
  <si>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</si>
  <si>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</si>
  <si>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</si>
  <si>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</si>
  <si>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</si>
  <si>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</si>
  <si>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</si>
  <si>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</si>
  <si>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</si>
  <si>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</si>
  <si>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</si>
  <si>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</si>
  <si>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</si>
  <si>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</si>
  <si>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</si>
  <si>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</si>
  <si>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</si>
  <si>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</si>
  <si>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</si>
  <si>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</si>
  <si>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</si>
  <si>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</si>
  <si>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</si>
  <si>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</si>
  <si>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</si>
  <si>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</si>
  <si>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</si>
  <si>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</si>
  <si>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</si>
  <si>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</si>
  <si>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</si>
  <si>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</si>
  <si>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</si>
  <si>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</si>
  <si>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</si>
  <si>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</si>
  <si>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</si>
  <si>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</si>
  <si>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</si>
  <si>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</si>
  <si>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</si>
  <si>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</si>
  <si>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</si>
  <si>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</si>
  <si>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</si>
  <si>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</si>
  <si>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</si>
  <si>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</si>
  <si>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</si>
  <si>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</si>
  <si>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</si>
  <si>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</si>
  <si>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</si>
  <si>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</si>
  <si>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</si>
  <si>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</si>
  <si>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</si>
  <si>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</si>
  <si>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</si>
  <si>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</si>
  <si>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</si>
  <si>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</si>
  <si>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</si>
  <si>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</si>
  <si>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</si>
  <si>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</si>
  <si>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</si>
  <si>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</si>
  <si>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</si>
  <si>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</si>
  <si>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</si>
  <si>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</si>
  <si>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</si>
  <si>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</si>
  <si>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</si>
  <si>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</si>
  <si>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</si>
  <si>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</si>
  <si>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</si>
  <si>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</si>
  <si>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</si>
  <si>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</si>
  <si>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</si>
  <si>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</si>
  <si>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</si>
  <si>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</si>
  <si>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</si>
  <si>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</si>
  <si>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</si>
  <si>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</si>
  <si>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</si>
  <si>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</si>
  <si>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</si>
  <si>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</si>
  <si>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</si>
  <si>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</si>
  <si>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</si>
  <si>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</si>
  <si>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</si>
  <si>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>MARLENY DEL SOCORRO MONSALE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</si>
  <si>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</si>
  <si>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</si>
  <si>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</si>
  <si>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</si>
  <si>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</si>
  <si>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</si>
  <si>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</si>
  <si>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</si>
  <si>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</si>
  <si>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</si>
  <si>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</si>
  <si>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</si>
  <si>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</si>
  <si>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</si>
  <si>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</si>
  <si>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</si>
  <si>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</si>
  <si>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</si>
  <si>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</si>
  <si>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</si>
  <si>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</si>
  <si>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</si>
  <si>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</si>
  <si>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</si>
  <si>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</si>
  <si>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</si>
  <si>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</si>
  <si>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</si>
  <si>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</si>
  <si>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</si>
  <si>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</si>
  <si>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</si>
  <si>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</si>
  <si>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</si>
  <si>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</si>
  <si>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</si>
  <si>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SANTA LUCÍA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</si>
  <si>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</si>
  <si>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</si>
  <si>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</si>
  <si>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</si>
  <si>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</si>
  <si>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</si>
  <si>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</si>
  <si>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</si>
  <si>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</si>
  <si>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</si>
  <si>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</si>
  <si>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</si>
  <si>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</si>
  <si>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</si>
  <si>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</si>
  <si>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</si>
  <si>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</si>
  <si>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</si>
  <si>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</si>
  <si>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</si>
  <si>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</si>
  <si>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</si>
  <si>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</si>
  <si>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</si>
  <si>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</si>
  <si>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</si>
  <si>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</si>
  <si>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</si>
  <si>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</si>
  <si>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</si>
  <si>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</si>
  <si>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</si>
  <si>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</si>
  <si>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</si>
  <si>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</si>
  <si>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</si>
  <si>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</si>
  <si>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</si>
  <si>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</si>
  <si>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</si>
  <si>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</si>
  <si>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</si>
  <si>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</si>
  <si>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</si>
  <si>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</si>
  <si>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</si>
  <si>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</si>
  <si>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</si>
  <si>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</si>
  <si>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</si>
  <si>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</si>
  <si>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</si>
  <si>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</si>
  <si>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</si>
  <si>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</si>
  <si>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</si>
  <si>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</si>
  <si>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</si>
  <si>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</si>
  <si>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</si>
  <si>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</si>
  <si>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</si>
  <si>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</si>
  <si>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</si>
  <si>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</si>
  <si>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</si>
  <si>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</si>
  <si>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</si>
  <si>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</si>
  <si>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</si>
  <si>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</si>
  <si>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</si>
  <si>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</si>
  <si>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</si>
  <si>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</si>
  <si>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</si>
  <si>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</si>
  <si>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</si>
  <si>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</si>
  <si>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</si>
  <si>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</si>
  <si>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</si>
  <si>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</si>
  <si>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</si>
  <si>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</si>
  <si>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</si>
  <si>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</si>
  <si>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</si>
  <si>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</si>
  <si>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</si>
  <si>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</si>
  <si>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</si>
  <si>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</si>
  <si>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</si>
  <si>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</si>
  <si>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</si>
  <si>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</si>
  <si>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</si>
  <si>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</si>
  <si>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</si>
  <si>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</si>
  <si>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</si>
  <si>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</si>
  <si>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</si>
  <si>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</si>
  <si>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</si>
  <si>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</si>
  <si>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</si>
  <si>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</si>
  <si>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</si>
  <si>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</si>
  <si>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</si>
  <si>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</si>
  <si>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</si>
  <si>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</si>
  <si>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</si>
  <si>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</si>
  <si>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</si>
  <si>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</si>
  <si>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</si>
  <si>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</si>
  <si>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</si>
  <si>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</si>
  <si>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</si>
  <si>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</si>
  <si>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</si>
  <si>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</si>
  <si>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</si>
  <si>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</si>
  <si>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</si>
  <si>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</si>
  <si>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</si>
  <si>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</si>
  <si>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</si>
  <si>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</si>
  <si>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</si>
  <si>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</si>
  <si>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</si>
  <si>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</si>
  <si>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</si>
  <si>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</si>
  <si>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</si>
  <si>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</si>
  <si>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</si>
  <si>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</si>
  <si>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</si>
  <si>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</si>
  <si>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</si>
  <si>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</si>
  <si>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</si>
  <si>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</si>
  <si>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</si>
  <si>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</si>
  <si>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</si>
  <si>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</si>
  <si>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</si>
  <si>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</si>
  <si>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</si>
  <si>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</si>
  <si>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</si>
  <si>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</si>
  <si>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</si>
  <si>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</si>
  <si>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</si>
  <si>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</si>
  <si>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</si>
  <si>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</si>
  <si>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</si>
  <si>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</si>
  <si>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</si>
  <si>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</si>
  <si>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</si>
  <si>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</si>
  <si>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</si>
  <si>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</si>
  <si>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</si>
  <si>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</si>
  <si>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</si>
  <si>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</si>
  <si>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</si>
  <si>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</si>
  <si>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</si>
  <si>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</si>
  <si>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</si>
  <si>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</si>
  <si>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</si>
  <si>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</si>
  <si>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</si>
  <si>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</si>
  <si>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</si>
  <si>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</si>
  <si>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</si>
  <si>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</si>
  <si>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</si>
  <si>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</si>
  <si>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</si>
  <si>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</si>
  <si>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</si>
  <si>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</si>
  <si>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</si>
  <si>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</si>
  <si>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</si>
  <si>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</si>
  <si>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</si>
  <si>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</si>
  <si>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</si>
  <si>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</si>
  <si>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</si>
  <si>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</si>
  <si>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</si>
  <si>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</si>
  <si>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</si>
  <si>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</si>
  <si>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</si>
  <si>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PUERTO COLOMBIA</t>
  </si>
  <si>
    <t>Bolivar</t>
  </si>
  <si>
    <t>DOS QUEBRADAS</t>
  </si>
  <si>
    <t>Villa del Rosario</t>
  </si>
  <si>
    <t>MONTERÍA</t>
  </si>
  <si>
    <t>YOPAL</t>
  </si>
  <si>
    <t>BOLIVAR</t>
  </si>
  <si>
    <t>ANTIOQUIA</t>
  </si>
  <si>
    <t>SANTA LUCIA</t>
  </si>
  <si>
    <t>VILLA</t>
  </si>
  <si>
    <t>YENNY VELANDIA</t>
  </si>
  <si>
    <t>IG. EN EL BANCO MAGDALENA</t>
  </si>
  <si>
    <t>EL BANCO</t>
  </si>
  <si>
    <t>CUOTAS NO REPORTADAS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</si>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</sst>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4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2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0" fontId="6" fillId="4" borderId="2" xfId="0" applyFont="1" applyFill="1" applyBorder="1" applyAlignment="1">
      <alignment horizontal="center"/>
    </xf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0" fontId="18" fillId="4" borderId="2" xfId="0" applyFont="1" applyFill="1" applyBorder="1" applyAlignment="1">
      <alignment horizontal="center"/>
    </xf>
    <xf numFmtId="4" fontId="20" fillId="2" borderId="0" xfId="0" applyNumberFormat="1" applyFon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76"/>
  <sheetViews>
    <sheetView tabSelected="1" zoomScale="80" zoomScaleNormal="80" workbookViewId="0">
      <pane ySplit="4" topLeftCell="A334" activePane="bottomLeft" state="frozen"/>
      <selection pane="bottomLeft" activeCell="A371" sqref="A371:XFD371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hidden="1" customWidth="1"/>
    <col min="7" max="7" width="14.42578125" hidden="1" customWidth="1"/>
    <col min="8" max="8" width="12.7109375" hidden="1" customWidth="1"/>
    <col min="9" max="9" width="14.5703125" hidden="1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3"/>
    </row>
    <row r="3" spans="1:25" ht="18.75" x14ac:dyDescent="0.3">
      <c r="H3" s="43"/>
      <c r="J3" s="42">
        <v>2026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569</v>
      </c>
      <c r="G4" s="1" t="s">
        <v>570</v>
      </c>
      <c r="H4" s="1" t="s">
        <v>571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568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1</v>
      </c>
      <c r="B5" s="2" t="s">
        <v>22</v>
      </c>
      <c r="C5" s="2">
        <v>9289920</v>
      </c>
      <c r="D5" s="2"/>
      <c r="E5" s="2" t="s">
        <v>23</v>
      </c>
      <c r="F5" s="2">
        <v>1</v>
      </c>
      <c r="G5" s="44">
        <v>2059000</v>
      </c>
      <c r="H5" s="45" t="s">
        <v>572</v>
      </c>
      <c r="I5" s="3" t="s">
        <v>24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2</v>
      </c>
      <c r="B6" s="2" t="s">
        <v>25</v>
      </c>
      <c r="C6" s="2"/>
      <c r="D6" s="2"/>
      <c r="E6" s="2"/>
      <c r="F6" s="2"/>
      <c r="G6" s="44">
        <v>100000</v>
      </c>
      <c r="H6" s="45"/>
      <c r="I6" s="3" t="s">
        <v>24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x14ac:dyDescent="0.25">
      <c r="A7" s="2">
        <v>3</v>
      </c>
      <c r="B7" s="8" t="s">
        <v>26</v>
      </c>
      <c r="C7" s="8"/>
      <c r="D7" s="8"/>
      <c r="E7" s="2" t="s">
        <v>29</v>
      </c>
      <c r="F7" s="8"/>
      <c r="G7" s="46">
        <v>200000</v>
      </c>
      <c r="H7" s="47" t="s">
        <v>573</v>
      </c>
      <c r="I7" s="3" t="s">
        <v>24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x14ac:dyDescent="0.25">
      <c r="A8" s="2">
        <v>4</v>
      </c>
      <c r="B8" s="8" t="s">
        <v>27</v>
      </c>
      <c r="C8" s="8"/>
      <c r="D8" s="8"/>
      <c r="E8" s="2" t="s">
        <v>29</v>
      </c>
      <c r="F8" s="8"/>
      <c r="G8" s="46">
        <v>100000</v>
      </c>
      <c r="H8" s="47" t="s">
        <v>573</v>
      </c>
      <c r="I8" s="3" t="s">
        <v>24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5">
        <f t="shared" si="3"/>
        <v>0</v>
      </c>
      <c r="W8" s="6">
        <f t="shared" si="0"/>
        <v>0</v>
      </c>
      <c r="X8" s="6">
        <f t="shared" si="1"/>
        <v>0</v>
      </c>
      <c r="Y8" s="6">
        <f t="shared" si="2"/>
        <v>0</v>
      </c>
    </row>
    <row r="9" spans="1:25" x14ac:dyDescent="0.25">
      <c r="A9" s="2">
        <v>5</v>
      </c>
      <c r="B9" s="8" t="s">
        <v>28</v>
      </c>
      <c r="C9" s="8">
        <v>1114621012</v>
      </c>
      <c r="D9" s="8">
        <v>3207945735</v>
      </c>
      <c r="E9" s="2" t="s">
        <v>29</v>
      </c>
      <c r="F9" s="8"/>
      <c r="G9" s="46">
        <v>2000000</v>
      </c>
      <c r="H9" s="47" t="s">
        <v>572</v>
      </c>
      <c r="I9" s="3" t="s">
        <v>24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4"/>
      <c r="Q9" s="4"/>
      <c r="R9" s="4"/>
      <c r="S9" s="4"/>
      <c r="T9" s="4"/>
      <c r="U9" s="4"/>
      <c r="V9" s="5">
        <f t="shared" si="3"/>
        <v>600000</v>
      </c>
      <c r="W9" s="6">
        <f t="shared" si="0"/>
        <v>1.5</v>
      </c>
      <c r="X9" s="6">
        <f t="shared" si="1"/>
        <v>1</v>
      </c>
      <c r="Y9" s="6">
        <f t="shared" si="2"/>
        <v>2</v>
      </c>
    </row>
    <row r="10" spans="1:25" x14ac:dyDescent="0.25">
      <c r="A10" s="2">
        <v>6</v>
      </c>
      <c r="B10" s="8" t="s">
        <v>30</v>
      </c>
      <c r="C10" s="8">
        <v>1035855590</v>
      </c>
      <c r="D10" s="8">
        <v>3154949282</v>
      </c>
      <c r="E10" s="2" t="s">
        <v>31</v>
      </c>
      <c r="F10" s="8"/>
      <c r="G10" s="46">
        <v>1100000</v>
      </c>
      <c r="H10" s="47" t="s">
        <v>572</v>
      </c>
      <c r="I10" s="3" t="s">
        <v>24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0</v>
      </c>
      <c r="P10" s="4"/>
      <c r="Q10" s="4"/>
      <c r="R10" s="4"/>
      <c r="S10" s="4"/>
      <c r="T10" s="4"/>
      <c r="U10" s="4"/>
      <c r="V10" s="5">
        <f t="shared" si="3"/>
        <v>1600000</v>
      </c>
      <c r="W10" s="6">
        <f t="shared" si="0"/>
        <v>4</v>
      </c>
      <c r="X10" s="6">
        <f t="shared" si="1"/>
        <v>4</v>
      </c>
      <c r="Y10" s="6">
        <f t="shared" si="2"/>
        <v>4</v>
      </c>
    </row>
    <row r="11" spans="1:25" x14ac:dyDescent="0.25">
      <c r="A11" s="2">
        <v>7</v>
      </c>
      <c r="B11" s="2" t="s">
        <v>32</v>
      </c>
      <c r="C11" s="2">
        <v>1077465696</v>
      </c>
      <c r="D11" s="2">
        <v>3207593131</v>
      </c>
      <c r="E11" s="2" t="s">
        <v>33</v>
      </c>
      <c r="F11" s="2"/>
      <c r="G11" s="44">
        <v>1600000</v>
      </c>
      <c r="H11" s="45"/>
      <c r="I11" s="3" t="s">
        <v>24</v>
      </c>
      <c r="J11" s="4">
        <v>0</v>
      </c>
      <c r="K11" s="4">
        <v>0</v>
      </c>
      <c r="L11" s="4">
        <v>0</v>
      </c>
      <c r="M11" s="4">
        <v>400000</v>
      </c>
      <c r="N11" s="4">
        <v>0</v>
      </c>
      <c r="O11" s="4">
        <v>800000</v>
      </c>
      <c r="P11" s="4"/>
      <c r="Q11" s="4"/>
      <c r="R11" s="4"/>
      <c r="S11" s="4"/>
      <c r="T11" s="4"/>
      <c r="U11" s="4"/>
      <c r="V11" s="5">
        <f t="shared" si="3"/>
        <v>1200000</v>
      </c>
      <c r="W11" s="6">
        <f t="shared" si="0"/>
        <v>3</v>
      </c>
      <c r="X11" s="6">
        <f t="shared" si="1"/>
        <v>2</v>
      </c>
      <c r="Y11" s="6">
        <f t="shared" si="2"/>
        <v>3</v>
      </c>
    </row>
    <row r="12" spans="1:25" x14ac:dyDescent="0.25">
      <c r="A12" s="2">
        <v>8</v>
      </c>
      <c r="B12" s="2" t="s">
        <v>34</v>
      </c>
      <c r="C12" s="2"/>
      <c r="D12" s="2"/>
      <c r="E12" s="2"/>
      <c r="F12" s="2"/>
      <c r="G12" s="44">
        <v>1000000</v>
      </c>
      <c r="H12" s="45"/>
      <c r="I12" s="3" t="s">
        <v>24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5">
        <f t="shared" si="3"/>
        <v>0</v>
      </c>
      <c r="W12" s="6">
        <f t="shared" si="0"/>
        <v>0</v>
      </c>
      <c r="X12" s="6">
        <f t="shared" si="1"/>
        <v>0</v>
      </c>
      <c r="Y12" s="6">
        <f t="shared" si="2"/>
        <v>0</v>
      </c>
    </row>
    <row r="13" spans="1:25" x14ac:dyDescent="0.25">
      <c r="A13" s="2">
        <v>9</v>
      </c>
      <c r="B13" s="2" t="s">
        <v>35</v>
      </c>
      <c r="C13" s="2"/>
      <c r="D13" s="2"/>
      <c r="E13" s="2" t="s">
        <v>29</v>
      </c>
      <c r="F13" s="2"/>
      <c r="G13" s="44">
        <v>580000</v>
      </c>
      <c r="H13" s="45"/>
      <c r="I13" s="3" t="s">
        <v>24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5">
        <f t="shared" si="3"/>
        <v>0</v>
      </c>
      <c r="W13" s="6">
        <f t="shared" si="0"/>
        <v>0</v>
      </c>
      <c r="X13" s="6">
        <f t="shared" si="1"/>
        <v>0</v>
      </c>
      <c r="Y13" s="6">
        <f t="shared" si="2"/>
        <v>0</v>
      </c>
    </row>
    <row r="14" spans="1:25" x14ac:dyDescent="0.25">
      <c r="A14" s="2">
        <v>10</v>
      </c>
      <c r="B14" s="2" t="s">
        <v>36</v>
      </c>
      <c r="C14" s="2"/>
      <c r="D14" s="2"/>
      <c r="E14" s="2"/>
      <c r="F14" s="2"/>
      <c r="G14" s="44">
        <v>0</v>
      </c>
      <c r="H14" s="45" t="s">
        <v>572</v>
      </c>
      <c r="I14" s="3" t="s">
        <v>24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5">
        <f t="shared" si="3"/>
        <v>0</v>
      </c>
      <c r="W14" s="6">
        <f t="shared" si="0"/>
        <v>0</v>
      </c>
      <c r="X14" s="6">
        <f t="shared" si="1"/>
        <v>0</v>
      </c>
      <c r="Y14" s="6">
        <f t="shared" si="2"/>
        <v>0</v>
      </c>
    </row>
    <row r="15" spans="1:25" x14ac:dyDescent="0.25">
      <c r="A15" s="2">
        <v>11</v>
      </c>
      <c r="B15" s="8" t="s">
        <v>38</v>
      </c>
      <c r="C15" s="8"/>
      <c r="D15" s="8"/>
      <c r="E15" s="2" t="s">
        <v>554</v>
      </c>
      <c r="F15" s="8">
        <v>3</v>
      </c>
      <c r="G15" s="46">
        <v>1600000</v>
      </c>
      <c r="H15" s="47" t="s">
        <v>572</v>
      </c>
      <c r="I15" s="3" t="s">
        <v>24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4"/>
      <c r="Q15" s="4"/>
      <c r="R15" s="4"/>
      <c r="S15" s="4"/>
      <c r="T15" s="4"/>
      <c r="U15" s="4"/>
      <c r="V15" s="5">
        <f t="shared" si="3"/>
        <v>2800000</v>
      </c>
      <c r="W15" s="6">
        <f t="shared" si="0"/>
        <v>7</v>
      </c>
      <c r="X15" s="6">
        <f t="shared" si="1"/>
        <v>2</v>
      </c>
      <c r="Y15" s="6">
        <f t="shared" si="2"/>
        <v>7</v>
      </c>
    </row>
    <row r="16" spans="1:25" x14ac:dyDescent="0.25">
      <c r="A16" s="2">
        <v>12</v>
      </c>
      <c r="B16" s="8" t="s">
        <v>39</v>
      </c>
      <c r="C16" s="8"/>
      <c r="D16" s="8"/>
      <c r="E16" s="2"/>
      <c r="F16" s="8"/>
      <c r="G16" s="46">
        <v>1500000</v>
      </c>
      <c r="H16" s="47" t="s">
        <v>572</v>
      </c>
      <c r="I16" s="3" t="s">
        <v>24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/>
      <c r="Q16" s="4"/>
      <c r="R16" s="4"/>
      <c r="S16" s="4"/>
      <c r="T16" s="4"/>
      <c r="U16" s="4"/>
      <c r="V16" s="5">
        <f t="shared" si="3"/>
        <v>0</v>
      </c>
      <c r="W16" s="6">
        <f t="shared" si="0"/>
        <v>0</v>
      </c>
      <c r="X16" s="6">
        <f t="shared" si="1"/>
        <v>0</v>
      </c>
      <c r="Y16" s="6">
        <f t="shared" si="2"/>
        <v>0</v>
      </c>
    </row>
    <row r="17" spans="1:25" x14ac:dyDescent="0.25">
      <c r="A17" s="2">
        <v>13</v>
      </c>
      <c r="B17" s="2" t="s">
        <v>40</v>
      </c>
      <c r="C17" s="2">
        <v>1090395092</v>
      </c>
      <c r="D17" s="2"/>
      <c r="E17" s="2" t="s">
        <v>41</v>
      </c>
      <c r="F17" s="2"/>
      <c r="G17" s="44">
        <v>2820000</v>
      </c>
      <c r="H17" s="45" t="s">
        <v>572</v>
      </c>
      <c r="I17" s="3" t="s">
        <v>24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4"/>
      <c r="Q17" s="4"/>
      <c r="R17" s="4"/>
      <c r="S17" s="4"/>
      <c r="T17" s="4"/>
      <c r="U17" s="4"/>
      <c r="V17" s="5">
        <f t="shared" si="3"/>
        <v>2400000</v>
      </c>
      <c r="W17" s="6">
        <f t="shared" si="0"/>
        <v>6</v>
      </c>
      <c r="X17" s="6">
        <f t="shared" si="1"/>
        <v>4</v>
      </c>
      <c r="Y17" s="6">
        <f t="shared" si="2"/>
        <v>6</v>
      </c>
    </row>
    <row r="18" spans="1:25" x14ac:dyDescent="0.25">
      <c r="A18" s="2">
        <v>14</v>
      </c>
      <c r="B18" s="2" t="s">
        <v>42</v>
      </c>
      <c r="C18" s="2">
        <v>1095846194</v>
      </c>
      <c r="D18" s="2">
        <v>3022962452</v>
      </c>
      <c r="E18" s="2" t="s">
        <v>29</v>
      </c>
      <c r="F18" s="2"/>
      <c r="G18" s="44">
        <v>1000000</v>
      </c>
      <c r="H18" s="45" t="s">
        <v>572</v>
      </c>
      <c r="I18" s="3" t="s">
        <v>24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4"/>
      <c r="Q18" s="4"/>
      <c r="R18" s="4"/>
      <c r="S18" s="4"/>
      <c r="T18" s="4"/>
      <c r="U18" s="4"/>
      <c r="V18" s="5">
        <f t="shared" si="3"/>
        <v>800000</v>
      </c>
      <c r="W18" s="6">
        <f t="shared" si="0"/>
        <v>2</v>
      </c>
      <c r="X18" s="6">
        <f t="shared" si="1"/>
        <v>2</v>
      </c>
      <c r="Y18" s="6">
        <f t="shared" si="2"/>
        <v>2</v>
      </c>
    </row>
    <row r="19" spans="1:25" x14ac:dyDescent="0.25">
      <c r="A19" s="2">
        <v>15</v>
      </c>
      <c r="B19" s="2" t="s">
        <v>43</v>
      </c>
      <c r="C19" s="2"/>
      <c r="D19" s="2"/>
      <c r="E19" s="2" t="s">
        <v>29</v>
      </c>
      <c r="F19" s="2">
        <v>1</v>
      </c>
      <c r="G19" s="44">
        <v>6219000</v>
      </c>
      <c r="H19" s="45" t="s">
        <v>573</v>
      </c>
      <c r="I19" s="3" t="s">
        <v>24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4"/>
      <c r="Q19" s="4"/>
      <c r="R19" s="4"/>
      <c r="S19" s="4"/>
      <c r="T19" s="4"/>
      <c r="U19" s="4"/>
      <c r="V19" s="5">
        <f t="shared" si="3"/>
        <v>2600000</v>
      </c>
      <c r="W19" s="6">
        <f t="shared" si="0"/>
        <v>6.5</v>
      </c>
      <c r="X19" s="6">
        <f t="shared" si="1"/>
        <v>6</v>
      </c>
      <c r="Y19" s="6">
        <f t="shared" si="2"/>
        <v>7</v>
      </c>
    </row>
    <row r="20" spans="1:25" x14ac:dyDescent="0.25">
      <c r="A20" s="2">
        <v>16</v>
      </c>
      <c r="B20" s="8" t="s">
        <v>44</v>
      </c>
      <c r="C20" s="8"/>
      <c r="D20" s="8"/>
      <c r="E20" s="2" t="s">
        <v>29</v>
      </c>
      <c r="F20" s="8">
        <v>1</v>
      </c>
      <c r="G20" s="46">
        <v>4800000</v>
      </c>
      <c r="H20" s="47" t="s">
        <v>573</v>
      </c>
      <c r="I20" s="3" t="s">
        <v>24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4"/>
      <c r="Q20" s="4"/>
      <c r="R20" s="4"/>
      <c r="S20" s="4"/>
      <c r="T20" s="4"/>
      <c r="U20" s="4"/>
      <c r="V20" s="5">
        <f t="shared" si="3"/>
        <v>2000000</v>
      </c>
      <c r="W20" s="6">
        <f t="shared" si="0"/>
        <v>5</v>
      </c>
      <c r="X20" s="6">
        <f t="shared" si="1"/>
        <v>4</v>
      </c>
      <c r="Y20" s="6">
        <f t="shared" si="2"/>
        <v>5</v>
      </c>
    </row>
    <row r="21" spans="1:25" x14ac:dyDescent="0.25">
      <c r="A21" s="2">
        <v>17</v>
      </c>
      <c r="B21" s="8" t="s">
        <v>45</v>
      </c>
      <c r="C21" s="8">
        <v>14797460</v>
      </c>
      <c r="D21" s="8">
        <v>3160438302</v>
      </c>
      <c r="E21" s="2" t="s">
        <v>46</v>
      </c>
      <c r="F21" s="8"/>
      <c r="G21" s="46">
        <v>5200000</v>
      </c>
      <c r="H21" s="47" t="s">
        <v>572</v>
      </c>
      <c r="I21" s="3" t="s">
        <v>24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5">
        <f t="shared" si="3"/>
        <v>2000000</v>
      </c>
      <c r="W21" s="6">
        <f t="shared" si="0"/>
        <v>5</v>
      </c>
      <c r="X21" s="6">
        <f t="shared" si="1"/>
        <v>4</v>
      </c>
      <c r="Y21" s="6">
        <f t="shared" si="2"/>
        <v>5</v>
      </c>
    </row>
    <row r="22" spans="1:25" x14ac:dyDescent="0.25">
      <c r="A22" s="2">
        <v>18</v>
      </c>
      <c r="B22" s="2" t="s">
        <v>47</v>
      </c>
      <c r="C22" s="2"/>
      <c r="D22" s="2"/>
      <c r="E22" s="2" t="s">
        <v>29</v>
      </c>
      <c r="F22" s="2"/>
      <c r="G22" s="44">
        <v>100000</v>
      </c>
      <c r="H22" s="45" t="s">
        <v>572</v>
      </c>
      <c r="I22" s="3" t="s">
        <v>24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4"/>
      <c r="Q22" s="4"/>
      <c r="R22" s="4"/>
      <c r="S22" s="4"/>
      <c r="T22" s="4"/>
      <c r="U22" s="4"/>
      <c r="V22" s="5">
        <f t="shared" si="3"/>
        <v>800000</v>
      </c>
      <c r="W22" s="6">
        <f t="shared" si="0"/>
        <v>2</v>
      </c>
      <c r="X22" s="6">
        <f t="shared" si="1"/>
        <v>2</v>
      </c>
      <c r="Y22" s="6">
        <f t="shared" si="2"/>
        <v>2</v>
      </c>
    </row>
    <row r="23" spans="1:25" x14ac:dyDescent="0.25">
      <c r="A23" s="2">
        <v>19</v>
      </c>
      <c r="B23" s="2" t="s">
        <v>48</v>
      </c>
      <c r="C23" s="2">
        <v>79333423</v>
      </c>
      <c r="D23" s="2">
        <v>3166268412</v>
      </c>
      <c r="E23" s="2" t="s">
        <v>29</v>
      </c>
      <c r="F23" s="2">
        <v>3</v>
      </c>
      <c r="G23" s="44">
        <v>22900000</v>
      </c>
      <c r="H23" s="45" t="s">
        <v>573</v>
      </c>
      <c r="I23" s="3" t="s">
        <v>24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2800000</v>
      </c>
      <c r="P23" s="4"/>
      <c r="Q23" s="4"/>
      <c r="R23" s="4"/>
      <c r="S23" s="4"/>
      <c r="T23" s="4"/>
      <c r="U23" s="4"/>
      <c r="V23" s="5">
        <f t="shared" si="3"/>
        <v>10800000</v>
      </c>
      <c r="W23" s="6">
        <f t="shared" si="0"/>
        <v>27</v>
      </c>
      <c r="X23" s="6">
        <f t="shared" si="1"/>
        <v>6</v>
      </c>
      <c r="Y23" s="6">
        <f t="shared" si="2"/>
        <v>27</v>
      </c>
    </row>
    <row r="24" spans="1:25" x14ac:dyDescent="0.25">
      <c r="A24" s="2">
        <v>20</v>
      </c>
      <c r="B24" s="2" t="s">
        <v>49</v>
      </c>
      <c r="C24" s="2"/>
      <c r="D24" s="2"/>
      <c r="E24" s="2" t="s">
        <v>41</v>
      </c>
      <c r="F24" s="2"/>
      <c r="G24" s="44">
        <v>800000</v>
      </c>
      <c r="H24" s="45" t="s">
        <v>572</v>
      </c>
      <c r="I24" s="3" t="s">
        <v>24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4"/>
      <c r="Q24" s="4"/>
      <c r="R24" s="4"/>
      <c r="S24" s="4"/>
      <c r="T24" s="4"/>
      <c r="U24" s="4"/>
      <c r="V24" s="5">
        <f t="shared" si="3"/>
        <v>400000</v>
      </c>
      <c r="W24" s="6">
        <f t="shared" si="0"/>
        <v>1</v>
      </c>
      <c r="X24" s="6">
        <f t="shared" si="1"/>
        <v>1</v>
      </c>
      <c r="Y24" s="6">
        <f t="shared" si="2"/>
        <v>1</v>
      </c>
    </row>
    <row r="25" spans="1:25" x14ac:dyDescent="0.25">
      <c r="A25" s="2">
        <v>21</v>
      </c>
      <c r="B25" s="8" t="s">
        <v>50</v>
      </c>
      <c r="C25" s="8"/>
      <c r="D25" s="8"/>
      <c r="E25" s="2" t="s">
        <v>382</v>
      </c>
      <c r="F25" s="8">
        <v>1</v>
      </c>
      <c r="G25" s="46">
        <v>1200000</v>
      </c>
      <c r="H25" s="47" t="s">
        <v>572</v>
      </c>
      <c r="I25" s="3" t="s">
        <v>24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4"/>
      <c r="Q25" s="4"/>
      <c r="R25" s="4"/>
      <c r="S25" s="4"/>
      <c r="T25" s="4"/>
      <c r="U25" s="4"/>
      <c r="V25" s="5">
        <f t="shared" si="3"/>
        <v>2800000</v>
      </c>
      <c r="W25" s="6">
        <f t="shared" si="0"/>
        <v>7</v>
      </c>
      <c r="X25" s="6">
        <f t="shared" si="1"/>
        <v>5</v>
      </c>
      <c r="Y25" s="6">
        <f t="shared" si="2"/>
        <v>7</v>
      </c>
    </row>
    <row r="26" spans="1:25" x14ac:dyDescent="0.25">
      <c r="A26" s="2">
        <v>22</v>
      </c>
      <c r="B26" s="9" t="s">
        <v>51</v>
      </c>
      <c r="C26" s="9"/>
      <c r="D26" s="9"/>
      <c r="E26" s="2"/>
      <c r="F26" s="2"/>
      <c r="G26" s="44">
        <v>200000</v>
      </c>
      <c r="H26" s="45" t="s">
        <v>572</v>
      </c>
      <c r="I26" s="3" t="s">
        <v>24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/>
      <c r="Q26" s="4"/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23</v>
      </c>
      <c r="B27" s="2" t="s">
        <v>52</v>
      </c>
      <c r="C27" s="2"/>
      <c r="D27" s="2"/>
      <c r="E27" s="2"/>
      <c r="F27" s="2"/>
      <c r="G27" s="44">
        <v>2400000</v>
      </c>
      <c r="H27" s="45" t="s">
        <v>572</v>
      </c>
      <c r="I27" s="3" t="s">
        <v>24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/>
      <c r="Q27" s="4"/>
      <c r="R27" s="4"/>
      <c r="S27" s="4"/>
      <c r="T27" s="4"/>
      <c r="U27" s="4"/>
      <c r="V27" s="5">
        <f t="shared" si="3"/>
        <v>0</v>
      </c>
      <c r="W27" s="6">
        <f t="shared" si="0"/>
        <v>0</v>
      </c>
      <c r="X27" s="6">
        <f t="shared" si="1"/>
        <v>0</v>
      </c>
      <c r="Y27" s="6">
        <f t="shared" si="2"/>
        <v>0</v>
      </c>
    </row>
    <row r="28" spans="1:25" x14ac:dyDescent="0.25">
      <c r="A28" s="2">
        <v>24</v>
      </c>
      <c r="B28" s="2" t="s">
        <v>53</v>
      </c>
      <c r="C28" s="2"/>
      <c r="D28" s="2"/>
      <c r="E28" s="2" t="s">
        <v>29</v>
      </c>
      <c r="F28" s="2">
        <v>1</v>
      </c>
      <c r="G28" s="44">
        <v>4400000</v>
      </c>
      <c r="H28" s="45" t="s">
        <v>572</v>
      </c>
      <c r="I28" s="3" t="s">
        <v>24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0</v>
      </c>
      <c r="P28" s="4"/>
      <c r="Q28" s="4"/>
      <c r="R28" s="4"/>
      <c r="S28" s="4"/>
      <c r="T28" s="4"/>
      <c r="U28" s="4"/>
      <c r="V28" s="5">
        <f t="shared" si="3"/>
        <v>1600000</v>
      </c>
      <c r="W28" s="6">
        <f t="shared" si="0"/>
        <v>4</v>
      </c>
      <c r="X28" s="6">
        <f t="shared" si="1"/>
        <v>3</v>
      </c>
      <c r="Y28" s="6">
        <f t="shared" si="2"/>
        <v>4</v>
      </c>
    </row>
    <row r="29" spans="1:25" x14ac:dyDescent="0.25">
      <c r="A29" s="2">
        <v>25</v>
      </c>
      <c r="B29" s="2" t="s">
        <v>54</v>
      </c>
      <c r="C29" s="2"/>
      <c r="D29" s="2"/>
      <c r="E29" s="2" t="s">
        <v>29</v>
      </c>
      <c r="F29" s="2">
        <v>1</v>
      </c>
      <c r="G29" s="44">
        <v>240000</v>
      </c>
      <c r="H29" s="45" t="s">
        <v>573</v>
      </c>
      <c r="I29" s="3" t="s">
        <v>24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/>
      <c r="Q29" s="4"/>
      <c r="R29" s="4"/>
      <c r="S29" s="4"/>
      <c r="T29" s="4"/>
      <c r="U29" s="4"/>
      <c r="V29" s="5">
        <f t="shared" si="3"/>
        <v>0</v>
      </c>
      <c r="W29" s="6">
        <f t="shared" si="0"/>
        <v>0</v>
      </c>
      <c r="X29" s="6">
        <f t="shared" si="1"/>
        <v>0</v>
      </c>
      <c r="Y29" s="6">
        <f t="shared" si="2"/>
        <v>0</v>
      </c>
    </row>
    <row r="30" spans="1:25" x14ac:dyDescent="0.25">
      <c r="A30" s="2">
        <v>26</v>
      </c>
      <c r="B30" s="8" t="s">
        <v>55</v>
      </c>
      <c r="C30" s="8">
        <v>60362206</v>
      </c>
      <c r="D30" s="8">
        <v>3165652640</v>
      </c>
      <c r="E30" s="2" t="s">
        <v>56</v>
      </c>
      <c r="F30" s="8">
        <v>1</v>
      </c>
      <c r="G30" s="46">
        <v>1000000</v>
      </c>
      <c r="H30" s="47" t="s">
        <v>574</v>
      </c>
      <c r="I30" s="3" t="s">
        <v>24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4"/>
      <c r="Q30" s="4"/>
      <c r="R30" s="4"/>
      <c r="S30" s="4"/>
      <c r="T30" s="4"/>
      <c r="U30" s="4"/>
      <c r="V30" s="5">
        <f t="shared" si="3"/>
        <v>1600000</v>
      </c>
      <c r="W30" s="6">
        <f t="shared" si="0"/>
        <v>4</v>
      </c>
      <c r="X30" s="6">
        <f t="shared" si="1"/>
        <v>4</v>
      </c>
      <c r="Y30" s="6">
        <f t="shared" si="2"/>
        <v>4</v>
      </c>
    </row>
    <row r="31" spans="1:25" x14ac:dyDescent="0.25">
      <c r="A31" s="2">
        <v>27</v>
      </c>
      <c r="B31" s="2" t="s">
        <v>57</v>
      </c>
      <c r="C31" s="2"/>
      <c r="D31" s="2"/>
      <c r="E31" s="2" t="s">
        <v>29</v>
      </c>
      <c r="F31" s="2"/>
      <c r="G31" s="44">
        <v>100000</v>
      </c>
      <c r="H31" s="45" t="s">
        <v>573</v>
      </c>
      <c r="I31" s="3" t="s">
        <v>24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/>
      <c r="Q31" s="4"/>
      <c r="R31" s="4"/>
      <c r="S31" s="4"/>
      <c r="T31" s="4"/>
      <c r="U31" s="4"/>
      <c r="V31" s="5">
        <f t="shared" si="3"/>
        <v>0</v>
      </c>
      <c r="W31" s="6">
        <f t="shared" si="0"/>
        <v>0</v>
      </c>
      <c r="X31" s="6">
        <f t="shared" si="1"/>
        <v>0</v>
      </c>
      <c r="Y31" s="6">
        <f t="shared" si="2"/>
        <v>0</v>
      </c>
    </row>
    <row r="32" spans="1:25" x14ac:dyDescent="0.25">
      <c r="A32" s="2">
        <v>28</v>
      </c>
      <c r="B32" s="8" t="s">
        <v>58</v>
      </c>
      <c r="C32" s="8">
        <v>88230239</v>
      </c>
      <c r="D32" s="8">
        <v>3123933769</v>
      </c>
      <c r="E32" s="2" t="s">
        <v>59</v>
      </c>
      <c r="F32" s="8">
        <v>1</v>
      </c>
      <c r="G32" s="46">
        <v>10045000</v>
      </c>
      <c r="H32" s="47" t="s">
        <v>574</v>
      </c>
      <c r="I32" s="3" t="s">
        <v>24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4"/>
      <c r="Q32" s="4"/>
      <c r="R32" s="4"/>
      <c r="S32" s="4"/>
      <c r="T32" s="4"/>
      <c r="U32" s="4"/>
      <c r="V32" s="5">
        <f t="shared" si="3"/>
        <v>8200000</v>
      </c>
      <c r="W32" s="6">
        <f t="shared" si="0"/>
        <v>20.5</v>
      </c>
      <c r="X32" s="6">
        <f t="shared" si="1"/>
        <v>6</v>
      </c>
      <c r="Y32" s="6">
        <f t="shared" si="2"/>
        <v>21</v>
      </c>
    </row>
    <row r="33" spans="1:25" x14ac:dyDescent="0.25">
      <c r="A33" s="2">
        <v>29</v>
      </c>
      <c r="B33" s="2" t="s">
        <v>60</v>
      </c>
      <c r="C33" s="2"/>
      <c r="D33" s="2"/>
      <c r="E33" s="2" t="s">
        <v>29</v>
      </c>
      <c r="F33" s="2"/>
      <c r="G33" s="44">
        <v>450000</v>
      </c>
      <c r="H33" s="44" t="s">
        <v>573</v>
      </c>
      <c r="I33" s="3" t="s">
        <v>24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/>
      <c r="Q33" s="4"/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30</v>
      </c>
      <c r="B34" s="8" t="s">
        <v>61</v>
      </c>
      <c r="C34" s="8"/>
      <c r="D34" s="8"/>
      <c r="E34" s="2"/>
      <c r="F34" s="2">
        <v>1</v>
      </c>
      <c r="G34" s="46">
        <v>0</v>
      </c>
      <c r="H34" s="45" t="s">
        <v>575</v>
      </c>
      <c r="I34" s="3" t="s">
        <v>24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/>
      <c r="Q34" s="4"/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x14ac:dyDescent="0.25">
      <c r="A35" s="2">
        <v>31</v>
      </c>
      <c r="B35" s="2" t="s">
        <v>62</v>
      </c>
      <c r="C35" s="2"/>
      <c r="D35" s="2"/>
      <c r="E35" s="2" t="s">
        <v>29</v>
      </c>
      <c r="F35" s="2"/>
      <c r="G35" s="44">
        <v>400000</v>
      </c>
      <c r="H35" s="45" t="s">
        <v>572</v>
      </c>
      <c r="I35" s="3" t="s">
        <v>24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/>
      <c r="Q35" s="4"/>
      <c r="R35" s="4"/>
      <c r="S35" s="4"/>
      <c r="T35" s="4"/>
      <c r="U35" s="4"/>
      <c r="V35" s="5">
        <f t="shared" si="3"/>
        <v>0</v>
      </c>
      <c r="W35" s="6">
        <f t="shared" si="0"/>
        <v>0</v>
      </c>
      <c r="X35" s="6">
        <f t="shared" si="1"/>
        <v>0</v>
      </c>
      <c r="Y35" s="6">
        <f t="shared" si="2"/>
        <v>0</v>
      </c>
    </row>
    <row r="36" spans="1:25" x14ac:dyDescent="0.25">
      <c r="A36" s="2">
        <v>32</v>
      </c>
      <c r="B36" s="8" t="s">
        <v>63</v>
      </c>
      <c r="C36" s="8">
        <v>23963745</v>
      </c>
      <c r="D36" s="8">
        <v>3142385522</v>
      </c>
      <c r="E36" s="2" t="s">
        <v>29</v>
      </c>
      <c r="F36" s="8">
        <v>2</v>
      </c>
      <c r="G36" s="46">
        <v>21600000</v>
      </c>
      <c r="H36" s="47" t="s">
        <v>576</v>
      </c>
      <c r="I36" s="3" t="s">
        <v>24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4"/>
      <c r="Q36" s="4"/>
      <c r="R36" s="4"/>
      <c r="S36" s="4"/>
      <c r="T36" s="4"/>
      <c r="U36" s="4"/>
      <c r="V36" s="5">
        <f t="shared" si="3"/>
        <v>23600000</v>
      </c>
      <c r="W36" s="6">
        <f t="shared" si="0"/>
        <v>59</v>
      </c>
      <c r="X36" s="6">
        <f t="shared" si="1"/>
        <v>6</v>
      </c>
      <c r="Y36" s="6">
        <f t="shared" si="2"/>
        <v>59</v>
      </c>
    </row>
    <row r="37" spans="1:25" x14ac:dyDescent="0.25">
      <c r="A37" s="2">
        <v>33</v>
      </c>
      <c r="B37" s="2" t="s">
        <v>64</v>
      </c>
      <c r="C37" s="2"/>
      <c r="D37" s="2"/>
      <c r="E37" s="2" t="s">
        <v>29</v>
      </c>
      <c r="F37" s="2"/>
      <c r="G37" s="44">
        <v>2200000</v>
      </c>
      <c r="H37" s="44" t="s">
        <v>573</v>
      </c>
      <c r="I37" s="3" t="s">
        <v>24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4"/>
      <c r="Q37" s="4"/>
      <c r="R37" s="4"/>
      <c r="S37" s="4"/>
      <c r="T37" s="4"/>
      <c r="U37" s="4"/>
      <c r="V37" s="5">
        <f t="shared" si="3"/>
        <v>2400000</v>
      </c>
      <c r="W37" s="6">
        <f t="shared" si="0"/>
        <v>6</v>
      </c>
      <c r="X37" s="6">
        <f t="shared" si="1"/>
        <v>6</v>
      </c>
      <c r="Y37" s="6">
        <f t="shared" si="2"/>
        <v>6</v>
      </c>
    </row>
    <row r="38" spans="1:25" x14ac:dyDescent="0.25">
      <c r="A38" s="2">
        <v>34</v>
      </c>
      <c r="B38" s="8" t="s">
        <v>65</v>
      </c>
      <c r="C38" s="8">
        <v>13177594</v>
      </c>
      <c r="D38" s="8">
        <v>3107951023</v>
      </c>
      <c r="E38" s="2" t="s">
        <v>66</v>
      </c>
      <c r="F38" s="8">
        <v>1</v>
      </c>
      <c r="G38" s="46">
        <v>800000</v>
      </c>
      <c r="H38" s="47" t="s">
        <v>575</v>
      </c>
      <c r="I38" s="3" t="s">
        <v>24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4"/>
      <c r="Q38" s="4"/>
      <c r="R38" s="4"/>
      <c r="S38" s="4"/>
      <c r="T38" s="4"/>
      <c r="U38" s="4"/>
      <c r="V38" s="5">
        <f t="shared" si="3"/>
        <v>800000</v>
      </c>
      <c r="W38" s="6">
        <f t="shared" si="0"/>
        <v>2</v>
      </c>
      <c r="X38" s="6">
        <f t="shared" si="1"/>
        <v>2</v>
      </c>
      <c r="Y38" s="6">
        <f t="shared" si="2"/>
        <v>2</v>
      </c>
    </row>
    <row r="39" spans="1:25" x14ac:dyDescent="0.25">
      <c r="A39" s="2">
        <v>35</v>
      </c>
      <c r="B39" s="8" t="s">
        <v>67</v>
      </c>
      <c r="C39" s="8"/>
      <c r="D39" s="8"/>
      <c r="E39" s="2"/>
      <c r="F39" s="8"/>
      <c r="G39" s="46">
        <v>1200000</v>
      </c>
      <c r="H39" s="47" t="s">
        <v>572</v>
      </c>
      <c r="I39" s="3" t="s">
        <v>24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/>
      <c r="Q39" s="4"/>
      <c r="R39" s="4"/>
      <c r="S39" s="4"/>
      <c r="T39" s="4"/>
      <c r="U39" s="4"/>
      <c r="V39" s="5">
        <f t="shared" si="3"/>
        <v>0</v>
      </c>
      <c r="W39" s="6">
        <f t="shared" si="0"/>
        <v>0</v>
      </c>
      <c r="X39" s="6">
        <f t="shared" si="1"/>
        <v>0</v>
      </c>
      <c r="Y39" s="6">
        <f t="shared" si="2"/>
        <v>0</v>
      </c>
    </row>
    <row r="40" spans="1:25" x14ac:dyDescent="0.25">
      <c r="A40" s="2">
        <v>36</v>
      </c>
      <c r="B40" s="8" t="s">
        <v>68</v>
      </c>
      <c r="C40" s="8">
        <v>4803428</v>
      </c>
      <c r="D40" s="8">
        <v>3009838761</v>
      </c>
      <c r="E40" s="2" t="s">
        <v>69</v>
      </c>
      <c r="F40" s="8"/>
      <c r="G40" s="46">
        <v>4400000</v>
      </c>
      <c r="H40" s="47" t="s">
        <v>572</v>
      </c>
      <c r="I40" s="3" t="s">
        <v>24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4"/>
      <c r="Q40" s="4"/>
      <c r="R40" s="4"/>
      <c r="S40" s="4"/>
      <c r="T40" s="4"/>
      <c r="U40" s="4"/>
      <c r="V40" s="5">
        <f t="shared" si="3"/>
        <v>6400000</v>
      </c>
      <c r="W40" s="6">
        <f t="shared" si="0"/>
        <v>16</v>
      </c>
      <c r="X40" s="6">
        <f t="shared" si="1"/>
        <v>4</v>
      </c>
      <c r="Y40" s="6">
        <f t="shared" si="2"/>
        <v>16</v>
      </c>
    </row>
    <row r="41" spans="1:25" x14ac:dyDescent="0.25">
      <c r="A41" s="2">
        <v>37</v>
      </c>
      <c r="B41" s="8" t="s">
        <v>70</v>
      </c>
      <c r="C41" s="8">
        <v>93206783</v>
      </c>
      <c r="D41" s="8">
        <v>3125188563</v>
      </c>
      <c r="E41" s="2" t="s">
        <v>69</v>
      </c>
      <c r="F41" s="2"/>
      <c r="G41" s="46">
        <v>6000000</v>
      </c>
      <c r="H41" s="45" t="s">
        <v>572</v>
      </c>
      <c r="I41" s="3" t="s">
        <v>24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4"/>
      <c r="Q41" s="4"/>
      <c r="R41" s="4"/>
      <c r="S41" s="4"/>
      <c r="T41" s="4"/>
      <c r="U41" s="4"/>
      <c r="V41" s="5">
        <f t="shared" si="3"/>
        <v>2400000</v>
      </c>
      <c r="W41" s="6">
        <f t="shared" si="0"/>
        <v>6</v>
      </c>
      <c r="X41" s="6">
        <f t="shared" si="1"/>
        <v>3</v>
      </c>
      <c r="Y41" s="6">
        <f t="shared" si="2"/>
        <v>6</v>
      </c>
    </row>
    <row r="42" spans="1:25" x14ac:dyDescent="0.25">
      <c r="A42" s="2">
        <v>38</v>
      </c>
      <c r="B42" s="8" t="s">
        <v>71</v>
      </c>
      <c r="C42" s="8">
        <v>72147202</v>
      </c>
      <c r="D42" s="8">
        <v>3126317467</v>
      </c>
      <c r="E42" s="2" t="s">
        <v>72</v>
      </c>
      <c r="F42" s="2"/>
      <c r="G42" s="46">
        <v>4400000</v>
      </c>
      <c r="H42" s="45" t="s">
        <v>574</v>
      </c>
      <c r="I42" s="3" t="s">
        <v>24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4"/>
      <c r="Q42" s="4"/>
      <c r="R42" s="4"/>
      <c r="S42" s="4"/>
      <c r="T42" s="4"/>
      <c r="U42" s="4"/>
      <c r="V42" s="5">
        <f t="shared" si="3"/>
        <v>400000</v>
      </c>
      <c r="W42" s="6">
        <f t="shared" si="0"/>
        <v>1</v>
      </c>
      <c r="X42" s="6">
        <f t="shared" si="1"/>
        <v>1</v>
      </c>
      <c r="Y42" s="6">
        <f t="shared" si="2"/>
        <v>1</v>
      </c>
    </row>
    <row r="43" spans="1:25" x14ac:dyDescent="0.25">
      <c r="A43" s="2">
        <v>39</v>
      </c>
      <c r="B43" s="8" t="s">
        <v>73</v>
      </c>
      <c r="C43" s="8"/>
      <c r="D43" s="8"/>
      <c r="E43" s="2" t="s">
        <v>74</v>
      </c>
      <c r="F43" s="8"/>
      <c r="G43" s="46">
        <v>6522000</v>
      </c>
      <c r="H43" s="47" t="s">
        <v>572</v>
      </c>
      <c r="I43" s="3" t="s">
        <v>24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/>
      <c r="Q43" s="4"/>
      <c r="R43" s="4"/>
      <c r="S43" s="4"/>
      <c r="T43" s="4"/>
      <c r="U43" s="4"/>
      <c r="V43" s="5">
        <f t="shared" si="3"/>
        <v>0</v>
      </c>
      <c r="W43" s="6">
        <f t="shared" si="0"/>
        <v>0</v>
      </c>
      <c r="X43" s="6">
        <f t="shared" si="1"/>
        <v>0</v>
      </c>
      <c r="Y43" s="6">
        <f t="shared" si="2"/>
        <v>0</v>
      </c>
    </row>
    <row r="44" spans="1:25" x14ac:dyDescent="0.25">
      <c r="A44" s="2">
        <v>40</v>
      </c>
      <c r="B44" s="8" t="s">
        <v>75</v>
      </c>
      <c r="C44" s="8">
        <v>8742974</v>
      </c>
      <c r="D44" s="8">
        <v>317889812</v>
      </c>
      <c r="E44" s="2" t="s">
        <v>76</v>
      </c>
      <c r="F44" s="8"/>
      <c r="G44" s="46">
        <v>20208000</v>
      </c>
      <c r="H44" s="47" t="s">
        <v>572</v>
      </c>
      <c r="I44" s="3" t="s">
        <v>24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4"/>
      <c r="Q44" s="4"/>
      <c r="R44" s="4"/>
      <c r="S44" s="4"/>
      <c r="T44" s="4"/>
      <c r="U44" s="4"/>
      <c r="V44" s="5">
        <f t="shared" si="3"/>
        <v>8835000</v>
      </c>
      <c r="W44" s="6">
        <f t="shared" si="0"/>
        <v>22.087499999999999</v>
      </c>
      <c r="X44" s="6">
        <f t="shared" si="1"/>
        <v>5</v>
      </c>
      <c r="Y44" s="6">
        <f t="shared" si="2"/>
        <v>23</v>
      </c>
    </row>
    <row r="45" spans="1:25" x14ac:dyDescent="0.25">
      <c r="A45" s="2">
        <v>41</v>
      </c>
      <c r="B45" s="8" t="s">
        <v>77</v>
      </c>
      <c r="C45" s="8"/>
      <c r="D45" s="8"/>
      <c r="E45" s="2" t="s">
        <v>555</v>
      </c>
      <c r="F45" s="8"/>
      <c r="G45" s="46">
        <v>600000</v>
      </c>
      <c r="H45" s="47" t="s">
        <v>572</v>
      </c>
      <c r="I45" s="3" t="s">
        <v>24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4"/>
      <c r="Q45" s="4"/>
      <c r="R45" s="4"/>
      <c r="S45" s="4"/>
      <c r="T45" s="4"/>
      <c r="U45" s="4"/>
      <c r="V45" s="5">
        <f t="shared" si="3"/>
        <v>400000</v>
      </c>
      <c r="W45" s="6">
        <f t="shared" si="0"/>
        <v>1</v>
      </c>
      <c r="X45" s="6">
        <f t="shared" si="1"/>
        <v>1</v>
      </c>
      <c r="Y45" s="6">
        <f t="shared" si="2"/>
        <v>1</v>
      </c>
    </row>
    <row r="46" spans="1:25" x14ac:dyDescent="0.25">
      <c r="A46" s="2">
        <v>42</v>
      </c>
      <c r="B46" s="2" t="s">
        <v>78</v>
      </c>
      <c r="C46" s="2">
        <v>900379577</v>
      </c>
      <c r="D46" s="2">
        <v>31844096518</v>
      </c>
      <c r="E46" s="2" t="s">
        <v>473</v>
      </c>
      <c r="F46" s="2"/>
      <c r="G46" s="44">
        <v>19725000</v>
      </c>
      <c r="H46" s="45"/>
      <c r="I46" s="3" t="s">
        <v>24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4"/>
      <c r="Q46" s="4"/>
      <c r="R46" s="4"/>
      <c r="S46" s="4"/>
      <c r="T46" s="4"/>
      <c r="U46" s="4"/>
      <c r="V46" s="5">
        <f t="shared" si="3"/>
        <v>44800000</v>
      </c>
      <c r="W46" s="6">
        <f t="shared" si="0"/>
        <v>112</v>
      </c>
      <c r="X46" s="6">
        <f t="shared" si="1"/>
        <v>5</v>
      </c>
      <c r="Y46" s="6">
        <f t="shared" si="2"/>
        <v>112</v>
      </c>
    </row>
    <row r="47" spans="1:25" x14ac:dyDescent="0.25">
      <c r="A47" s="2">
        <v>43</v>
      </c>
      <c r="B47" s="2" t="s">
        <v>79</v>
      </c>
      <c r="C47" s="2"/>
      <c r="D47" s="2"/>
      <c r="E47" s="2" t="s">
        <v>80</v>
      </c>
      <c r="F47" s="2">
        <v>1</v>
      </c>
      <c r="G47" s="44">
        <v>4095000</v>
      </c>
      <c r="H47" s="45" t="s">
        <v>572</v>
      </c>
      <c r="I47" s="3" t="s">
        <v>24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4"/>
      <c r="Q47" s="4"/>
      <c r="R47" s="4"/>
      <c r="S47" s="4"/>
      <c r="T47" s="4"/>
      <c r="U47" s="4"/>
      <c r="V47" s="5">
        <f t="shared" si="3"/>
        <v>4250000</v>
      </c>
      <c r="W47" s="6">
        <f t="shared" si="0"/>
        <v>10.625</v>
      </c>
      <c r="X47" s="6">
        <f t="shared" si="1"/>
        <v>3</v>
      </c>
      <c r="Y47" s="6">
        <f t="shared" si="2"/>
        <v>11</v>
      </c>
    </row>
    <row r="48" spans="1:25" x14ac:dyDescent="0.25">
      <c r="A48" s="2">
        <v>44</v>
      </c>
      <c r="B48" s="2" t="s">
        <v>81</v>
      </c>
      <c r="C48" s="2"/>
      <c r="D48" s="2"/>
      <c r="E48" s="2" t="s">
        <v>82</v>
      </c>
      <c r="F48" s="2">
        <v>1</v>
      </c>
      <c r="G48" s="44">
        <v>12937600</v>
      </c>
      <c r="H48" s="45" t="s">
        <v>574</v>
      </c>
      <c r="I48" s="3" t="s">
        <v>24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4"/>
      <c r="Q48" s="4"/>
      <c r="R48" s="4"/>
      <c r="S48" s="4"/>
      <c r="T48" s="4"/>
      <c r="U48" s="4"/>
      <c r="V48" s="5">
        <f t="shared" si="3"/>
        <v>29600000</v>
      </c>
      <c r="W48" s="6">
        <f t="shared" si="0"/>
        <v>74</v>
      </c>
      <c r="X48" s="6">
        <f t="shared" si="1"/>
        <v>4</v>
      </c>
      <c r="Y48" s="6">
        <f t="shared" si="2"/>
        <v>74</v>
      </c>
    </row>
    <row r="49" spans="1:25" x14ac:dyDescent="0.25">
      <c r="A49" s="2">
        <v>45</v>
      </c>
      <c r="B49" s="8" t="s">
        <v>83</v>
      </c>
      <c r="C49" s="8">
        <v>16354014</v>
      </c>
      <c r="D49" s="8">
        <v>3133884161</v>
      </c>
      <c r="E49" s="2" t="s">
        <v>41</v>
      </c>
      <c r="F49" s="8">
        <v>1</v>
      </c>
      <c r="G49" s="46">
        <v>16940000</v>
      </c>
      <c r="H49" s="47" t="s">
        <v>574</v>
      </c>
      <c r="I49" s="3" t="s">
        <v>24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4"/>
      <c r="Q49" s="4"/>
      <c r="R49" s="4"/>
      <c r="S49" s="4"/>
      <c r="T49" s="4"/>
      <c r="U49" s="4"/>
      <c r="V49" s="5">
        <f t="shared" si="3"/>
        <v>3625000</v>
      </c>
      <c r="W49" s="6">
        <f t="shared" si="0"/>
        <v>9.0625</v>
      </c>
      <c r="X49" s="6">
        <f t="shared" si="1"/>
        <v>4</v>
      </c>
      <c r="Y49" s="6">
        <f t="shared" si="2"/>
        <v>10</v>
      </c>
    </row>
    <row r="50" spans="1:25" x14ac:dyDescent="0.25">
      <c r="A50" s="2">
        <v>46</v>
      </c>
      <c r="B50" s="8" t="s">
        <v>84</v>
      </c>
      <c r="C50" s="8"/>
      <c r="D50" s="8"/>
      <c r="E50" s="2" t="s">
        <v>556</v>
      </c>
      <c r="F50" s="8"/>
      <c r="G50" s="46">
        <v>2700000</v>
      </c>
      <c r="H50" s="47" t="s">
        <v>572</v>
      </c>
      <c r="I50" s="3" t="s">
        <v>24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0</v>
      </c>
      <c r="P50" s="4"/>
      <c r="Q50" s="4"/>
      <c r="R50" s="4"/>
      <c r="S50" s="4"/>
      <c r="T50" s="4"/>
      <c r="U50" s="4"/>
      <c r="V50" s="5">
        <f t="shared" si="3"/>
        <v>350000</v>
      </c>
      <c r="W50" s="6">
        <f t="shared" si="0"/>
        <v>0.875</v>
      </c>
      <c r="X50" s="6">
        <f t="shared" si="1"/>
        <v>3</v>
      </c>
      <c r="Y50" s="6">
        <f t="shared" si="2"/>
        <v>1</v>
      </c>
    </row>
    <row r="51" spans="1:25" x14ac:dyDescent="0.25">
      <c r="A51" s="2">
        <v>47</v>
      </c>
      <c r="B51" s="8" t="s">
        <v>85</v>
      </c>
      <c r="C51" s="8">
        <v>900299699</v>
      </c>
      <c r="D51" s="8">
        <v>3214118979</v>
      </c>
      <c r="E51" s="2" t="s">
        <v>29</v>
      </c>
      <c r="F51" s="2"/>
      <c r="G51" s="46">
        <v>16800000</v>
      </c>
      <c r="H51" s="45" t="s">
        <v>577</v>
      </c>
      <c r="I51" s="3" t="s">
        <v>24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4"/>
      <c r="Q51" s="4"/>
      <c r="R51" s="4"/>
      <c r="S51" s="4"/>
      <c r="T51" s="4"/>
      <c r="U51" s="4"/>
      <c r="V51" s="5">
        <f t="shared" si="3"/>
        <v>4800000</v>
      </c>
      <c r="W51" s="6">
        <f t="shared" si="0"/>
        <v>12</v>
      </c>
      <c r="X51" s="6">
        <f t="shared" si="1"/>
        <v>6</v>
      </c>
      <c r="Y51" s="6">
        <f t="shared" si="2"/>
        <v>12</v>
      </c>
    </row>
    <row r="52" spans="1:25" x14ac:dyDescent="0.25">
      <c r="A52" s="2">
        <v>48</v>
      </c>
      <c r="B52" s="8" t="s">
        <v>86</v>
      </c>
      <c r="C52" s="8"/>
      <c r="D52" s="8"/>
      <c r="E52" s="2" t="s">
        <v>87</v>
      </c>
      <c r="F52" s="8"/>
      <c r="G52" s="46">
        <v>220000</v>
      </c>
      <c r="H52" s="47" t="s">
        <v>574</v>
      </c>
      <c r="I52" s="3" t="s">
        <v>24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4"/>
      <c r="Q52" s="4"/>
      <c r="R52" s="4"/>
      <c r="S52" s="4"/>
      <c r="T52" s="4"/>
      <c r="U52" s="4"/>
      <c r="V52" s="5">
        <f t="shared" si="3"/>
        <v>400000</v>
      </c>
      <c r="W52" s="6">
        <f t="shared" si="0"/>
        <v>1</v>
      </c>
      <c r="X52" s="6">
        <f t="shared" si="1"/>
        <v>1</v>
      </c>
      <c r="Y52" s="6">
        <f t="shared" si="2"/>
        <v>1</v>
      </c>
    </row>
    <row r="53" spans="1:25" x14ac:dyDescent="0.25">
      <c r="A53" s="2">
        <v>49</v>
      </c>
      <c r="B53" s="8" t="s">
        <v>88</v>
      </c>
      <c r="C53" s="8"/>
      <c r="D53" s="8"/>
      <c r="E53" s="2" t="s">
        <v>31</v>
      </c>
      <c r="F53" s="2"/>
      <c r="G53" s="46">
        <v>13600000</v>
      </c>
      <c r="H53" s="45" t="s">
        <v>572</v>
      </c>
      <c r="I53" s="3" t="s">
        <v>24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0</v>
      </c>
      <c r="P53" s="4"/>
      <c r="Q53" s="4"/>
      <c r="R53" s="4"/>
      <c r="S53" s="4"/>
      <c r="T53" s="4"/>
      <c r="U53" s="4"/>
      <c r="V53" s="5">
        <f t="shared" si="3"/>
        <v>6150000</v>
      </c>
      <c r="W53" s="6">
        <f t="shared" si="0"/>
        <v>15.375</v>
      </c>
      <c r="X53" s="6">
        <f t="shared" si="1"/>
        <v>4</v>
      </c>
      <c r="Y53" s="6">
        <f t="shared" si="2"/>
        <v>16</v>
      </c>
    </row>
    <row r="54" spans="1:25" x14ac:dyDescent="0.25">
      <c r="A54" s="2">
        <v>50</v>
      </c>
      <c r="B54" s="8" t="s">
        <v>89</v>
      </c>
      <c r="C54" s="8"/>
      <c r="D54" s="8"/>
      <c r="E54" s="2" t="s">
        <v>90</v>
      </c>
      <c r="F54" s="8"/>
      <c r="G54" s="46">
        <v>3050000</v>
      </c>
      <c r="H54" s="47" t="s">
        <v>572</v>
      </c>
      <c r="I54" s="3" t="s">
        <v>24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4"/>
      <c r="Q54" s="4"/>
      <c r="R54" s="4"/>
      <c r="S54" s="4"/>
      <c r="T54" s="4"/>
      <c r="U54" s="4"/>
      <c r="V54" s="5">
        <f t="shared" si="3"/>
        <v>2470000</v>
      </c>
      <c r="W54" s="6">
        <f t="shared" si="0"/>
        <v>6.1749999999999998</v>
      </c>
      <c r="X54" s="6">
        <f t="shared" si="1"/>
        <v>1</v>
      </c>
      <c r="Y54" s="6">
        <f t="shared" si="2"/>
        <v>7</v>
      </c>
    </row>
    <row r="55" spans="1:25" x14ac:dyDescent="0.25">
      <c r="A55" s="2">
        <v>51</v>
      </c>
      <c r="B55" s="8" t="s">
        <v>91</v>
      </c>
      <c r="C55" s="8">
        <v>11809146</v>
      </c>
      <c r="D55" s="8">
        <v>3136811706</v>
      </c>
      <c r="E55" s="2" t="s">
        <v>92</v>
      </c>
      <c r="F55" s="8"/>
      <c r="G55" s="46">
        <v>9745000</v>
      </c>
      <c r="H55" s="47" t="s">
        <v>572</v>
      </c>
      <c r="I55" s="3" t="s">
        <v>24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4"/>
      <c r="Q55" s="4"/>
      <c r="R55" s="4"/>
      <c r="S55" s="4"/>
      <c r="T55" s="4"/>
      <c r="U55" s="4"/>
      <c r="V55" s="5">
        <f t="shared" si="3"/>
        <v>5600000</v>
      </c>
      <c r="W55" s="6">
        <f t="shared" si="0"/>
        <v>14</v>
      </c>
      <c r="X55" s="6">
        <f t="shared" si="1"/>
        <v>4</v>
      </c>
      <c r="Y55" s="6">
        <f t="shared" si="2"/>
        <v>14</v>
      </c>
    </row>
    <row r="56" spans="1:25" x14ac:dyDescent="0.25">
      <c r="A56" s="2">
        <v>52</v>
      </c>
      <c r="B56" s="2" t="s">
        <v>93</v>
      </c>
      <c r="C56" s="2"/>
      <c r="D56" s="2"/>
      <c r="E56" s="2" t="s">
        <v>94</v>
      </c>
      <c r="F56" s="2"/>
      <c r="G56" s="44">
        <v>1600000</v>
      </c>
      <c r="H56" s="45" t="s">
        <v>572</v>
      </c>
      <c r="I56" s="3" t="s">
        <v>24</v>
      </c>
      <c r="J56" s="4">
        <v>400000</v>
      </c>
      <c r="K56" s="4">
        <v>400000</v>
      </c>
      <c r="L56" s="4">
        <v>0</v>
      </c>
      <c r="M56" s="4">
        <v>0</v>
      </c>
      <c r="N56" s="4">
        <v>400000</v>
      </c>
      <c r="O56" s="4">
        <v>0</v>
      </c>
      <c r="P56" s="4"/>
      <c r="Q56" s="4"/>
      <c r="R56" s="4"/>
      <c r="S56" s="4"/>
      <c r="T56" s="4"/>
      <c r="U56" s="4"/>
      <c r="V56" s="5">
        <f t="shared" si="3"/>
        <v>1200000</v>
      </c>
      <c r="W56" s="6">
        <f t="shared" si="0"/>
        <v>3</v>
      </c>
      <c r="X56" s="6">
        <f t="shared" si="1"/>
        <v>3</v>
      </c>
      <c r="Y56" s="6">
        <f t="shared" si="2"/>
        <v>3</v>
      </c>
    </row>
    <row r="57" spans="1:25" x14ac:dyDescent="0.25">
      <c r="A57" s="8">
        <v>53</v>
      </c>
      <c r="B57" s="8" t="s">
        <v>95</v>
      </c>
      <c r="C57" s="8"/>
      <c r="D57" s="8"/>
      <c r="E57" s="8" t="s">
        <v>96</v>
      </c>
      <c r="F57" s="8">
        <v>1</v>
      </c>
      <c r="G57" s="46">
        <v>2285000</v>
      </c>
      <c r="H57" s="47" t="s">
        <v>574</v>
      </c>
      <c r="I57" s="3" t="s">
        <v>24</v>
      </c>
      <c r="J57" s="10">
        <v>400000</v>
      </c>
      <c r="K57" s="4">
        <v>0</v>
      </c>
      <c r="L57" s="4">
        <v>0</v>
      </c>
      <c r="M57" s="11">
        <v>400000</v>
      </c>
      <c r="N57" s="11">
        <v>400000</v>
      </c>
      <c r="O57" s="4">
        <v>0</v>
      </c>
      <c r="P57" s="10"/>
      <c r="Q57" s="4"/>
      <c r="R57" s="4"/>
      <c r="S57" s="4"/>
      <c r="T57" s="4"/>
      <c r="U57" s="4"/>
      <c r="V57" s="5">
        <f t="shared" si="3"/>
        <v>1200000</v>
      </c>
      <c r="W57" s="6">
        <f t="shared" si="0"/>
        <v>3</v>
      </c>
      <c r="X57" s="6">
        <f t="shared" si="1"/>
        <v>3</v>
      </c>
      <c r="Y57" s="6">
        <f t="shared" si="2"/>
        <v>3</v>
      </c>
    </row>
    <row r="58" spans="1:25" x14ac:dyDescent="0.25">
      <c r="A58" s="2">
        <v>54</v>
      </c>
      <c r="B58" s="8" t="s">
        <v>97</v>
      </c>
      <c r="C58" s="8"/>
      <c r="D58" s="8"/>
      <c r="E58" s="2" t="s">
        <v>23</v>
      </c>
      <c r="F58" s="8"/>
      <c r="G58" s="46">
        <v>2800000</v>
      </c>
      <c r="H58" s="47" t="s">
        <v>572</v>
      </c>
      <c r="I58" s="3" t="s">
        <v>24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4"/>
      <c r="Q58" s="4"/>
      <c r="R58" s="4"/>
      <c r="S58" s="4"/>
      <c r="T58" s="4"/>
      <c r="U58" s="4"/>
      <c r="V58" s="5">
        <f t="shared" si="3"/>
        <v>400000</v>
      </c>
      <c r="W58" s="6">
        <f t="shared" si="0"/>
        <v>1</v>
      </c>
      <c r="X58" s="6">
        <f t="shared" si="1"/>
        <v>1</v>
      </c>
      <c r="Y58" s="6">
        <f t="shared" si="2"/>
        <v>1</v>
      </c>
    </row>
    <row r="59" spans="1:25" x14ac:dyDescent="0.25">
      <c r="A59" s="2">
        <v>55</v>
      </c>
      <c r="B59" s="8" t="s">
        <v>98</v>
      </c>
      <c r="C59" s="8"/>
      <c r="D59" s="8"/>
      <c r="E59" s="2" t="s">
        <v>99</v>
      </c>
      <c r="F59" s="8"/>
      <c r="G59" s="46">
        <v>9200000</v>
      </c>
      <c r="H59" s="47" t="s">
        <v>572</v>
      </c>
      <c r="I59" s="3" t="s">
        <v>24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4"/>
      <c r="Q59" s="4"/>
      <c r="R59" s="4"/>
      <c r="S59" s="4"/>
      <c r="T59" s="4"/>
      <c r="U59" s="4"/>
      <c r="V59" s="5">
        <f t="shared" si="3"/>
        <v>3800000</v>
      </c>
      <c r="W59" s="6">
        <f t="shared" si="0"/>
        <v>9.5</v>
      </c>
      <c r="X59" s="6">
        <f t="shared" si="1"/>
        <v>4</v>
      </c>
      <c r="Y59" s="6">
        <f t="shared" si="2"/>
        <v>10</v>
      </c>
    </row>
    <row r="60" spans="1:25" x14ac:dyDescent="0.25">
      <c r="A60" s="2">
        <v>56</v>
      </c>
      <c r="B60" s="2" t="s">
        <v>100</v>
      </c>
      <c r="C60" s="2" t="s">
        <v>101</v>
      </c>
      <c r="D60" s="2"/>
      <c r="E60" s="2" t="s">
        <v>102</v>
      </c>
      <c r="F60" s="2"/>
      <c r="G60" s="44">
        <v>11200000</v>
      </c>
      <c r="H60" s="45" t="s">
        <v>572</v>
      </c>
      <c r="I60" s="3" t="s">
        <v>24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0</v>
      </c>
      <c r="P60" s="4"/>
      <c r="Q60" s="4"/>
      <c r="R60" s="4"/>
      <c r="S60" s="4"/>
      <c r="T60" s="4"/>
      <c r="U60" s="4"/>
      <c r="V60" s="5">
        <f t="shared" si="3"/>
        <v>4800000</v>
      </c>
      <c r="W60" s="6">
        <f t="shared" si="0"/>
        <v>12</v>
      </c>
      <c r="X60" s="6">
        <f t="shared" si="1"/>
        <v>3</v>
      </c>
      <c r="Y60" s="6">
        <f t="shared" si="2"/>
        <v>12</v>
      </c>
    </row>
    <row r="61" spans="1:25" x14ac:dyDescent="0.25">
      <c r="A61" s="2">
        <v>57</v>
      </c>
      <c r="B61" s="8" t="s">
        <v>103</v>
      </c>
      <c r="C61" s="8"/>
      <c r="D61" s="8"/>
      <c r="E61" s="2" t="s">
        <v>104</v>
      </c>
      <c r="F61" s="2">
        <v>2</v>
      </c>
      <c r="G61" s="46">
        <v>14800000</v>
      </c>
      <c r="H61" s="45" t="s">
        <v>574</v>
      </c>
      <c r="I61" s="3" t="s">
        <v>24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4"/>
      <c r="Q61" s="4"/>
      <c r="R61" s="4"/>
      <c r="S61" s="4"/>
      <c r="T61" s="4"/>
      <c r="U61" s="4"/>
      <c r="V61" s="5">
        <f t="shared" si="3"/>
        <v>3600000</v>
      </c>
      <c r="W61" s="6">
        <f t="shared" si="0"/>
        <v>9</v>
      </c>
      <c r="X61" s="6">
        <f t="shared" si="1"/>
        <v>4</v>
      </c>
      <c r="Y61" s="6">
        <f t="shared" si="2"/>
        <v>9</v>
      </c>
    </row>
    <row r="62" spans="1:25" x14ac:dyDescent="0.25">
      <c r="A62" s="2">
        <v>58</v>
      </c>
      <c r="B62" s="2" t="s">
        <v>105</v>
      </c>
      <c r="C62" s="2">
        <v>900371129</v>
      </c>
      <c r="D62" s="2">
        <v>3216464514</v>
      </c>
      <c r="E62" s="2" t="s">
        <v>106</v>
      </c>
      <c r="F62" s="2"/>
      <c r="G62" s="44">
        <v>2400000</v>
      </c>
      <c r="H62" s="45" t="s">
        <v>572</v>
      </c>
      <c r="I62" s="3" t="s">
        <v>24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0</v>
      </c>
      <c r="P62" s="4"/>
      <c r="Q62" s="4"/>
      <c r="R62" s="4"/>
      <c r="S62" s="4"/>
      <c r="T62" s="4"/>
      <c r="U62" s="4"/>
      <c r="V62" s="5">
        <f t="shared" si="3"/>
        <v>7600000</v>
      </c>
      <c r="W62" s="6">
        <f t="shared" si="0"/>
        <v>19</v>
      </c>
      <c r="X62" s="6">
        <f t="shared" si="1"/>
        <v>5</v>
      </c>
      <c r="Y62" s="6">
        <f t="shared" si="2"/>
        <v>19</v>
      </c>
    </row>
    <row r="63" spans="1:25" x14ac:dyDescent="0.25">
      <c r="A63" s="2">
        <v>59</v>
      </c>
      <c r="B63" s="8" t="s">
        <v>107</v>
      </c>
      <c r="C63" s="8"/>
      <c r="D63" s="8"/>
      <c r="E63" s="2" t="s">
        <v>108</v>
      </c>
      <c r="F63" s="8"/>
      <c r="G63" s="46">
        <v>440000</v>
      </c>
      <c r="H63" s="47" t="s">
        <v>572</v>
      </c>
      <c r="I63" s="3" t="s">
        <v>24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/>
      <c r="Q63" s="4"/>
      <c r="R63" s="4"/>
      <c r="S63" s="4"/>
      <c r="T63" s="4"/>
      <c r="U63" s="4"/>
      <c r="V63" s="5">
        <f t="shared" si="3"/>
        <v>0</v>
      </c>
      <c r="W63" s="6">
        <f t="shared" si="0"/>
        <v>0</v>
      </c>
      <c r="X63" s="6">
        <f t="shared" si="1"/>
        <v>0</v>
      </c>
      <c r="Y63" s="6">
        <f t="shared" si="2"/>
        <v>0</v>
      </c>
    </row>
    <row r="64" spans="1:25" x14ac:dyDescent="0.25">
      <c r="A64" s="2">
        <v>60</v>
      </c>
      <c r="B64" s="8" t="s">
        <v>109</v>
      </c>
      <c r="C64" s="8"/>
      <c r="D64" s="8"/>
      <c r="E64" s="2" t="s">
        <v>110</v>
      </c>
      <c r="F64" s="2"/>
      <c r="G64" s="46">
        <v>1250000</v>
      </c>
      <c r="H64" s="45" t="s">
        <v>572</v>
      </c>
      <c r="I64" s="3" t="s">
        <v>24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4"/>
      <c r="Q64" s="4"/>
      <c r="R64" s="4"/>
      <c r="S64" s="4"/>
      <c r="T64" s="4"/>
      <c r="U64" s="4"/>
      <c r="V64" s="5">
        <f t="shared" si="3"/>
        <v>600000</v>
      </c>
      <c r="W64" s="6">
        <f t="shared" si="0"/>
        <v>1.5</v>
      </c>
      <c r="X64" s="6">
        <f t="shared" si="1"/>
        <v>3</v>
      </c>
      <c r="Y64" s="6">
        <f t="shared" si="2"/>
        <v>2</v>
      </c>
    </row>
    <row r="65" spans="1:25" x14ac:dyDescent="0.25">
      <c r="A65" s="2">
        <v>61</v>
      </c>
      <c r="B65" s="8" t="s">
        <v>111</v>
      </c>
      <c r="C65" s="8"/>
      <c r="D65" s="8"/>
      <c r="E65" s="2" t="s">
        <v>112</v>
      </c>
      <c r="F65" s="8"/>
      <c r="G65" s="46">
        <v>1400000</v>
      </c>
      <c r="H65" s="47" t="s">
        <v>572</v>
      </c>
      <c r="I65" s="3" t="s">
        <v>24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4"/>
      <c r="Q65" s="4"/>
      <c r="R65" s="4"/>
      <c r="S65" s="4"/>
      <c r="T65" s="4"/>
      <c r="U65" s="4"/>
      <c r="V65" s="5">
        <f t="shared" si="3"/>
        <v>1200000</v>
      </c>
      <c r="W65" s="6">
        <f t="shared" si="0"/>
        <v>3</v>
      </c>
      <c r="X65" s="6">
        <f t="shared" si="1"/>
        <v>3</v>
      </c>
      <c r="Y65" s="6">
        <f t="shared" si="2"/>
        <v>3</v>
      </c>
    </row>
    <row r="66" spans="1:25" x14ac:dyDescent="0.25">
      <c r="A66" s="2">
        <v>62</v>
      </c>
      <c r="B66" s="8" t="s">
        <v>113</v>
      </c>
      <c r="C66" s="8"/>
      <c r="D66" s="8"/>
      <c r="E66" s="2" t="s">
        <v>114</v>
      </c>
      <c r="F66" s="8"/>
      <c r="G66" s="46">
        <v>9524000</v>
      </c>
      <c r="H66" s="47" t="s">
        <v>572</v>
      </c>
      <c r="I66" s="3" t="s">
        <v>24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4"/>
      <c r="Q66" s="4"/>
      <c r="R66" s="4"/>
      <c r="S66" s="4"/>
      <c r="T66" s="4"/>
      <c r="U66" s="4"/>
      <c r="V66" s="5">
        <f t="shared" si="3"/>
        <v>4400000</v>
      </c>
      <c r="W66" s="6">
        <f t="shared" si="0"/>
        <v>11</v>
      </c>
      <c r="X66" s="6">
        <f t="shared" si="1"/>
        <v>2</v>
      </c>
      <c r="Y66" s="6">
        <f t="shared" si="2"/>
        <v>11</v>
      </c>
    </row>
    <row r="67" spans="1:25" x14ac:dyDescent="0.25">
      <c r="A67" s="2">
        <v>63</v>
      </c>
      <c r="B67" s="8" t="s">
        <v>115</v>
      </c>
      <c r="C67" s="8" t="s">
        <v>116</v>
      </c>
      <c r="D67" s="8">
        <v>3233712038</v>
      </c>
      <c r="E67" s="2" t="s">
        <v>117</v>
      </c>
      <c r="F67" s="8"/>
      <c r="G67" s="46">
        <v>7266250</v>
      </c>
      <c r="H67" s="47" t="s">
        <v>572</v>
      </c>
      <c r="I67" s="3" t="s">
        <v>24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4"/>
      <c r="Q67" s="4"/>
      <c r="R67" s="4"/>
      <c r="S67" s="4"/>
      <c r="T67" s="4"/>
      <c r="U67" s="4"/>
      <c r="V67" s="5">
        <f t="shared" si="3"/>
        <v>10325000</v>
      </c>
      <c r="W67" s="6">
        <f t="shared" si="0"/>
        <v>25.8125</v>
      </c>
      <c r="X67" s="6">
        <f t="shared" si="1"/>
        <v>5</v>
      </c>
      <c r="Y67" s="6">
        <f t="shared" si="2"/>
        <v>26</v>
      </c>
    </row>
    <row r="68" spans="1:25" x14ac:dyDescent="0.25">
      <c r="A68" s="2">
        <v>64</v>
      </c>
      <c r="B68" s="8" t="s">
        <v>118</v>
      </c>
      <c r="C68" s="8"/>
      <c r="D68" s="8"/>
      <c r="E68" s="2" t="s">
        <v>119</v>
      </c>
      <c r="F68" s="8"/>
      <c r="G68" s="46">
        <v>3645000</v>
      </c>
      <c r="H68" s="47" t="s">
        <v>572</v>
      </c>
      <c r="I68" s="3" t="s">
        <v>24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4"/>
      <c r="Q68" s="4"/>
      <c r="R68" s="4"/>
      <c r="S68" s="4"/>
      <c r="T68" s="4"/>
      <c r="U68" s="4"/>
      <c r="V68" s="5">
        <f t="shared" si="3"/>
        <v>970000</v>
      </c>
      <c r="W68" s="6">
        <f t="shared" si="0"/>
        <v>2.4249999999999998</v>
      </c>
      <c r="X68" s="6">
        <f t="shared" si="1"/>
        <v>2</v>
      </c>
      <c r="Y68" s="6">
        <f t="shared" si="2"/>
        <v>3</v>
      </c>
    </row>
    <row r="69" spans="1:25" x14ac:dyDescent="0.25">
      <c r="A69" s="2">
        <v>65</v>
      </c>
      <c r="B69" s="8" t="s">
        <v>120</v>
      </c>
      <c r="C69" s="8"/>
      <c r="D69" s="8"/>
      <c r="E69" s="2" t="s">
        <v>121</v>
      </c>
      <c r="F69" s="8"/>
      <c r="G69" s="46">
        <v>5704059</v>
      </c>
      <c r="H69" s="47" t="s">
        <v>572</v>
      </c>
      <c r="I69" s="3" t="s">
        <v>24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4"/>
      <c r="Q69" s="4"/>
      <c r="R69" s="4"/>
      <c r="S69" s="4"/>
      <c r="T69" s="4"/>
      <c r="U69" s="4"/>
      <c r="V69" s="5">
        <f t="shared" si="3"/>
        <v>2254243</v>
      </c>
      <c r="W69" s="6">
        <f t="shared" ref="W69:W132" si="4">V69/400000</f>
        <v>5.6356074999999999</v>
      </c>
      <c r="X69" s="6">
        <f t="shared" ref="X69:X132" si="5">COUNTIF(J69:U69,"&gt;0")</f>
        <v>1</v>
      </c>
      <c r="Y69" s="6">
        <f t="shared" ref="Y69:Y132" si="6">ROUNDUP(W69,0)</f>
        <v>6</v>
      </c>
    </row>
    <row r="70" spans="1:25" x14ac:dyDescent="0.25">
      <c r="A70" s="2">
        <v>66</v>
      </c>
      <c r="B70" s="2" t="s">
        <v>122</v>
      </c>
      <c r="C70" s="2">
        <v>900384157</v>
      </c>
      <c r="D70" s="2">
        <v>3103160465</v>
      </c>
      <c r="E70" s="2" t="s">
        <v>123</v>
      </c>
      <c r="F70" s="2"/>
      <c r="G70" s="44">
        <v>18700000</v>
      </c>
      <c r="H70" s="45" t="s">
        <v>572</v>
      </c>
      <c r="I70" s="3" t="s">
        <v>24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4"/>
      <c r="Q70" s="4"/>
      <c r="R70" s="4"/>
      <c r="S70" s="4"/>
      <c r="T70" s="4"/>
      <c r="U70" s="4"/>
      <c r="V70" s="5">
        <f t="shared" ref="V70:V133" si="7">SUM(J70:U70)</f>
        <v>26300000</v>
      </c>
      <c r="W70" s="6">
        <f t="shared" si="4"/>
        <v>65.75</v>
      </c>
      <c r="X70" s="6">
        <f t="shared" si="5"/>
        <v>5</v>
      </c>
      <c r="Y70" s="6">
        <f t="shared" si="6"/>
        <v>66</v>
      </c>
    </row>
    <row r="71" spans="1:25" x14ac:dyDescent="0.25">
      <c r="A71" s="2">
        <v>67</v>
      </c>
      <c r="B71" s="2" t="s">
        <v>124</v>
      </c>
      <c r="C71" s="2">
        <v>900406774</v>
      </c>
      <c r="D71" s="2"/>
      <c r="E71" s="2" t="s">
        <v>160</v>
      </c>
      <c r="F71" s="2"/>
      <c r="G71" s="44">
        <v>62180000</v>
      </c>
      <c r="H71" s="45" t="s">
        <v>572</v>
      </c>
      <c r="I71" s="3" t="s">
        <v>24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4"/>
      <c r="Q71" s="4"/>
      <c r="R71" s="4"/>
      <c r="S71" s="4"/>
      <c r="T71" s="4"/>
      <c r="U71" s="4"/>
      <c r="V71" s="5">
        <f t="shared" si="7"/>
        <v>44620000</v>
      </c>
      <c r="W71" s="6">
        <f t="shared" si="4"/>
        <v>111.55</v>
      </c>
      <c r="X71" s="6">
        <f t="shared" si="5"/>
        <v>4</v>
      </c>
      <c r="Y71" s="6">
        <f t="shared" si="6"/>
        <v>112</v>
      </c>
    </row>
    <row r="72" spans="1:25" x14ac:dyDescent="0.25">
      <c r="A72" s="2">
        <v>68</v>
      </c>
      <c r="B72" s="2" t="s">
        <v>125</v>
      </c>
      <c r="C72" s="2"/>
      <c r="D72" s="2"/>
      <c r="E72" s="2" t="s">
        <v>126</v>
      </c>
      <c r="F72" s="2"/>
      <c r="G72" s="44">
        <v>2110000</v>
      </c>
      <c r="H72" s="45" t="s">
        <v>572</v>
      </c>
      <c r="I72" s="3" t="s">
        <v>24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/>
      <c r="Q72" s="4"/>
      <c r="R72" s="4"/>
      <c r="S72" s="4"/>
      <c r="T72" s="4"/>
      <c r="U72" s="4"/>
      <c r="V72" s="5">
        <f t="shared" si="7"/>
        <v>0</v>
      </c>
      <c r="W72" s="6">
        <f t="shared" si="4"/>
        <v>0</v>
      </c>
      <c r="X72" s="6">
        <f t="shared" si="5"/>
        <v>0</v>
      </c>
      <c r="Y72" s="6">
        <f t="shared" si="6"/>
        <v>0</v>
      </c>
    </row>
    <row r="73" spans="1:25" x14ac:dyDescent="0.25">
      <c r="A73" s="2">
        <v>69</v>
      </c>
      <c r="B73" s="8" t="s">
        <v>127</v>
      </c>
      <c r="C73" s="8"/>
      <c r="D73" s="8"/>
      <c r="E73" s="2" t="s">
        <v>557</v>
      </c>
      <c r="F73" s="8"/>
      <c r="G73" s="46">
        <v>7580000</v>
      </c>
      <c r="H73" s="47" t="s">
        <v>572</v>
      </c>
      <c r="I73" s="3" t="s">
        <v>24</v>
      </c>
      <c r="J73" s="4">
        <v>1200000</v>
      </c>
      <c r="K73" s="4">
        <v>400000</v>
      </c>
      <c r="L73" s="4">
        <v>400000</v>
      </c>
      <c r="M73" s="4">
        <v>400000</v>
      </c>
      <c r="N73" s="4">
        <v>0</v>
      </c>
      <c r="O73" s="4">
        <v>0</v>
      </c>
      <c r="P73" s="4"/>
      <c r="Q73" s="4"/>
      <c r="R73" s="4"/>
      <c r="S73" s="4"/>
      <c r="T73" s="4"/>
      <c r="U73" s="4"/>
      <c r="V73" s="5">
        <f t="shared" si="7"/>
        <v>2400000</v>
      </c>
      <c r="W73" s="6">
        <f t="shared" si="4"/>
        <v>6</v>
      </c>
      <c r="X73" s="6">
        <f t="shared" si="5"/>
        <v>4</v>
      </c>
      <c r="Y73" s="6">
        <f t="shared" si="6"/>
        <v>6</v>
      </c>
    </row>
    <row r="74" spans="1:25" x14ac:dyDescent="0.25">
      <c r="A74" s="2">
        <v>70</v>
      </c>
      <c r="B74" s="2" t="s">
        <v>128</v>
      </c>
      <c r="C74" s="2"/>
      <c r="D74" s="2"/>
      <c r="E74" s="2" t="s">
        <v>129</v>
      </c>
      <c r="F74" s="2"/>
      <c r="G74" s="44">
        <v>2800000</v>
      </c>
      <c r="H74" s="45" t="s">
        <v>572</v>
      </c>
      <c r="I74" s="3" t="s">
        <v>24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4"/>
      <c r="Q74" s="4"/>
      <c r="R74" s="4"/>
      <c r="S74" s="4"/>
      <c r="T74" s="4"/>
      <c r="U74" s="4"/>
      <c r="V74" s="5">
        <f t="shared" si="7"/>
        <v>400000</v>
      </c>
      <c r="W74" s="6">
        <f t="shared" si="4"/>
        <v>1</v>
      </c>
      <c r="X74" s="6">
        <f t="shared" si="5"/>
        <v>1</v>
      </c>
      <c r="Y74" s="6">
        <f t="shared" si="6"/>
        <v>1</v>
      </c>
    </row>
    <row r="75" spans="1:25" x14ac:dyDescent="0.25">
      <c r="A75" s="2">
        <v>71</v>
      </c>
      <c r="B75" s="2" t="s">
        <v>130</v>
      </c>
      <c r="C75" s="2"/>
      <c r="D75" s="2"/>
      <c r="E75" s="2" t="s">
        <v>131</v>
      </c>
      <c r="F75" s="2"/>
      <c r="G75" s="44">
        <v>3600000</v>
      </c>
      <c r="H75" s="45"/>
      <c r="I75" s="3" t="s">
        <v>24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4"/>
      <c r="Q75" s="4"/>
      <c r="R75" s="4"/>
      <c r="S75" s="4"/>
      <c r="T75" s="4"/>
      <c r="U75" s="4"/>
      <c r="V75" s="5">
        <f t="shared" si="7"/>
        <v>0</v>
      </c>
      <c r="W75" s="6">
        <f t="shared" si="4"/>
        <v>0</v>
      </c>
      <c r="X75" s="6">
        <f t="shared" si="5"/>
        <v>0</v>
      </c>
      <c r="Y75" s="6">
        <f t="shared" si="6"/>
        <v>0</v>
      </c>
    </row>
    <row r="76" spans="1:25" x14ac:dyDescent="0.25">
      <c r="A76" s="2">
        <v>72</v>
      </c>
      <c r="B76" s="2" t="s">
        <v>132</v>
      </c>
      <c r="C76" s="2"/>
      <c r="D76" s="2"/>
      <c r="E76" s="2" t="s">
        <v>133</v>
      </c>
      <c r="F76" s="2"/>
      <c r="G76" s="44">
        <v>12090000</v>
      </c>
      <c r="H76" s="45"/>
      <c r="I76" s="3" t="s">
        <v>24</v>
      </c>
      <c r="J76" s="4">
        <v>0</v>
      </c>
      <c r="K76" s="4">
        <v>2000000</v>
      </c>
      <c r="L76" s="4">
        <v>800000</v>
      </c>
      <c r="M76" s="7">
        <v>0</v>
      </c>
      <c r="N76" s="4">
        <v>2000000</v>
      </c>
      <c r="O76" s="4">
        <v>2400000</v>
      </c>
      <c r="P76" s="4"/>
      <c r="Q76" s="4"/>
      <c r="R76" s="4"/>
      <c r="S76" s="4"/>
      <c r="T76" s="4"/>
      <c r="U76" s="4"/>
      <c r="V76" s="5">
        <f t="shared" si="7"/>
        <v>7200000</v>
      </c>
      <c r="W76" s="6">
        <f t="shared" si="4"/>
        <v>18</v>
      </c>
      <c r="X76" s="6">
        <f t="shared" si="5"/>
        <v>4</v>
      </c>
      <c r="Y76" s="6">
        <f t="shared" si="6"/>
        <v>18</v>
      </c>
    </row>
    <row r="77" spans="1:25" x14ac:dyDescent="0.25">
      <c r="A77" s="2">
        <v>73</v>
      </c>
      <c r="B77" s="2" t="s">
        <v>134</v>
      </c>
      <c r="C77" s="2" t="s">
        <v>135</v>
      </c>
      <c r="D77" s="2">
        <v>3222616473</v>
      </c>
      <c r="E77" s="2" t="s">
        <v>56</v>
      </c>
      <c r="F77" s="2"/>
      <c r="G77" s="44">
        <v>8200000</v>
      </c>
      <c r="H77" s="45"/>
      <c r="I77" s="3" t="s">
        <v>24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4"/>
      <c r="Q77" s="4"/>
      <c r="R77" s="4"/>
      <c r="S77" s="4"/>
      <c r="T77" s="4"/>
      <c r="U77" s="4"/>
      <c r="V77" s="5">
        <f t="shared" si="7"/>
        <v>4800000</v>
      </c>
      <c r="W77" s="6">
        <f t="shared" si="4"/>
        <v>12</v>
      </c>
      <c r="X77" s="6">
        <f t="shared" si="5"/>
        <v>6</v>
      </c>
      <c r="Y77" s="6">
        <f t="shared" si="6"/>
        <v>12</v>
      </c>
    </row>
    <row r="78" spans="1:25" x14ac:dyDescent="0.25">
      <c r="A78" s="2">
        <v>74</v>
      </c>
      <c r="B78" s="2" t="s">
        <v>136</v>
      </c>
      <c r="C78" s="2"/>
      <c r="D78" s="2"/>
      <c r="E78" s="2" t="s">
        <v>558</v>
      </c>
      <c r="F78" s="2">
        <v>1</v>
      </c>
      <c r="G78" s="44">
        <v>14000000</v>
      </c>
      <c r="H78" s="45" t="s">
        <v>574</v>
      </c>
      <c r="I78" s="3" t="s">
        <v>24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/>
      <c r="Q78" s="4"/>
      <c r="R78" s="4"/>
      <c r="S78" s="4"/>
      <c r="T78" s="4"/>
      <c r="U78" s="4"/>
      <c r="V78" s="5">
        <f t="shared" si="7"/>
        <v>7200000</v>
      </c>
      <c r="W78" s="6">
        <f t="shared" si="4"/>
        <v>18</v>
      </c>
      <c r="X78" s="6">
        <f t="shared" si="5"/>
        <v>1</v>
      </c>
      <c r="Y78" s="6">
        <f t="shared" si="6"/>
        <v>18</v>
      </c>
    </row>
    <row r="79" spans="1:25" x14ac:dyDescent="0.25">
      <c r="A79" s="2">
        <v>75</v>
      </c>
      <c r="B79" s="2" t="s">
        <v>137</v>
      </c>
      <c r="C79" s="2"/>
      <c r="D79" s="2"/>
      <c r="E79" s="2" t="s">
        <v>29</v>
      </c>
      <c r="F79" s="2"/>
      <c r="G79" s="44">
        <v>200000</v>
      </c>
      <c r="H79" s="45" t="s">
        <v>573</v>
      </c>
      <c r="I79" s="3" t="s">
        <v>24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/>
      <c r="Q79" s="4"/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x14ac:dyDescent="0.25">
      <c r="A80" s="2">
        <v>76</v>
      </c>
      <c r="B80" s="2" t="s">
        <v>138</v>
      </c>
      <c r="C80" s="2"/>
      <c r="D80" s="2"/>
      <c r="E80" s="2" t="s">
        <v>23</v>
      </c>
      <c r="F80" s="2">
        <v>1</v>
      </c>
      <c r="G80" s="44">
        <v>50000</v>
      </c>
      <c r="H80" s="45" t="s">
        <v>574</v>
      </c>
      <c r="I80" s="3" t="s">
        <v>24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/>
      <c r="Q80" s="4"/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x14ac:dyDescent="0.25">
      <c r="A81" s="2">
        <v>77</v>
      </c>
      <c r="B81" s="8" t="s">
        <v>139</v>
      </c>
      <c r="C81" s="8"/>
      <c r="D81" s="8"/>
      <c r="E81" s="2" t="s">
        <v>29</v>
      </c>
      <c r="F81" s="8"/>
      <c r="G81" s="46">
        <v>1762000</v>
      </c>
      <c r="H81" s="47" t="s">
        <v>572</v>
      </c>
      <c r="I81" s="3" t="s">
        <v>24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/>
      <c r="Q81" s="4"/>
      <c r="R81" s="4"/>
      <c r="S81" s="4"/>
      <c r="T81" s="4"/>
      <c r="U81" s="4"/>
      <c r="V81" s="5">
        <f t="shared" si="7"/>
        <v>0</v>
      </c>
      <c r="W81" s="6">
        <f t="shared" si="4"/>
        <v>0</v>
      </c>
      <c r="X81" s="6">
        <f t="shared" si="5"/>
        <v>0</v>
      </c>
      <c r="Y81" s="6">
        <f t="shared" si="6"/>
        <v>0</v>
      </c>
    </row>
    <row r="82" spans="1:25" x14ac:dyDescent="0.25">
      <c r="A82" s="2">
        <v>78</v>
      </c>
      <c r="B82" s="8" t="s">
        <v>140</v>
      </c>
      <c r="C82" s="2"/>
      <c r="D82" s="8"/>
      <c r="E82" s="2" t="s">
        <v>23</v>
      </c>
      <c r="F82" s="8"/>
      <c r="G82" s="46">
        <v>800000</v>
      </c>
      <c r="H82" s="47" t="s">
        <v>572</v>
      </c>
      <c r="I82" s="3" t="s">
        <v>24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4"/>
      <c r="Q82" s="4"/>
      <c r="R82" s="4"/>
      <c r="S82" s="4"/>
      <c r="T82" s="4"/>
      <c r="U82" s="4"/>
      <c r="V82" s="5">
        <f t="shared" si="7"/>
        <v>420982</v>
      </c>
      <c r="W82" s="6">
        <f t="shared" si="4"/>
        <v>1.0524549999999999</v>
      </c>
      <c r="X82" s="6">
        <f t="shared" si="5"/>
        <v>1</v>
      </c>
      <c r="Y82" s="6">
        <f t="shared" si="6"/>
        <v>2</v>
      </c>
    </row>
    <row r="83" spans="1:25" x14ac:dyDescent="0.25">
      <c r="A83" s="2">
        <v>79</v>
      </c>
      <c r="B83" s="8" t="s">
        <v>141</v>
      </c>
      <c r="C83" s="8">
        <v>1093783625</v>
      </c>
      <c r="D83" s="8">
        <v>3223202421</v>
      </c>
      <c r="E83" s="2" t="s">
        <v>56</v>
      </c>
      <c r="F83" s="8"/>
      <c r="G83" s="46">
        <v>6000000</v>
      </c>
      <c r="H83" s="47" t="s">
        <v>572</v>
      </c>
      <c r="I83" s="3" t="s">
        <v>24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4"/>
      <c r="Q83" s="4"/>
      <c r="R83" s="4"/>
      <c r="S83" s="4"/>
      <c r="T83" s="4"/>
      <c r="U83" s="4"/>
      <c r="V83" s="5">
        <f t="shared" si="7"/>
        <v>6400000</v>
      </c>
      <c r="W83" s="6">
        <f t="shared" si="4"/>
        <v>16</v>
      </c>
      <c r="X83" s="6">
        <f t="shared" si="5"/>
        <v>6</v>
      </c>
      <c r="Y83" s="6">
        <f t="shared" si="6"/>
        <v>16</v>
      </c>
    </row>
    <row r="84" spans="1:25" x14ac:dyDescent="0.25">
      <c r="A84" s="2">
        <v>80</v>
      </c>
      <c r="B84" s="2" t="s">
        <v>142</v>
      </c>
      <c r="C84" s="2">
        <v>79477468</v>
      </c>
      <c r="D84" s="2">
        <v>3185861284</v>
      </c>
      <c r="E84" s="2" t="s">
        <v>143</v>
      </c>
      <c r="F84" s="2"/>
      <c r="G84" s="44">
        <v>4240000</v>
      </c>
      <c r="H84" s="45" t="s">
        <v>572</v>
      </c>
      <c r="I84" s="3" t="s">
        <v>24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4"/>
      <c r="Q84" s="4"/>
      <c r="R84" s="4"/>
      <c r="S84" s="4"/>
      <c r="T84" s="4"/>
      <c r="U84" s="4"/>
      <c r="V84" s="5">
        <f t="shared" si="7"/>
        <v>1700000</v>
      </c>
      <c r="W84" s="6">
        <f t="shared" si="4"/>
        <v>4.25</v>
      </c>
      <c r="X84" s="6">
        <f t="shared" si="5"/>
        <v>5</v>
      </c>
      <c r="Y84" s="6">
        <f t="shared" si="6"/>
        <v>5</v>
      </c>
    </row>
    <row r="85" spans="1:25" x14ac:dyDescent="0.25">
      <c r="A85" s="2">
        <v>81</v>
      </c>
      <c r="B85" s="8" t="s">
        <v>144</v>
      </c>
      <c r="C85" s="8">
        <v>12135690</v>
      </c>
      <c r="D85" s="8"/>
      <c r="E85" s="2" t="s">
        <v>99</v>
      </c>
      <c r="F85" s="8"/>
      <c r="G85" s="46">
        <v>1300000</v>
      </c>
      <c r="H85" s="47" t="s">
        <v>574</v>
      </c>
      <c r="I85" s="3" t="s">
        <v>24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4"/>
      <c r="Q85" s="4"/>
      <c r="R85" s="4"/>
      <c r="S85" s="4"/>
      <c r="T85" s="4"/>
      <c r="U85" s="4"/>
      <c r="V85" s="5">
        <f t="shared" si="7"/>
        <v>1801000</v>
      </c>
      <c r="W85" s="6">
        <f t="shared" si="4"/>
        <v>4.5025000000000004</v>
      </c>
      <c r="X85" s="6">
        <f t="shared" si="5"/>
        <v>3</v>
      </c>
      <c r="Y85" s="6">
        <f t="shared" si="6"/>
        <v>5</v>
      </c>
    </row>
    <row r="86" spans="1:25" x14ac:dyDescent="0.25">
      <c r="A86" s="2">
        <v>82</v>
      </c>
      <c r="B86" s="2" t="s">
        <v>145</v>
      </c>
      <c r="C86" s="2"/>
      <c r="D86" s="2"/>
      <c r="E86" s="2" t="s">
        <v>23</v>
      </c>
      <c r="F86" s="2"/>
      <c r="G86" s="44">
        <v>420000</v>
      </c>
      <c r="H86" s="45" t="s">
        <v>572</v>
      </c>
      <c r="I86" s="3" t="s">
        <v>24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/>
      <c r="Q86" s="4"/>
      <c r="R86" s="4"/>
      <c r="S86" s="4"/>
      <c r="T86" s="4"/>
      <c r="U86" s="4"/>
      <c r="V86" s="5">
        <f t="shared" si="7"/>
        <v>0</v>
      </c>
      <c r="W86" s="6">
        <f t="shared" si="4"/>
        <v>0</v>
      </c>
      <c r="X86" s="6">
        <f t="shared" si="5"/>
        <v>0</v>
      </c>
      <c r="Y86" s="6">
        <f t="shared" si="6"/>
        <v>0</v>
      </c>
    </row>
    <row r="87" spans="1:25" x14ac:dyDescent="0.25">
      <c r="A87" s="2">
        <v>83</v>
      </c>
      <c r="B87" s="2" t="s">
        <v>146</v>
      </c>
      <c r="C87" s="2">
        <v>1128400756</v>
      </c>
      <c r="D87" s="2">
        <v>3043640493</v>
      </c>
      <c r="E87" s="2" t="s">
        <v>147</v>
      </c>
      <c r="F87" s="2"/>
      <c r="G87" s="44">
        <v>2000000</v>
      </c>
      <c r="H87" s="45" t="s">
        <v>572</v>
      </c>
      <c r="I87" s="3" t="s">
        <v>24</v>
      </c>
      <c r="J87" s="4">
        <v>0</v>
      </c>
      <c r="K87" s="4">
        <v>0</v>
      </c>
      <c r="L87" s="4">
        <v>0</v>
      </c>
      <c r="M87" s="7">
        <v>400000</v>
      </c>
      <c r="N87" s="4">
        <v>0</v>
      </c>
      <c r="O87" s="4">
        <v>0</v>
      </c>
      <c r="P87" s="4"/>
      <c r="Q87" s="4"/>
      <c r="R87" s="4"/>
      <c r="S87" s="4"/>
      <c r="T87" s="4"/>
      <c r="U87" s="4"/>
      <c r="V87" s="5">
        <f t="shared" si="7"/>
        <v>400000</v>
      </c>
      <c r="W87" s="6">
        <f t="shared" si="4"/>
        <v>1</v>
      </c>
      <c r="X87" s="6">
        <f t="shared" si="5"/>
        <v>1</v>
      </c>
      <c r="Y87" s="6">
        <f t="shared" si="6"/>
        <v>1</v>
      </c>
    </row>
    <row r="88" spans="1:25" x14ac:dyDescent="0.25">
      <c r="A88" s="2">
        <v>84</v>
      </c>
      <c r="B88" s="2" t="s">
        <v>148</v>
      </c>
      <c r="C88" s="2"/>
      <c r="D88" s="2"/>
      <c r="E88" s="2"/>
      <c r="F88" s="2"/>
      <c r="G88" s="44">
        <v>4000000</v>
      </c>
      <c r="H88" s="44"/>
      <c r="I88" s="3" t="s">
        <v>24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/>
      <c r="Q88" s="4"/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x14ac:dyDescent="0.25">
      <c r="A89" s="2">
        <v>85</v>
      </c>
      <c r="B89" s="8" t="s">
        <v>149</v>
      </c>
      <c r="C89" s="8">
        <v>13838106</v>
      </c>
      <c r="D89" s="8">
        <v>3158359949</v>
      </c>
      <c r="E89" s="2" t="s">
        <v>473</v>
      </c>
      <c r="F89" s="8">
        <v>2</v>
      </c>
      <c r="G89" s="46">
        <v>4300000</v>
      </c>
      <c r="H89" s="47" t="s">
        <v>575</v>
      </c>
      <c r="I89" s="3" t="s">
        <v>24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/>
      <c r="Q89" s="4"/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86</v>
      </c>
      <c r="B90" s="8" t="s">
        <v>150</v>
      </c>
      <c r="C90" s="8">
        <v>91249777</v>
      </c>
      <c r="D90" s="8"/>
      <c r="E90" s="2"/>
      <c r="F90" s="8"/>
      <c r="G90" s="46">
        <v>3600000</v>
      </c>
      <c r="H90" s="47" t="s">
        <v>572</v>
      </c>
      <c r="I90" s="3" t="s">
        <v>24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/>
      <c r="Q90" s="4"/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87</v>
      </c>
      <c r="B91" s="8" t="s">
        <v>151</v>
      </c>
      <c r="C91" s="8"/>
      <c r="D91" s="8"/>
      <c r="E91" s="2"/>
      <c r="F91" s="8"/>
      <c r="G91" s="46">
        <v>400000</v>
      </c>
      <c r="H91" s="47" t="s">
        <v>572</v>
      </c>
      <c r="I91" s="3" t="s">
        <v>24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/>
      <c r="Q91" s="4"/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88</v>
      </c>
      <c r="B92" s="8" t="s">
        <v>152</v>
      </c>
      <c r="C92" s="8"/>
      <c r="D92" s="8"/>
      <c r="E92" s="2"/>
      <c r="F92" s="2"/>
      <c r="G92" s="46">
        <v>860000</v>
      </c>
      <c r="H92" s="45" t="s">
        <v>572</v>
      </c>
      <c r="I92" s="3" t="s">
        <v>24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/>
      <c r="Q92" s="4"/>
      <c r="R92" s="4"/>
      <c r="S92" s="4"/>
      <c r="T92" s="4"/>
      <c r="U92" s="4"/>
      <c r="V92" s="5">
        <f t="shared" si="7"/>
        <v>0</v>
      </c>
      <c r="W92" s="6">
        <f t="shared" si="4"/>
        <v>0</v>
      </c>
      <c r="X92" s="6">
        <f t="shared" si="5"/>
        <v>0</v>
      </c>
      <c r="Y92" s="6">
        <f t="shared" si="6"/>
        <v>0</v>
      </c>
    </row>
    <row r="93" spans="1:25" x14ac:dyDescent="0.25">
      <c r="A93" s="2">
        <v>89</v>
      </c>
      <c r="B93" s="2" t="s">
        <v>153</v>
      </c>
      <c r="C93" s="2">
        <v>15374739</v>
      </c>
      <c r="D93" s="2"/>
      <c r="E93" s="2" t="s">
        <v>147</v>
      </c>
      <c r="F93" s="2"/>
      <c r="G93" s="44">
        <v>4140000</v>
      </c>
      <c r="H93" s="45" t="s">
        <v>574</v>
      </c>
      <c r="I93" s="3" t="s">
        <v>24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4"/>
      <c r="Q93" s="4"/>
      <c r="R93" s="4"/>
      <c r="S93" s="4"/>
      <c r="T93" s="4"/>
      <c r="U93" s="4"/>
      <c r="V93" s="5">
        <f t="shared" si="7"/>
        <v>1600000</v>
      </c>
      <c r="W93" s="6">
        <f t="shared" si="4"/>
        <v>4</v>
      </c>
      <c r="X93" s="6">
        <f t="shared" si="5"/>
        <v>3</v>
      </c>
      <c r="Y93" s="6">
        <f t="shared" si="6"/>
        <v>4</v>
      </c>
    </row>
    <row r="94" spans="1:25" x14ac:dyDescent="0.25">
      <c r="A94" s="2">
        <v>90</v>
      </c>
      <c r="B94" s="2" t="s">
        <v>154</v>
      </c>
      <c r="C94" s="2"/>
      <c r="D94" s="2"/>
      <c r="E94" s="2"/>
      <c r="F94" s="2">
        <v>1</v>
      </c>
      <c r="G94" s="44">
        <v>400000</v>
      </c>
      <c r="H94" s="45" t="s">
        <v>572</v>
      </c>
      <c r="I94" s="3" t="s">
        <v>24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/>
      <c r="Q94" s="4"/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91</v>
      </c>
      <c r="B95" s="2" t="s">
        <v>155</v>
      </c>
      <c r="C95" s="2"/>
      <c r="D95" s="2"/>
      <c r="E95" s="2"/>
      <c r="F95" s="2"/>
      <c r="G95" s="44">
        <v>1600000</v>
      </c>
      <c r="H95" s="45" t="s">
        <v>574</v>
      </c>
      <c r="I95" s="3" t="s">
        <v>24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/>
      <c r="Q95" s="4"/>
      <c r="R95" s="4"/>
      <c r="S95" s="4"/>
      <c r="T95" s="4"/>
      <c r="U95" s="4"/>
      <c r="V95" s="5">
        <f t="shared" si="7"/>
        <v>0</v>
      </c>
      <c r="W95" s="6">
        <f t="shared" si="4"/>
        <v>0</v>
      </c>
      <c r="X95" s="6">
        <f t="shared" si="5"/>
        <v>0</v>
      </c>
      <c r="Y95" s="6">
        <f t="shared" si="6"/>
        <v>0</v>
      </c>
    </row>
    <row r="96" spans="1:25" x14ac:dyDescent="0.25">
      <c r="A96" s="2">
        <v>92</v>
      </c>
      <c r="B96" s="9" t="s">
        <v>156</v>
      </c>
      <c r="C96" s="9">
        <v>1077426534</v>
      </c>
      <c r="D96" s="9">
        <v>3113654554</v>
      </c>
      <c r="E96" s="2" t="s">
        <v>106</v>
      </c>
      <c r="F96" s="2">
        <v>1</v>
      </c>
      <c r="G96" s="44">
        <v>1600000</v>
      </c>
      <c r="H96" s="45" t="s">
        <v>572</v>
      </c>
      <c r="I96" s="3" t="s">
        <v>24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4"/>
      <c r="Q96" s="4"/>
      <c r="R96" s="4"/>
      <c r="S96" s="4"/>
      <c r="T96" s="4"/>
      <c r="U96" s="4"/>
      <c r="V96" s="5">
        <f t="shared" si="7"/>
        <v>800000</v>
      </c>
      <c r="W96" s="6">
        <f t="shared" si="4"/>
        <v>2</v>
      </c>
      <c r="X96" s="6">
        <f t="shared" si="5"/>
        <v>1</v>
      </c>
      <c r="Y96" s="6">
        <f t="shared" si="6"/>
        <v>2</v>
      </c>
    </row>
    <row r="97" spans="1:25" x14ac:dyDescent="0.25">
      <c r="A97" s="2">
        <v>93</v>
      </c>
      <c r="B97" s="8" t="s">
        <v>157</v>
      </c>
      <c r="C97" s="8">
        <v>70326161</v>
      </c>
      <c r="D97" s="8">
        <v>3017435330</v>
      </c>
      <c r="E97" s="2" t="s">
        <v>31</v>
      </c>
      <c r="F97" s="2"/>
      <c r="G97" s="46">
        <v>1200000</v>
      </c>
      <c r="H97" s="45" t="s">
        <v>572</v>
      </c>
      <c r="I97" s="3" t="s">
        <v>24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0</v>
      </c>
      <c r="P97" s="4"/>
      <c r="Q97" s="4"/>
      <c r="R97" s="4"/>
      <c r="S97" s="4"/>
      <c r="T97" s="4"/>
      <c r="U97" s="4"/>
      <c r="V97" s="5">
        <f t="shared" si="7"/>
        <v>2000000</v>
      </c>
      <c r="W97" s="6">
        <f t="shared" si="4"/>
        <v>5</v>
      </c>
      <c r="X97" s="6">
        <f t="shared" si="5"/>
        <v>5</v>
      </c>
      <c r="Y97" s="6">
        <f t="shared" si="6"/>
        <v>5</v>
      </c>
    </row>
    <row r="98" spans="1:25" x14ac:dyDescent="0.25">
      <c r="A98" s="2">
        <v>94</v>
      </c>
      <c r="B98" s="8" t="s">
        <v>158</v>
      </c>
      <c r="C98" s="8"/>
      <c r="D98" s="8"/>
      <c r="E98" s="2"/>
      <c r="F98" s="8"/>
      <c r="G98" s="46">
        <v>400000</v>
      </c>
      <c r="H98" s="47"/>
      <c r="I98" s="3" t="s">
        <v>24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/>
      <c r="Q98" s="4"/>
      <c r="R98" s="4"/>
      <c r="S98" s="4"/>
      <c r="T98" s="4"/>
      <c r="U98" s="4"/>
      <c r="V98" s="5">
        <f t="shared" si="7"/>
        <v>0</v>
      </c>
      <c r="W98" s="6">
        <f t="shared" si="4"/>
        <v>0</v>
      </c>
      <c r="X98" s="6">
        <f t="shared" si="5"/>
        <v>0</v>
      </c>
      <c r="Y98" s="6">
        <f t="shared" si="6"/>
        <v>0</v>
      </c>
    </row>
    <row r="99" spans="1:25" x14ac:dyDescent="0.25">
      <c r="A99" s="2">
        <v>95</v>
      </c>
      <c r="B99" s="8" t="s">
        <v>159</v>
      </c>
      <c r="C99" s="8">
        <v>77037962</v>
      </c>
      <c r="D99" s="8">
        <v>3108469718</v>
      </c>
      <c r="E99" s="2" t="s">
        <v>160</v>
      </c>
      <c r="F99" s="8"/>
      <c r="G99" s="46">
        <v>8000000</v>
      </c>
      <c r="H99" s="47" t="s">
        <v>572</v>
      </c>
      <c r="I99" s="3" t="s">
        <v>24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0</v>
      </c>
      <c r="P99" s="4"/>
      <c r="Q99" s="4"/>
      <c r="R99" s="4"/>
      <c r="S99" s="4"/>
      <c r="T99" s="4"/>
      <c r="U99" s="4"/>
      <c r="V99" s="5">
        <f t="shared" si="7"/>
        <v>7200000</v>
      </c>
      <c r="W99" s="6">
        <f t="shared" si="4"/>
        <v>18</v>
      </c>
      <c r="X99" s="6">
        <f t="shared" si="5"/>
        <v>3</v>
      </c>
      <c r="Y99" s="6">
        <f t="shared" si="6"/>
        <v>18</v>
      </c>
    </row>
    <row r="100" spans="1:25" x14ac:dyDescent="0.25">
      <c r="A100" s="2">
        <v>96</v>
      </c>
      <c r="B100" s="8" t="s">
        <v>161</v>
      </c>
      <c r="C100" s="8"/>
      <c r="D100" s="8"/>
      <c r="E100" s="2"/>
      <c r="F100" s="2"/>
      <c r="G100" s="46">
        <v>10000000</v>
      </c>
      <c r="H100" s="45" t="s">
        <v>572</v>
      </c>
      <c r="I100" s="3" t="s">
        <v>24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/>
      <c r="Q100" s="4"/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97</v>
      </c>
      <c r="B101" s="2" t="s">
        <v>162</v>
      </c>
      <c r="C101" s="2"/>
      <c r="D101" s="2"/>
      <c r="E101" s="2"/>
      <c r="F101" s="2"/>
      <c r="G101" s="44">
        <v>800000</v>
      </c>
      <c r="H101" s="44" t="s">
        <v>572</v>
      </c>
      <c r="I101" s="3" t="s">
        <v>24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/>
      <c r="Q101" s="4"/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98</v>
      </c>
      <c r="B102" s="2" t="s">
        <v>163</v>
      </c>
      <c r="C102" s="2"/>
      <c r="D102" s="2"/>
      <c r="E102" s="2"/>
      <c r="F102" s="2">
        <v>3</v>
      </c>
      <c r="G102" s="44">
        <v>0</v>
      </c>
      <c r="H102" s="45" t="s">
        <v>575</v>
      </c>
      <c r="I102" s="3" t="s">
        <v>24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/>
      <c r="Q102" s="4"/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x14ac:dyDescent="0.25">
      <c r="A103" s="2">
        <v>99</v>
      </c>
      <c r="B103" s="2" t="s">
        <v>164</v>
      </c>
      <c r="C103" s="2"/>
      <c r="D103" s="2"/>
      <c r="E103" s="2" t="s">
        <v>473</v>
      </c>
      <c r="F103" s="2"/>
      <c r="G103" s="44">
        <v>800000</v>
      </c>
      <c r="H103" s="45" t="s">
        <v>572</v>
      </c>
      <c r="I103" s="3" t="s">
        <v>24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/>
      <c r="Q103" s="4"/>
      <c r="R103" s="4"/>
      <c r="S103" s="4"/>
      <c r="T103" s="4"/>
      <c r="U103" s="4"/>
      <c r="V103" s="5">
        <f t="shared" si="7"/>
        <v>0</v>
      </c>
      <c r="W103" s="6">
        <f t="shared" si="4"/>
        <v>0</v>
      </c>
      <c r="X103" s="6">
        <f t="shared" si="5"/>
        <v>0</v>
      </c>
      <c r="Y103" s="6">
        <f t="shared" si="6"/>
        <v>0</v>
      </c>
    </row>
    <row r="104" spans="1:25" x14ac:dyDescent="0.25">
      <c r="A104" s="2">
        <v>100</v>
      </c>
      <c r="B104" s="2" t="s">
        <v>165</v>
      </c>
      <c r="C104" s="2">
        <v>1077424658</v>
      </c>
      <c r="D104" s="2">
        <v>3216464514</v>
      </c>
      <c r="E104" s="2" t="s">
        <v>106</v>
      </c>
      <c r="F104" s="2"/>
      <c r="G104" s="44">
        <v>4000000</v>
      </c>
      <c r="H104" s="45" t="s">
        <v>574</v>
      </c>
      <c r="I104" s="3" t="s">
        <v>24</v>
      </c>
      <c r="J104" s="4">
        <v>0</v>
      </c>
      <c r="K104" s="4">
        <v>1200000</v>
      </c>
      <c r="L104" s="4">
        <v>0</v>
      </c>
      <c r="M104" s="4">
        <v>0</v>
      </c>
      <c r="N104" s="4">
        <v>0</v>
      </c>
      <c r="O104" s="4">
        <v>0</v>
      </c>
      <c r="P104" s="4"/>
      <c r="Q104" s="4"/>
      <c r="R104" s="4"/>
      <c r="S104" s="4"/>
      <c r="T104" s="4"/>
      <c r="U104" s="4"/>
      <c r="V104" s="5">
        <f t="shared" si="7"/>
        <v>1200000</v>
      </c>
      <c r="W104" s="6">
        <f t="shared" si="4"/>
        <v>3</v>
      </c>
      <c r="X104" s="6">
        <f t="shared" si="5"/>
        <v>1</v>
      </c>
      <c r="Y104" s="6">
        <f t="shared" si="6"/>
        <v>3</v>
      </c>
    </row>
    <row r="105" spans="1:25" x14ac:dyDescent="0.25">
      <c r="A105" s="2">
        <v>101</v>
      </c>
      <c r="B105" s="8" t="s">
        <v>166</v>
      </c>
      <c r="C105" s="8"/>
      <c r="D105" s="8"/>
      <c r="E105" s="2" t="s">
        <v>29</v>
      </c>
      <c r="F105" s="2">
        <v>2</v>
      </c>
      <c r="G105" s="44">
        <v>12800000</v>
      </c>
      <c r="H105" s="45" t="s">
        <v>578</v>
      </c>
      <c r="I105" s="3" t="s">
        <v>24</v>
      </c>
      <c r="J105" s="4">
        <v>800000</v>
      </c>
      <c r="K105" s="4">
        <v>800000</v>
      </c>
      <c r="L105" s="4">
        <v>800000</v>
      </c>
      <c r="M105" s="10">
        <v>800000</v>
      </c>
      <c r="N105" s="4">
        <v>800000</v>
      </c>
      <c r="O105" s="4">
        <v>800000</v>
      </c>
      <c r="P105" s="4"/>
      <c r="Q105" s="4"/>
      <c r="R105" s="4"/>
      <c r="S105" s="4"/>
      <c r="T105" s="4"/>
      <c r="U105" s="4"/>
      <c r="V105" s="5">
        <f t="shared" si="7"/>
        <v>4800000</v>
      </c>
      <c r="W105" s="6">
        <f t="shared" si="4"/>
        <v>12</v>
      </c>
      <c r="X105" s="6">
        <f t="shared" si="5"/>
        <v>6</v>
      </c>
      <c r="Y105" s="6">
        <f t="shared" si="6"/>
        <v>12</v>
      </c>
    </row>
    <row r="106" spans="1:25" x14ac:dyDescent="0.25">
      <c r="A106" s="2">
        <v>102</v>
      </c>
      <c r="B106" s="2" t="s">
        <v>167</v>
      </c>
      <c r="C106" s="2"/>
      <c r="D106" s="2"/>
      <c r="E106" s="2" t="s">
        <v>29</v>
      </c>
      <c r="F106" s="2"/>
      <c r="G106" s="44">
        <v>200000</v>
      </c>
      <c r="H106" s="45"/>
      <c r="I106" s="3" t="s">
        <v>24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/>
      <c r="Q106" s="4"/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x14ac:dyDescent="0.25">
      <c r="A107" s="2">
        <v>103</v>
      </c>
      <c r="B107" s="2" t="s">
        <v>168</v>
      </c>
      <c r="C107" s="2"/>
      <c r="D107" s="2"/>
      <c r="E107" s="2" t="s">
        <v>29</v>
      </c>
      <c r="F107" s="2"/>
      <c r="G107" s="44">
        <v>200000</v>
      </c>
      <c r="H107" s="45" t="s">
        <v>573</v>
      </c>
      <c r="I107" s="3" t="s">
        <v>24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/>
      <c r="Q107" s="4"/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x14ac:dyDescent="0.25">
      <c r="A108" s="2">
        <v>104</v>
      </c>
      <c r="B108" s="8" t="s">
        <v>169</v>
      </c>
      <c r="C108" s="8"/>
      <c r="D108" s="8"/>
      <c r="E108" s="2" t="s">
        <v>29</v>
      </c>
      <c r="F108" s="2">
        <v>2</v>
      </c>
      <c r="G108" s="46">
        <v>2800000</v>
      </c>
      <c r="H108" s="45" t="s">
        <v>572</v>
      </c>
      <c r="I108" s="3" t="s">
        <v>24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/>
      <c r="Q108" s="4"/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x14ac:dyDescent="0.25">
      <c r="A109" s="2">
        <v>105</v>
      </c>
      <c r="B109" s="2" t="s">
        <v>170</v>
      </c>
      <c r="C109" s="2"/>
      <c r="D109" s="2"/>
      <c r="E109" s="2" t="s">
        <v>23</v>
      </c>
      <c r="F109" s="2"/>
      <c r="G109" s="44">
        <v>500000</v>
      </c>
      <c r="H109" s="45" t="s">
        <v>572</v>
      </c>
      <c r="I109" s="3" t="s">
        <v>24</v>
      </c>
      <c r="J109" s="4">
        <v>0</v>
      </c>
      <c r="K109" s="4">
        <v>0</v>
      </c>
      <c r="L109" s="4">
        <v>0</v>
      </c>
      <c r="M109" s="7">
        <v>0</v>
      </c>
      <c r="N109" s="4">
        <v>0</v>
      </c>
      <c r="O109" s="4">
        <v>0</v>
      </c>
      <c r="P109" s="4"/>
      <c r="Q109" s="4"/>
      <c r="R109" s="4"/>
      <c r="S109" s="4"/>
      <c r="T109" s="4"/>
      <c r="U109" s="4"/>
      <c r="V109" s="5">
        <f t="shared" si="7"/>
        <v>0</v>
      </c>
      <c r="W109" s="6">
        <f t="shared" si="4"/>
        <v>0</v>
      </c>
      <c r="X109" s="6">
        <f t="shared" si="5"/>
        <v>0</v>
      </c>
      <c r="Y109" s="6">
        <f t="shared" si="6"/>
        <v>0</v>
      </c>
    </row>
    <row r="110" spans="1:25" x14ac:dyDescent="0.25">
      <c r="A110" s="2">
        <v>106</v>
      </c>
      <c r="B110" s="2" t="s">
        <v>171</v>
      </c>
      <c r="C110" s="2">
        <v>35601610</v>
      </c>
      <c r="D110" s="2">
        <v>3207593131</v>
      </c>
      <c r="E110" s="2" t="s">
        <v>106</v>
      </c>
      <c r="F110" s="2"/>
      <c r="G110" s="44">
        <v>800000</v>
      </c>
      <c r="H110" s="45"/>
      <c r="I110" s="3" t="s">
        <v>24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4"/>
      <c r="Q110" s="4"/>
      <c r="R110" s="4"/>
      <c r="S110" s="4"/>
      <c r="T110" s="4"/>
      <c r="U110" s="4"/>
      <c r="V110" s="5">
        <f t="shared" si="7"/>
        <v>1600000</v>
      </c>
      <c r="W110" s="6">
        <f t="shared" si="4"/>
        <v>4</v>
      </c>
      <c r="X110" s="6">
        <f t="shared" si="5"/>
        <v>2</v>
      </c>
      <c r="Y110" s="6">
        <f t="shared" si="6"/>
        <v>4</v>
      </c>
    </row>
    <row r="111" spans="1:25" x14ac:dyDescent="0.25">
      <c r="A111" s="2">
        <v>107</v>
      </c>
      <c r="B111" s="2" t="s">
        <v>172</v>
      </c>
      <c r="C111" s="2">
        <v>1032464597</v>
      </c>
      <c r="D111" s="2" t="s">
        <v>173</v>
      </c>
      <c r="E111" s="2" t="s">
        <v>174</v>
      </c>
      <c r="F111" s="2"/>
      <c r="G111" s="44">
        <v>12000000</v>
      </c>
      <c r="H111" s="45" t="s">
        <v>572</v>
      </c>
      <c r="I111" s="3" t="s">
        <v>24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4"/>
      <c r="Q111" s="4"/>
      <c r="R111" s="4"/>
      <c r="S111" s="4"/>
      <c r="T111" s="4"/>
      <c r="U111" s="4"/>
      <c r="V111" s="5">
        <f t="shared" si="7"/>
        <v>12000000</v>
      </c>
      <c r="W111" s="6">
        <f t="shared" si="4"/>
        <v>30</v>
      </c>
      <c r="X111" s="6">
        <f t="shared" si="5"/>
        <v>6</v>
      </c>
      <c r="Y111" s="6">
        <f t="shared" si="6"/>
        <v>30</v>
      </c>
    </row>
    <row r="112" spans="1:25" x14ac:dyDescent="0.25">
      <c r="A112" s="2">
        <v>108</v>
      </c>
      <c r="B112" s="2" t="s">
        <v>175</v>
      </c>
      <c r="C112" s="2"/>
      <c r="D112" s="2"/>
      <c r="E112" s="2"/>
      <c r="F112" s="2"/>
      <c r="G112" s="44">
        <v>4800000</v>
      </c>
      <c r="H112" s="45" t="s">
        <v>574</v>
      </c>
      <c r="I112" s="3" t="s">
        <v>24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/>
      <c r="Q112" s="4"/>
      <c r="R112" s="4"/>
      <c r="S112" s="4"/>
      <c r="T112" s="4"/>
      <c r="U112" s="4"/>
      <c r="V112" s="5">
        <f t="shared" si="7"/>
        <v>0</v>
      </c>
      <c r="W112" s="6">
        <f t="shared" si="4"/>
        <v>0</v>
      </c>
      <c r="X112" s="6">
        <f t="shared" si="5"/>
        <v>0</v>
      </c>
      <c r="Y112" s="6">
        <f t="shared" si="6"/>
        <v>0</v>
      </c>
    </row>
    <row r="113" spans="1:25" x14ac:dyDescent="0.25">
      <c r="A113" s="2">
        <v>109</v>
      </c>
      <c r="B113" s="8" t="s">
        <v>176</v>
      </c>
      <c r="C113" s="8">
        <v>70067417</v>
      </c>
      <c r="D113" s="8" t="s">
        <v>177</v>
      </c>
      <c r="E113" s="2" t="s">
        <v>147</v>
      </c>
      <c r="F113" s="8"/>
      <c r="G113" s="46">
        <v>2400000</v>
      </c>
      <c r="H113" s="47" t="s">
        <v>572</v>
      </c>
      <c r="I113" s="3" t="s">
        <v>24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0</v>
      </c>
      <c r="P113" s="4"/>
      <c r="Q113" s="4"/>
      <c r="R113" s="4"/>
      <c r="S113" s="4"/>
      <c r="T113" s="4"/>
      <c r="U113" s="4"/>
      <c r="V113" s="5">
        <f t="shared" si="7"/>
        <v>1600000</v>
      </c>
      <c r="W113" s="6">
        <f t="shared" si="4"/>
        <v>4</v>
      </c>
      <c r="X113" s="6">
        <f t="shared" si="5"/>
        <v>3</v>
      </c>
      <c r="Y113" s="6">
        <f t="shared" si="6"/>
        <v>4</v>
      </c>
    </row>
    <row r="114" spans="1:25" x14ac:dyDescent="0.25">
      <c r="A114" s="2">
        <v>110</v>
      </c>
      <c r="B114" s="2" t="s">
        <v>178</v>
      </c>
      <c r="C114" s="2">
        <v>13837081</v>
      </c>
      <c r="D114" s="2">
        <v>3208026783</v>
      </c>
      <c r="E114" s="2" t="s">
        <v>179</v>
      </c>
      <c r="F114" s="2"/>
      <c r="G114" s="44">
        <v>2390000</v>
      </c>
      <c r="H114" s="45" t="s">
        <v>572</v>
      </c>
      <c r="I114" s="3" t="s">
        <v>24</v>
      </c>
      <c r="J114" s="4">
        <v>1192000</v>
      </c>
      <c r="K114" s="4">
        <v>1205000</v>
      </c>
      <c r="L114" s="4">
        <v>400000</v>
      </c>
      <c r="M114" s="4">
        <v>400000</v>
      </c>
      <c r="N114" s="4">
        <v>0</v>
      </c>
      <c r="O114" s="4">
        <v>400000</v>
      </c>
      <c r="P114" s="4"/>
      <c r="Q114" s="4"/>
      <c r="R114" s="4"/>
      <c r="S114" s="4"/>
      <c r="T114" s="4"/>
      <c r="U114" s="4"/>
      <c r="V114" s="5">
        <f t="shared" si="7"/>
        <v>3597000</v>
      </c>
      <c r="W114" s="6">
        <f t="shared" si="4"/>
        <v>8.9924999999999997</v>
      </c>
      <c r="X114" s="6">
        <f t="shared" si="5"/>
        <v>5</v>
      </c>
      <c r="Y114" s="6">
        <f t="shared" si="6"/>
        <v>9</v>
      </c>
    </row>
    <row r="115" spans="1:25" x14ac:dyDescent="0.25">
      <c r="A115" s="2">
        <v>111</v>
      </c>
      <c r="B115" s="2" t="s">
        <v>180</v>
      </c>
      <c r="C115" s="2"/>
      <c r="D115" s="2"/>
      <c r="E115" s="2" t="s">
        <v>29</v>
      </c>
      <c r="F115" s="2"/>
      <c r="G115" s="44">
        <v>3700000</v>
      </c>
      <c r="H115" s="45" t="s">
        <v>579</v>
      </c>
      <c r="I115" s="3" t="s">
        <v>24</v>
      </c>
      <c r="J115" s="4">
        <v>400000</v>
      </c>
      <c r="K115" s="4">
        <v>0</v>
      </c>
      <c r="L115" s="4">
        <v>400000</v>
      </c>
      <c r="M115" s="7">
        <v>400000</v>
      </c>
      <c r="N115" s="4">
        <v>0</v>
      </c>
      <c r="O115" s="4">
        <v>800000</v>
      </c>
      <c r="P115" s="4"/>
      <c r="Q115" s="4"/>
      <c r="R115" s="4"/>
      <c r="S115" s="4"/>
      <c r="T115" s="4"/>
      <c r="U115" s="4"/>
      <c r="V115" s="5">
        <f t="shared" si="7"/>
        <v>2000000</v>
      </c>
      <c r="W115" s="6">
        <f t="shared" si="4"/>
        <v>5</v>
      </c>
      <c r="X115" s="6">
        <f t="shared" si="5"/>
        <v>4</v>
      </c>
      <c r="Y115" s="6">
        <f t="shared" si="6"/>
        <v>5</v>
      </c>
    </row>
    <row r="116" spans="1:25" x14ac:dyDescent="0.25">
      <c r="A116" s="2">
        <v>112</v>
      </c>
      <c r="B116" s="8" t="s">
        <v>181</v>
      </c>
      <c r="C116" s="8"/>
      <c r="D116" s="8"/>
      <c r="E116" s="2"/>
      <c r="F116" s="8"/>
      <c r="G116" s="46">
        <v>1200000</v>
      </c>
      <c r="H116" s="47"/>
      <c r="I116" s="3" t="s">
        <v>24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/>
      <c r="Q116" s="4"/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x14ac:dyDescent="0.25">
      <c r="A117" s="2">
        <v>113</v>
      </c>
      <c r="B117" s="8" t="s">
        <v>182</v>
      </c>
      <c r="C117" s="8">
        <v>1065587738</v>
      </c>
      <c r="D117" s="8">
        <v>3127912471</v>
      </c>
      <c r="E117" s="2" t="s">
        <v>76</v>
      </c>
      <c r="F117" s="8"/>
      <c r="G117" s="46">
        <v>1800000</v>
      </c>
      <c r="H117" s="47" t="s">
        <v>572</v>
      </c>
      <c r="I117" s="3" t="s">
        <v>24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/>
      <c r="Q117" s="4"/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x14ac:dyDescent="0.25">
      <c r="A118" s="2">
        <v>114</v>
      </c>
      <c r="B118" s="8" t="s">
        <v>183</v>
      </c>
      <c r="C118" s="8"/>
      <c r="D118" s="8"/>
      <c r="E118" s="2" t="s">
        <v>29</v>
      </c>
      <c r="F118" s="8"/>
      <c r="G118" s="46">
        <v>100000</v>
      </c>
      <c r="H118" s="47" t="s">
        <v>573</v>
      </c>
      <c r="I118" s="3" t="s">
        <v>24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/>
      <c r="Q118" s="4"/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x14ac:dyDescent="0.25">
      <c r="A119" s="2">
        <v>115</v>
      </c>
      <c r="B119" s="8" t="s">
        <v>184</v>
      </c>
      <c r="C119" s="8"/>
      <c r="D119" s="8"/>
      <c r="E119" s="2" t="s">
        <v>29</v>
      </c>
      <c r="F119" s="2"/>
      <c r="G119" s="46">
        <v>400000</v>
      </c>
      <c r="H119" s="45" t="s">
        <v>573</v>
      </c>
      <c r="I119" s="3" t="s">
        <v>24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/>
      <c r="Q119" s="4"/>
      <c r="R119" s="4"/>
      <c r="S119" s="4"/>
      <c r="T119" s="4"/>
      <c r="U119" s="4"/>
      <c r="V119" s="5">
        <f t="shared" si="7"/>
        <v>0</v>
      </c>
      <c r="W119" s="6">
        <f t="shared" si="4"/>
        <v>0</v>
      </c>
      <c r="X119" s="6">
        <f t="shared" si="5"/>
        <v>0</v>
      </c>
      <c r="Y119" s="6">
        <f t="shared" si="6"/>
        <v>0</v>
      </c>
    </row>
    <row r="120" spans="1:25" x14ac:dyDescent="0.25">
      <c r="A120" s="2">
        <v>116</v>
      </c>
      <c r="B120" s="2" t="s">
        <v>185</v>
      </c>
      <c r="C120" s="2">
        <v>38230483</v>
      </c>
      <c r="D120" s="2">
        <v>3104869126</v>
      </c>
      <c r="E120" s="2" t="s">
        <v>186</v>
      </c>
      <c r="F120" s="2"/>
      <c r="G120" s="44">
        <v>4000000</v>
      </c>
      <c r="H120" s="45" t="s">
        <v>574</v>
      </c>
      <c r="I120" s="3" t="s">
        <v>24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4"/>
      <c r="Q120" s="4"/>
      <c r="R120" s="4"/>
      <c r="S120" s="4"/>
      <c r="T120" s="4"/>
      <c r="U120" s="4"/>
      <c r="V120" s="5">
        <f t="shared" si="7"/>
        <v>2400000</v>
      </c>
      <c r="W120" s="6">
        <f t="shared" si="4"/>
        <v>6</v>
      </c>
      <c r="X120" s="6">
        <f t="shared" si="5"/>
        <v>6</v>
      </c>
      <c r="Y120" s="6">
        <f t="shared" si="6"/>
        <v>6</v>
      </c>
    </row>
    <row r="121" spans="1:25" x14ac:dyDescent="0.25">
      <c r="A121" s="2">
        <v>117</v>
      </c>
      <c r="B121" s="8" t="s">
        <v>187</v>
      </c>
      <c r="C121" s="8"/>
      <c r="D121" s="8"/>
      <c r="E121" s="2" t="s">
        <v>29</v>
      </c>
      <c r="F121" s="2">
        <v>1</v>
      </c>
      <c r="G121" s="46">
        <v>10670000</v>
      </c>
      <c r="H121" s="45" t="s">
        <v>573</v>
      </c>
      <c r="I121" s="3" t="s">
        <v>24</v>
      </c>
      <c r="J121" s="4">
        <v>800000</v>
      </c>
      <c r="K121" s="4">
        <v>1200000</v>
      </c>
      <c r="L121" s="4">
        <v>800000</v>
      </c>
      <c r="M121" s="4">
        <v>1200000</v>
      </c>
      <c r="N121" s="4">
        <v>800000</v>
      </c>
      <c r="O121" s="4">
        <v>800000</v>
      </c>
      <c r="P121" s="4"/>
      <c r="Q121" s="4"/>
      <c r="R121" s="4"/>
      <c r="S121" s="4"/>
      <c r="T121" s="4"/>
      <c r="U121" s="4"/>
      <c r="V121" s="5">
        <f t="shared" si="7"/>
        <v>5600000</v>
      </c>
      <c r="W121" s="6">
        <f t="shared" si="4"/>
        <v>14</v>
      </c>
      <c r="X121" s="6">
        <f t="shared" si="5"/>
        <v>6</v>
      </c>
      <c r="Y121" s="6">
        <f t="shared" si="6"/>
        <v>14</v>
      </c>
    </row>
    <row r="122" spans="1:25" x14ac:dyDescent="0.25">
      <c r="A122" s="2">
        <v>118</v>
      </c>
      <c r="B122" s="2" t="s">
        <v>188</v>
      </c>
      <c r="C122" s="2">
        <v>22579381</v>
      </c>
      <c r="D122" s="2"/>
      <c r="E122" s="2" t="s">
        <v>554</v>
      </c>
      <c r="F122" s="2"/>
      <c r="G122" s="44">
        <v>1200000</v>
      </c>
      <c r="H122" s="45" t="s">
        <v>572</v>
      </c>
      <c r="I122" s="3" t="s">
        <v>24</v>
      </c>
      <c r="J122" s="4">
        <v>400000</v>
      </c>
      <c r="K122" s="4">
        <v>0</v>
      </c>
      <c r="L122" s="4">
        <v>400000</v>
      </c>
      <c r="M122" s="7">
        <v>0</v>
      </c>
      <c r="N122" s="4">
        <v>400000</v>
      </c>
      <c r="O122" s="4">
        <v>0</v>
      </c>
      <c r="P122" s="4"/>
      <c r="Q122" s="4"/>
      <c r="R122" s="4"/>
      <c r="S122" s="4"/>
      <c r="T122" s="4"/>
      <c r="U122" s="4"/>
      <c r="V122" s="5">
        <f t="shared" si="7"/>
        <v>1200000</v>
      </c>
      <c r="W122" s="6">
        <f t="shared" si="4"/>
        <v>3</v>
      </c>
      <c r="X122" s="6">
        <f t="shared" si="5"/>
        <v>3</v>
      </c>
      <c r="Y122" s="6">
        <f t="shared" si="6"/>
        <v>3</v>
      </c>
    </row>
    <row r="123" spans="1:25" x14ac:dyDescent="0.25">
      <c r="A123" s="2">
        <v>119</v>
      </c>
      <c r="B123" s="8" t="s">
        <v>189</v>
      </c>
      <c r="C123" s="8">
        <v>32936225</v>
      </c>
      <c r="D123" s="8">
        <v>3215254487</v>
      </c>
      <c r="E123" s="2"/>
      <c r="F123" s="2"/>
      <c r="G123" s="44">
        <v>1200000</v>
      </c>
      <c r="H123" s="45"/>
      <c r="I123" s="3" t="s">
        <v>24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4"/>
      <c r="Q123" s="4"/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120</v>
      </c>
      <c r="B124" s="2" t="s">
        <v>190</v>
      </c>
      <c r="C124" s="2"/>
      <c r="D124" s="2"/>
      <c r="E124" s="2"/>
      <c r="F124" s="2"/>
      <c r="G124" s="44">
        <v>200000</v>
      </c>
      <c r="H124" s="45"/>
      <c r="I124" s="3" t="s">
        <v>24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/>
      <c r="Q124" s="4"/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121</v>
      </c>
      <c r="B125" s="2" t="s">
        <v>191</v>
      </c>
      <c r="C125" s="2"/>
      <c r="D125" s="2"/>
      <c r="E125" s="2"/>
      <c r="F125" s="2"/>
      <c r="G125" s="44">
        <v>850000</v>
      </c>
      <c r="H125" s="45" t="s">
        <v>572</v>
      </c>
      <c r="I125" s="3" t="s">
        <v>24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/>
      <c r="Q125" s="4"/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x14ac:dyDescent="0.25">
      <c r="A126" s="2">
        <v>122</v>
      </c>
      <c r="B126" s="8" t="s">
        <v>192</v>
      </c>
      <c r="C126" s="8">
        <v>11809146</v>
      </c>
      <c r="D126" s="8">
        <v>3136811706</v>
      </c>
      <c r="E126" s="2" t="s">
        <v>92</v>
      </c>
      <c r="F126" s="8"/>
      <c r="G126" s="46">
        <v>1600000</v>
      </c>
      <c r="H126" s="47" t="s">
        <v>574</v>
      </c>
      <c r="I126" s="3" t="s">
        <v>24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/>
      <c r="Q126" s="4"/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123</v>
      </c>
      <c r="B127" s="2" t="s">
        <v>193</v>
      </c>
      <c r="C127" s="2"/>
      <c r="D127" s="2"/>
      <c r="E127" s="2"/>
      <c r="F127" s="2"/>
      <c r="G127" s="44">
        <v>3900000</v>
      </c>
      <c r="H127" s="45" t="s">
        <v>572</v>
      </c>
      <c r="I127" s="3" t="s">
        <v>24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4"/>
      <c r="Q127" s="4"/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124</v>
      </c>
      <c r="B128" s="2" t="s">
        <v>194</v>
      </c>
      <c r="C128" s="2"/>
      <c r="D128" s="2"/>
      <c r="E128" s="2"/>
      <c r="F128" s="2"/>
      <c r="G128" s="44">
        <v>800000</v>
      </c>
      <c r="H128" s="44"/>
      <c r="I128" s="3" t="s">
        <v>24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4"/>
      <c r="Q128" s="4"/>
      <c r="R128" s="4"/>
      <c r="S128" s="4"/>
      <c r="T128" s="4"/>
      <c r="U128" s="4"/>
      <c r="V128" s="5">
        <f t="shared" si="7"/>
        <v>0</v>
      </c>
      <c r="W128" s="6">
        <f t="shared" si="4"/>
        <v>0</v>
      </c>
      <c r="X128" s="6">
        <f t="shared" si="5"/>
        <v>0</v>
      </c>
      <c r="Y128" s="6">
        <f t="shared" si="6"/>
        <v>0</v>
      </c>
    </row>
    <row r="129" spans="1:25" x14ac:dyDescent="0.25">
      <c r="A129" s="2">
        <v>125</v>
      </c>
      <c r="B129" s="8" t="s">
        <v>195</v>
      </c>
      <c r="C129" s="8">
        <v>8694441</v>
      </c>
      <c r="D129" s="8">
        <v>3170295457</v>
      </c>
      <c r="E129" s="2" t="s">
        <v>76</v>
      </c>
      <c r="F129" s="8">
        <v>1</v>
      </c>
      <c r="G129" s="46">
        <v>400000</v>
      </c>
      <c r="H129" s="47" t="s">
        <v>575</v>
      </c>
      <c r="I129" s="3" t="s">
        <v>24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4"/>
      <c r="Q129" s="4"/>
      <c r="R129" s="4"/>
      <c r="S129" s="4"/>
      <c r="T129" s="4"/>
      <c r="U129" s="4"/>
      <c r="V129" s="5">
        <f t="shared" si="7"/>
        <v>2000000</v>
      </c>
      <c r="W129" s="6">
        <f t="shared" si="4"/>
        <v>5</v>
      </c>
      <c r="X129" s="6">
        <f t="shared" si="5"/>
        <v>5</v>
      </c>
      <c r="Y129" s="6">
        <f t="shared" si="6"/>
        <v>5</v>
      </c>
    </row>
    <row r="130" spans="1:25" x14ac:dyDescent="0.25">
      <c r="A130" s="2">
        <v>126</v>
      </c>
      <c r="B130" s="2" t="s">
        <v>196</v>
      </c>
      <c r="C130" s="2">
        <v>60380993</v>
      </c>
      <c r="D130" s="2">
        <v>3213307371</v>
      </c>
      <c r="E130" s="2" t="s">
        <v>56</v>
      </c>
      <c r="F130" s="2"/>
      <c r="G130" s="44">
        <v>3200000</v>
      </c>
      <c r="H130" s="44" t="s">
        <v>572</v>
      </c>
      <c r="I130" s="3" t="s">
        <v>24</v>
      </c>
      <c r="J130" s="4">
        <v>400000</v>
      </c>
      <c r="K130" s="4">
        <v>0</v>
      </c>
      <c r="L130" s="4">
        <v>400000</v>
      </c>
      <c r="M130" s="4">
        <v>400000</v>
      </c>
      <c r="N130" s="10">
        <v>400000</v>
      </c>
      <c r="O130" s="4">
        <v>400000</v>
      </c>
      <c r="P130" s="4"/>
      <c r="Q130" s="4"/>
      <c r="R130" s="4"/>
      <c r="S130" s="4"/>
      <c r="T130" s="4"/>
      <c r="U130" s="4"/>
      <c r="V130" s="5">
        <f t="shared" si="7"/>
        <v>2000000</v>
      </c>
      <c r="W130" s="6">
        <f t="shared" si="4"/>
        <v>5</v>
      </c>
      <c r="X130" s="6">
        <f t="shared" si="5"/>
        <v>5</v>
      </c>
      <c r="Y130" s="6">
        <f t="shared" si="6"/>
        <v>5</v>
      </c>
    </row>
    <row r="131" spans="1:25" x14ac:dyDescent="0.25">
      <c r="A131" s="2">
        <v>127</v>
      </c>
      <c r="B131" s="8" t="s">
        <v>197</v>
      </c>
      <c r="C131" s="8"/>
      <c r="D131" s="8"/>
      <c r="E131" s="2"/>
      <c r="F131" s="2">
        <v>1</v>
      </c>
      <c r="G131" s="44">
        <v>0</v>
      </c>
      <c r="H131" s="45" t="s">
        <v>575</v>
      </c>
      <c r="I131" s="3" t="s">
        <v>24</v>
      </c>
      <c r="J131" s="4">
        <v>0</v>
      </c>
      <c r="K131" s="4">
        <v>0</v>
      </c>
      <c r="L131" s="4">
        <v>0</v>
      </c>
      <c r="M131" s="10">
        <v>0</v>
      </c>
      <c r="N131" s="10">
        <v>0</v>
      </c>
      <c r="O131" s="4">
        <v>0</v>
      </c>
      <c r="P131" s="4"/>
      <c r="Q131" s="4"/>
      <c r="R131" s="4"/>
      <c r="S131" s="4"/>
      <c r="T131" s="4"/>
      <c r="U131" s="4"/>
      <c r="V131" s="5">
        <f t="shared" si="7"/>
        <v>0</v>
      </c>
      <c r="W131" s="6">
        <f t="shared" si="4"/>
        <v>0</v>
      </c>
      <c r="X131" s="6">
        <f t="shared" si="5"/>
        <v>0</v>
      </c>
      <c r="Y131" s="6">
        <f t="shared" si="6"/>
        <v>0</v>
      </c>
    </row>
    <row r="132" spans="1:25" x14ac:dyDescent="0.25">
      <c r="A132" s="2">
        <v>128</v>
      </c>
      <c r="B132" s="2" t="s">
        <v>198</v>
      </c>
      <c r="C132" s="2">
        <v>860606</v>
      </c>
      <c r="D132" s="2"/>
      <c r="E132" s="2" t="s">
        <v>29</v>
      </c>
      <c r="F132" s="2"/>
      <c r="G132" s="44">
        <v>2800000</v>
      </c>
      <c r="H132" s="45"/>
      <c r="I132" s="3" t="s">
        <v>24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4"/>
      <c r="Q132" s="4"/>
      <c r="R132" s="4"/>
      <c r="S132" s="4"/>
      <c r="T132" s="4"/>
      <c r="U132" s="4"/>
      <c r="V132" s="5">
        <f t="shared" si="7"/>
        <v>1700000</v>
      </c>
      <c r="W132" s="6">
        <f t="shared" si="4"/>
        <v>4.25</v>
      </c>
      <c r="X132" s="6">
        <f t="shared" si="5"/>
        <v>3</v>
      </c>
      <c r="Y132" s="6">
        <f t="shared" si="6"/>
        <v>5</v>
      </c>
    </row>
    <row r="133" spans="1:25" x14ac:dyDescent="0.25">
      <c r="A133" s="2">
        <v>129</v>
      </c>
      <c r="B133" s="8" t="s">
        <v>199</v>
      </c>
      <c r="C133" s="8"/>
      <c r="D133" s="8"/>
      <c r="E133" s="2" t="s">
        <v>29</v>
      </c>
      <c r="F133" s="8"/>
      <c r="G133" s="46">
        <v>400000</v>
      </c>
      <c r="H133" s="47"/>
      <c r="I133" s="3" t="s">
        <v>24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4"/>
      <c r="Q133" s="4"/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130</v>
      </c>
      <c r="B134" s="2" t="s">
        <v>200</v>
      </c>
      <c r="C134" s="2"/>
      <c r="D134" s="2"/>
      <c r="E134" s="2"/>
      <c r="F134" s="2"/>
      <c r="G134" s="44">
        <v>100000</v>
      </c>
      <c r="H134" s="45" t="s">
        <v>572</v>
      </c>
      <c r="I134" s="3" t="s">
        <v>24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4"/>
      <c r="Q134" s="4"/>
      <c r="R134" s="4"/>
      <c r="S134" s="4"/>
      <c r="T134" s="4"/>
      <c r="U134" s="4"/>
      <c r="V134" s="5">
        <f t="shared" ref="V134:V197" si="11">SUM(J134:U134)</f>
        <v>0</v>
      </c>
      <c r="W134" s="6">
        <f t="shared" si="8"/>
        <v>0</v>
      </c>
      <c r="X134" s="6">
        <f t="shared" si="9"/>
        <v>0</v>
      </c>
      <c r="Y134" s="6">
        <f t="shared" si="10"/>
        <v>0</v>
      </c>
    </row>
    <row r="135" spans="1:25" x14ac:dyDescent="0.25">
      <c r="A135" s="2">
        <v>131</v>
      </c>
      <c r="B135" s="8" t="s">
        <v>201</v>
      </c>
      <c r="C135" s="8"/>
      <c r="D135" s="8"/>
      <c r="E135" s="2" t="s">
        <v>29</v>
      </c>
      <c r="F135" s="8"/>
      <c r="G135" s="46">
        <v>5600000</v>
      </c>
      <c r="H135" s="47"/>
      <c r="I135" s="3" t="s">
        <v>24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4"/>
      <c r="Q135" s="4"/>
      <c r="R135" s="4"/>
      <c r="S135" s="4"/>
      <c r="T135" s="4"/>
      <c r="U135" s="4"/>
      <c r="V135" s="5">
        <f t="shared" si="11"/>
        <v>1600000</v>
      </c>
      <c r="W135" s="6">
        <f t="shared" si="8"/>
        <v>4</v>
      </c>
      <c r="X135" s="6">
        <f t="shared" si="9"/>
        <v>1</v>
      </c>
      <c r="Y135" s="6">
        <f t="shared" si="10"/>
        <v>4</v>
      </c>
    </row>
    <row r="136" spans="1:25" x14ac:dyDescent="0.25">
      <c r="A136" s="2">
        <v>132</v>
      </c>
      <c r="B136" s="2" t="s">
        <v>202</v>
      </c>
      <c r="C136" s="2"/>
      <c r="D136" s="2"/>
      <c r="E136" s="2" t="s">
        <v>29</v>
      </c>
      <c r="F136" s="2"/>
      <c r="G136" s="44">
        <v>100000</v>
      </c>
      <c r="H136" s="45" t="s">
        <v>572</v>
      </c>
      <c r="I136" s="3" t="s">
        <v>24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4"/>
      <c r="Q136" s="4"/>
      <c r="R136" s="4"/>
      <c r="S136" s="4"/>
      <c r="T136" s="4"/>
      <c r="U136" s="4"/>
      <c r="V136" s="5">
        <f t="shared" si="11"/>
        <v>0</v>
      </c>
      <c r="W136" s="6">
        <f t="shared" si="8"/>
        <v>0</v>
      </c>
      <c r="X136" s="6">
        <f t="shared" si="9"/>
        <v>0</v>
      </c>
      <c r="Y136" s="6">
        <f t="shared" si="10"/>
        <v>0</v>
      </c>
    </row>
    <row r="137" spans="1:25" x14ac:dyDescent="0.25">
      <c r="A137" s="2">
        <v>133</v>
      </c>
      <c r="B137" s="2" t="s">
        <v>203</v>
      </c>
      <c r="C137" s="2">
        <v>77187578</v>
      </c>
      <c r="D137" s="2">
        <v>3123048536</v>
      </c>
      <c r="E137" s="2" t="s">
        <v>29</v>
      </c>
      <c r="F137" s="2">
        <v>2</v>
      </c>
      <c r="G137" s="44">
        <v>11300000</v>
      </c>
      <c r="H137" s="44" t="s">
        <v>572</v>
      </c>
      <c r="I137" s="3" t="s">
        <v>24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4"/>
      <c r="Q137" s="4"/>
      <c r="R137" s="4"/>
      <c r="S137" s="4"/>
      <c r="T137" s="4"/>
      <c r="U137" s="4"/>
      <c r="V137" s="5">
        <f t="shared" si="11"/>
        <v>2000000</v>
      </c>
      <c r="W137" s="6">
        <f t="shared" si="8"/>
        <v>5</v>
      </c>
      <c r="X137" s="6">
        <f t="shared" si="9"/>
        <v>5</v>
      </c>
      <c r="Y137" s="6">
        <f t="shared" si="10"/>
        <v>5</v>
      </c>
    </row>
    <row r="138" spans="1:25" x14ac:dyDescent="0.25">
      <c r="A138" s="2">
        <v>134</v>
      </c>
      <c r="B138" s="2" t="s">
        <v>204</v>
      </c>
      <c r="C138" s="2"/>
      <c r="D138" s="2"/>
      <c r="E138" s="2"/>
      <c r="F138" s="2">
        <v>1</v>
      </c>
      <c r="G138" s="44">
        <v>0</v>
      </c>
      <c r="H138" s="45" t="s">
        <v>575</v>
      </c>
      <c r="I138" s="3" t="s">
        <v>24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4"/>
      <c r="Q138" s="4"/>
      <c r="R138" s="4"/>
      <c r="S138" s="4"/>
      <c r="T138" s="4"/>
      <c r="U138" s="4"/>
      <c r="V138" s="5">
        <f t="shared" si="11"/>
        <v>0</v>
      </c>
      <c r="W138" s="6">
        <f t="shared" si="8"/>
        <v>0</v>
      </c>
      <c r="X138" s="6">
        <f t="shared" si="9"/>
        <v>0</v>
      </c>
      <c r="Y138" s="6">
        <f t="shared" si="10"/>
        <v>0</v>
      </c>
    </row>
    <row r="139" spans="1:25" x14ac:dyDescent="0.25">
      <c r="A139" s="2">
        <v>135</v>
      </c>
      <c r="B139" s="8" t="s">
        <v>205</v>
      </c>
      <c r="C139" s="8">
        <v>41679611</v>
      </c>
      <c r="D139" s="8" t="s">
        <v>206</v>
      </c>
      <c r="E139" s="2" t="s">
        <v>207</v>
      </c>
      <c r="F139" s="8"/>
      <c r="G139" s="46">
        <v>4000000</v>
      </c>
      <c r="H139" s="47" t="s">
        <v>572</v>
      </c>
      <c r="I139" s="3" t="s">
        <v>24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4"/>
      <c r="Q139" s="4"/>
      <c r="R139" s="4"/>
      <c r="S139" s="4"/>
      <c r="T139" s="4"/>
      <c r="U139" s="4"/>
      <c r="V139" s="5">
        <f t="shared" si="11"/>
        <v>4800000</v>
      </c>
      <c r="W139" s="6">
        <f t="shared" si="8"/>
        <v>12</v>
      </c>
      <c r="X139" s="6">
        <f t="shared" si="9"/>
        <v>6</v>
      </c>
      <c r="Y139" s="6">
        <f t="shared" si="10"/>
        <v>12</v>
      </c>
    </row>
    <row r="140" spans="1:25" x14ac:dyDescent="0.25">
      <c r="A140" s="2">
        <v>136</v>
      </c>
      <c r="B140" s="2" t="s">
        <v>208</v>
      </c>
      <c r="C140" s="2"/>
      <c r="D140" s="2"/>
      <c r="E140" s="2"/>
      <c r="F140" s="2"/>
      <c r="G140" s="44">
        <v>3000000</v>
      </c>
      <c r="H140" s="45" t="s">
        <v>572</v>
      </c>
      <c r="I140" s="3" t="s">
        <v>24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4"/>
      <c r="Q140" s="4"/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137</v>
      </c>
      <c r="B141" s="8" t="s">
        <v>209</v>
      </c>
      <c r="C141" s="8"/>
      <c r="D141" s="8"/>
      <c r="E141" s="2"/>
      <c r="F141" s="8"/>
      <c r="G141" s="46">
        <v>260000</v>
      </c>
      <c r="H141" s="47"/>
      <c r="I141" s="3" t="s">
        <v>24</v>
      </c>
      <c r="J141" s="4">
        <v>0</v>
      </c>
      <c r="K141" s="4">
        <v>0</v>
      </c>
      <c r="L141" s="4">
        <v>0</v>
      </c>
      <c r="M141" s="4">
        <v>0</v>
      </c>
      <c r="N141" s="10">
        <v>0</v>
      </c>
      <c r="O141" s="4">
        <v>0</v>
      </c>
      <c r="P141" s="4"/>
      <c r="Q141" s="4"/>
      <c r="R141" s="4"/>
      <c r="S141" s="4"/>
      <c r="T141" s="4"/>
      <c r="U141" s="4"/>
      <c r="V141" s="5">
        <f t="shared" si="11"/>
        <v>0</v>
      </c>
      <c r="W141" s="6">
        <f t="shared" si="8"/>
        <v>0</v>
      </c>
      <c r="X141" s="6">
        <f t="shared" si="9"/>
        <v>0</v>
      </c>
      <c r="Y141" s="6">
        <f t="shared" si="10"/>
        <v>0</v>
      </c>
    </row>
    <row r="142" spans="1:25" x14ac:dyDescent="0.25">
      <c r="A142" s="2">
        <v>138</v>
      </c>
      <c r="B142" s="8" t="s">
        <v>210</v>
      </c>
      <c r="C142" s="8"/>
      <c r="D142" s="8"/>
      <c r="E142" s="2" t="s">
        <v>29</v>
      </c>
      <c r="F142" s="2"/>
      <c r="G142" s="44">
        <v>3600000</v>
      </c>
      <c r="H142" s="45" t="s">
        <v>572</v>
      </c>
      <c r="I142" s="3" t="s">
        <v>24</v>
      </c>
      <c r="J142" s="4">
        <v>400000</v>
      </c>
      <c r="K142" s="4">
        <v>400000</v>
      </c>
      <c r="L142" s="7">
        <v>400000</v>
      </c>
      <c r="M142" s="10">
        <v>0</v>
      </c>
      <c r="N142" s="10">
        <v>1200000</v>
      </c>
      <c r="O142" s="4">
        <v>0</v>
      </c>
      <c r="P142" s="4"/>
      <c r="Q142" s="4"/>
      <c r="R142" s="4"/>
      <c r="S142" s="4"/>
      <c r="T142" s="4"/>
      <c r="U142" s="4"/>
      <c r="V142" s="5">
        <f t="shared" si="11"/>
        <v>2400000</v>
      </c>
      <c r="W142" s="6">
        <f t="shared" si="8"/>
        <v>6</v>
      </c>
      <c r="X142" s="6">
        <f t="shared" si="9"/>
        <v>4</v>
      </c>
      <c r="Y142" s="6">
        <f t="shared" si="10"/>
        <v>6</v>
      </c>
    </row>
    <row r="143" spans="1:25" x14ac:dyDescent="0.25">
      <c r="A143" s="2">
        <v>139</v>
      </c>
      <c r="B143" s="8" t="s">
        <v>211</v>
      </c>
      <c r="C143" s="8">
        <v>4517739</v>
      </c>
      <c r="D143" s="8"/>
      <c r="E143" s="2" t="s">
        <v>104</v>
      </c>
      <c r="F143" s="2"/>
      <c r="G143" s="46">
        <v>1400000</v>
      </c>
      <c r="H143" s="45"/>
      <c r="I143" s="3" t="s">
        <v>24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4"/>
      <c r="Q143" s="4"/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140</v>
      </c>
      <c r="B144" s="8" t="s">
        <v>212</v>
      </c>
      <c r="C144" s="8"/>
      <c r="D144" s="8"/>
      <c r="E144" s="2"/>
      <c r="F144" s="2"/>
      <c r="G144" s="44">
        <v>400000</v>
      </c>
      <c r="H144" s="45" t="s">
        <v>572</v>
      </c>
      <c r="I144" s="3" t="s">
        <v>24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4"/>
      <c r="Q144" s="4"/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141</v>
      </c>
      <c r="B145" s="2" t="s">
        <v>213</v>
      </c>
      <c r="C145" s="2"/>
      <c r="D145" s="2"/>
      <c r="E145" s="2"/>
      <c r="F145" s="2"/>
      <c r="G145" s="44">
        <v>1200000</v>
      </c>
      <c r="H145" s="45"/>
      <c r="I145" s="3" t="s">
        <v>24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4"/>
      <c r="Q145" s="4"/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x14ac:dyDescent="0.25">
      <c r="A146" s="2">
        <v>142</v>
      </c>
      <c r="B146" s="2" t="s">
        <v>214</v>
      </c>
      <c r="C146" s="2"/>
      <c r="D146" s="2"/>
      <c r="E146" s="2" t="s">
        <v>215</v>
      </c>
      <c r="F146" s="2"/>
      <c r="G146" s="44">
        <v>500000</v>
      </c>
      <c r="H146" s="45"/>
      <c r="I146" s="3" t="s">
        <v>24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4"/>
      <c r="Q146" s="4"/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143</v>
      </c>
      <c r="B147" s="2" t="s">
        <v>216</v>
      </c>
      <c r="C147" s="2"/>
      <c r="D147" s="2"/>
      <c r="E147" s="2"/>
      <c r="F147" s="2">
        <v>1</v>
      </c>
      <c r="G147" s="44">
        <v>400000</v>
      </c>
      <c r="H147" s="45" t="s">
        <v>574</v>
      </c>
      <c r="I147" s="3" t="s">
        <v>24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4"/>
      <c r="Q147" s="4"/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x14ac:dyDescent="0.25">
      <c r="A148" s="2">
        <v>144</v>
      </c>
      <c r="B148" s="2" t="s">
        <v>217</v>
      </c>
      <c r="C148" s="2"/>
      <c r="D148" s="2"/>
      <c r="E148" s="2" t="s">
        <v>29</v>
      </c>
      <c r="F148" s="2"/>
      <c r="G148" s="44">
        <v>400000</v>
      </c>
      <c r="H148" s="45"/>
      <c r="I148" s="3" t="s">
        <v>24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4"/>
      <c r="Q148" s="4"/>
      <c r="R148" s="4"/>
      <c r="S148" s="4"/>
      <c r="T148" s="4"/>
      <c r="U148" s="4"/>
      <c r="V148" s="5">
        <f t="shared" si="11"/>
        <v>0</v>
      </c>
      <c r="W148" s="6">
        <f t="shared" si="8"/>
        <v>0</v>
      </c>
      <c r="X148" s="6">
        <f t="shared" si="9"/>
        <v>0</v>
      </c>
      <c r="Y148" s="6">
        <f t="shared" si="10"/>
        <v>0</v>
      </c>
    </row>
    <row r="149" spans="1:25" x14ac:dyDescent="0.25">
      <c r="A149" s="2">
        <v>145</v>
      </c>
      <c r="B149" s="2" t="s">
        <v>218</v>
      </c>
      <c r="C149" s="2">
        <v>1067849185</v>
      </c>
      <c r="D149" s="2">
        <v>3043721442</v>
      </c>
      <c r="E149" s="2" t="s">
        <v>219</v>
      </c>
      <c r="F149" s="2"/>
      <c r="G149" s="44">
        <v>1600000</v>
      </c>
      <c r="H149" s="45"/>
      <c r="I149" s="3" t="s">
        <v>24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4"/>
      <c r="Q149" s="4"/>
      <c r="R149" s="4"/>
      <c r="S149" s="4"/>
      <c r="T149" s="4"/>
      <c r="U149" s="4"/>
      <c r="V149" s="5">
        <f t="shared" si="11"/>
        <v>2400000</v>
      </c>
      <c r="W149" s="6">
        <f t="shared" si="8"/>
        <v>6</v>
      </c>
      <c r="X149" s="6">
        <f t="shared" si="9"/>
        <v>3</v>
      </c>
      <c r="Y149" s="6">
        <f t="shared" si="10"/>
        <v>6</v>
      </c>
    </row>
    <row r="150" spans="1:25" x14ac:dyDescent="0.25">
      <c r="A150" s="2">
        <v>146</v>
      </c>
      <c r="B150" s="2" t="s">
        <v>220</v>
      </c>
      <c r="C150" s="2"/>
      <c r="D150" s="2"/>
      <c r="E150" s="2"/>
      <c r="F150" s="2"/>
      <c r="G150" s="44">
        <v>3200000</v>
      </c>
      <c r="H150" s="45"/>
      <c r="I150" s="3" t="s">
        <v>24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4"/>
      <c r="Q150" s="4"/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147</v>
      </c>
      <c r="B151" s="2" t="s">
        <v>221</v>
      </c>
      <c r="C151" s="2"/>
      <c r="D151" s="2"/>
      <c r="E151" s="2"/>
      <c r="F151" s="2"/>
      <c r="G151" s="44">
        <v>3200000</v>
      </c>
      <c r="H151" s="45"/>
      <c r="I151" s="3" t="s">
        <v>24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4"/>
      <c r="Q151" s="4"/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148</v>
      </c>
      <c r="B152" s="8" t="s">
        <v>222</v>
      </c>
      <c r="C152" s="8"/>
      <c r="D152" s="8"/>
      <c r="E152" s="2"/>
      <c r="F152" s="2"/>
      <c r="G152" s="44">
        <v>200000</v>
      </c>
      <c r="H152" s="45"/>
      <c r="I152" s="3" t="s">
        <v>24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4"/>
      <c r="Q152" s="4"/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149</v>
      </c>
      <c r="B153" s="8" t="s">
        <v>223</v>
      </c>
      <c r="C153" s="8"/>
      <c r="D153" s="8"/>
      <c r="E153" s="2"/>
      <c r="F153" s="2"/>
      <c r="G153" s="44">
        <v>800000</v>
      </c>
      <c r="H153" s="45"/>
      <c r="I153" s="3" t="s">
        <v>24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4"/>
      <c r="Q153" s="4"/>
      <c r="R153" s="4"/>
      <c r="S153" s="4"/>
      <c r="T153" s="4"/>
      <c r="U153" s="4"/>
      <c r="V153" s="5">
        <f t="shared" si="11"/>
        <v>0</v>
      </c>
      <c r="W153" s="6">
        <f t="shared" si="8"/>
        <v>0</v>
      </c>
      <c r="X153" s="6">
        <f t="shared" si="9"/>
        <v>0</v>
      </c>
      <c r="Y153" s="6">
        <f t="shared" si="10"/>
        <v>0</v>
      </c>
    </row>
    <row r="154" spans="1:25" x14ac:dyDescent="0.25">
      <c r="A154" s="2">
        <v>150</v>
      </c>
      <c r="B154" s="8" t="s">
        <v>224</v>
      </c>
      <c r="C154" s="8">
        <v>1044429200</v>
      </c>
      <c r="D154" s="8">
        <v>3008202508</v>
      </c>
      <c r="E154" s="2" t="s">
        <v>554</v>
      </c>
      <c r="F154" s="2"/>
      <c r="G154" s="44">
        <v>2490000</v>
      </c>
      <c r="H154" s="45"/>
      <c r="I154" s="3" t="s">
        <v>24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4"/>
      <c r="Q154" s="4"/>
      <c r="R154" s="4"/>
      <c r="S154" s="4"/>
      <c r="T154" s="4"/>
      <c r="U154" s="4"/>
      <c r="V154" s="5">
        <f t="shared" si="11"/>
        <v>600000</v>
      </c>
      <c r="W154" s="6">
        <f t="shared" si="8"/>
        <v>1.5</v>
      </c>
      <c r="X154" s="6">
        <f t="shared" si="9"/>
        <v>4</v>
      </c>
      <c r="Y154" s="6">
        <f t="shared" si="10"/>
        <v>2</v>
      </c>
    </row>
    <row r="155" spans="1:25" x14ac:dyDescent="0.25">
      <c r="A155" s="2">
        <v>151</v>
      </c>
      <c r="B155" s="8" t="s">
        <v>225</v>
      </c>
      <c r="C155" s="2">
        <v>1067594389</v>
      </c>
      <c r="D155" s="2"/>
      <c r="E155" s="2"/>
      <c r="F155" s="2"/>
      <c r="G155" s="44">
        <v>400000</v>
      </c>
      <c r="H155" s="45"/>
      <c r="I155" s="3" t="s">
        <v>24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4"/>
      <c r="Q155" s="4"/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x14ac:dyDescent="0.25">
      <c r="A156" s="2">
        <v>152</v>
      </c>
      <c r="B156" s="8" t="s">
        <v>226</v>
      </c>
      <c r="C156" s="12">
        <v>11705775</v>
      </c>
      <c r="D156" s="2">
        <v>3127559027</v>
      </c>
      <c r="E156" s="2" t="s">
        <v>92</v>
      </c>
      <c r="F156" s="2"/>
      <c r="G156" s="44">
        <v>400000</v>
      </c>
      <c r="H156" s="45"/>
      <c r="I156" s="3" t="s">
        <v>24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4"/>
      <c r="Q156" s="4"/>
      <c r="R156" s="4"/>
      <c r="S156" s="4"/>
      <c r="T156" s="4"/>
      <c r="U156" s="4"/>
      <c r="V156" s="5">
        <f t="shared" si="11"/>
        <v>0</v>
      </c>
      <c r="W156" s="6">
        <f t="shared" si="8"/>
        <v>0</v>
      </c>
      <c r="X156" s="6">
        <f t="shared" si="9"/>
        <v>0</v>
      </c>
      <c r="Y156" s="6">
        <f t="shared" si="10"/>
        <v>0</v>
      </c>
    </row>
    <row r="157" spans="1:25" x14ac:dyDescent="0.25">
      <c r="A157" s="2">
        <v>153</v>
      </c>
      <c r="B157" s="2" t="s">
        <v>227</v>
      </c>
      <c r="C157" s="12">
        <v>1077437902</v>
      </c>
      <c r="D157" s="2">
        <v>3127867720</v>
      </c>
      <c r="E157" s="2" t="s">
        <v>106</v>
      </c>
      <c r="F157" s="2"/>
      <c r="G157" s="44">
        <v>1600000</v>
      </c>
      <c r="H157" s="45"/>
      <c r="I157" s="3" t="s">
        <v>24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4"/>
      <c r="Q157" s="4"/>
      <c r="R157" s="4"/>
      <c r="S157" s="4"/>
      <c r="T157" s="4"/>
      <c r="U157" s="4"/>
      <c r="V157" s="5">
        <f t="shared" si="11"/>
        <v>1200000</v>
      </c>
      <c r="W157" s="6">
        <f t="shared" si="8"/>
        <v>3</v>
      </c>
      <c r="X157" s="6">
        <f t="shared" si="9"/>
        <v>2</v>
      </c>
      <c r="Y157" s="6">
        <f t="shared" si="10"/>
        <v>3</v>
      </c>
    </row>
    <row r="158" spans="1:25" x14ac:dyDescent="0.25">
      <c r="A158" s="2">
        <v>154</v>
      </c>
      <c r="B158" s="8" t="s">
        <v>228</v>
      </c>
      <c r="C158" s="8">
        <v>1003932453</v>
      </c>
      <c r="D158" s="8">
        <v>3226546627</v>
      </c>
      <c r="E158" s="2" t="s">
        <v>106</v>
      </c>
      <c r="F158" s="2"/>
      <c r="G158" s="44">
        <v>1600000</v>
      </c>
      <c r="H158" s="45"/>
      <c r="I158" s="3" t="s">
        <v>24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4"/>
      <c r="Q158" s="4"/>
      <c r="R158" s="4"/>
      <c r="S158" s="4"/>
      <c r="T158" s="4"/>
      <c r="U158" s="4"/>
      <c r="V158" s="5">
        <f t="shared" si="11"/>
        <v>0</v>
      </c>
      <c r="W158" s="6">
        <f t="shared" si="8"/>
        <v>0</v>
      </c>
      <c r="X158" s="6">
        <f t="shared" si="9"/>
        <v>0</v>
      </c>
      <c r="Y158" s="6">
        <f t="shared" si="10"/>
        <v>0</v>
      </c>
    </row>
    <row r="159" spans="1:25" x14ac:dyDescent="0.25">
      <c r="A159" s="2">
        <v>155</v>
      </c>
      <c r="B159" s="8" t="s">
        <v>229</v>
      </c>
      <c r="C159" s="8"/>
      <c r="D159" s="8">
        <v>3214118979</v>
      </c>
      <c r="E159" s="2" t="s">
        <v>29</v>
      </c>
      <c r="F159" s="2"/>
      <c r="G159" s="44">
        <v>840000</v>
      </c>
      <c r="H159" s="45"/>
      <c r="I159" s="3" t="s">
        <v>24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4"/>
      <c r="Q159" s="4"/>
      <c r="R159" s="4"/>
      <c r="S159" s="4"/>
      <c r="T159" s="4"/>
      <c r="U159" s="4"/>
      <c r="V159" s="5">
        <f t="shared" si="11"/>
        <v>840000</v>
      </c>
      <c r="W159" s="6">
        <f t="shared" si="8"/>
        <v>2.1</v>
      </c>
      <c r="X159" s="6">
        <f t="shared" si="9"/>
        <v>6</v>
      </c>
      <c r="Y159" s="6">
        <f t="shared" si="10"/>
        <v>3</v>
      </c>
    </row>
    <row r="160" spans="1:25" x14ac:dyDescent="0.25">
      <c r="A160" s="2">
        <v>156</v>
      </c>
      <c r="B160" s="8" t="s">
        <v>230</v>
      </c>
      <c r="C160" s="8"/>
      <c r="D160" s="8"/>
      <c r="E160" s="2"/>
      <c r="F160" s="2"/>
      <c r="G160" s="44">
        <v>460000</v>
      </c>
      <c r="H160" s="45"/>
      <c r="I160" s="3" t="s">
        <v>24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4"/>
      <c r="Q160" s="4"/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x14ac:dyDescent="0.25">
      <c r="A161" s="2">
        <v>157</v>
      </c>
      <c r="B161" s="8" t="s">
        <v>231</v>
      </c>
      <c r="C161" s="8">
        <v>60267661</v>
      </c>
      <c r="D161" s="8"/>
      <c r="E161" s="2" t="s">
        <v>179</v>
      </c>
      <c r="F161" s="2"/>
      <c r="G161" s="44">
        <v>250000</v>
      </c>
      <c r="H161" s="45"/>
      <c r="I161" s="3" t="s">
        <v>24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4"/>
      <c r="Q161" s="4"/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158</v>
      </c>
      <c r="B162" s="8" t="s">
        <v>232</v>
      </c>
      <c r="C162" s="8">
        <v>39105075</v>
      </c>
      <c r="D162" s="8"/>
      <c r="E162" s="2"/>
      <c r="F162" s="2"/>
      <c r="G162" s="44">
        <v>400000</v>
      </c>
      <c r="H162" s="45"/>
      <c r="I162" s="3" t="s">
        <v>24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4"/>
      <c r="Q162" s="4"/>
      <c r="R162" s="4"/>
      <c r="S162" s="4"/>
      <c r="T162" s="4"/>
      <c r="U162" s="4"/>
      <c r="V162" s="5">
        <f t="shared" si="11"/>
        <v>0</v>
      </c>
      <c r="W162" s="6">
        <f t="shared" si="8"/>
        <v>0</v>
      </c>
      <c r="X162" s="6">
        <f t="shared" si="9"/>
        <v>0</v>
      </c>
      <c r="Y162" s="6">
        <f t="shared" si="10"/>
        <v>0</v>
      </c>
    </row>
    <row r="163" spans="1:25" x14ac:dyDescent="0.25">
      <c r="A163" s="2">
        <v>159</v>
      </c>
      <c r="B163" s="8" t="s">
        <v>233</v>
      </c>
      <c r="C163" s="8">
        <v>11785866</v>
      </c>
      <c r="D163" s="8">
        <v>3106178104</v>
      </c>
      <c r="E163" s="2" t="s">
        <v>106</v>
      </c>
      <c r="F163" s="2"/>
      <c r="G163" s="44">
        <v>2400000</v>
      </c>
      <c r="H163" s="45"/>
      <c r="I163" s="3" t="s">
        <v>24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4"/>
      <c r="Q163" s="4"/>
      <c r="R163" s="4"/>
      <c r="S163" s="4"/>
      <c r="T163" s="4"/>
      <c r="U163" s="4"/>
      <c r="V163" s="5">
        <f t="shared" si="11"/>
        <v>4400000</v>
      </c>
      <c r="W163" s="6">
        <f t="shared" si="8"/>
        <v>11</v>
      </c>
      <c r="X163" s="6">
        <f t="shared" si="9"/>
        <v>5</v>
      </c>
      <c r="Y163" s="6">
        <f t="shared" si="10"/>
        <v>11</v>
      </c>
    </row>
    <row r="164" spans="1:25" x14ac:dyDescent="0.25">
      <c r="A164" s="2">
        <v>160</v>
      </c>
      <c r="B164" s="8" t="s">
        <v>234</v>
      </c>
      <c r="C164" s="8">
        <v>45591667</v>
      </c>
      <c r="D164" s="8">
        <v>3002275338</v>
      </c>
      <c r="E164" s="2" t="s">
        <v>69</v>
      </c>
      <c r="F164" s="2"/>
      <c r="G164" s="44">
        <v>400000</v>
      </c>
      <c r="H164" s="45"/>
      <c r="I164" s="3" t="s">
        <v>24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10"/>
      <c r="Q164" s="4"/>
      <c r="R164" s="4"/>
      <c r="S164" s="4"/>
      <c r="T164" s="4"/>
      <c r="U164" s="4"/>
      <c r="V164" s="5">
        <f t="shared" si="11"/>
        <v>1200000</v>
      </c>
      <c r="W164" s="6">
        <f t="shared" si="8"/>
        <v>3</v>
      </c>
      <c r="X164" s="6">
        <f t="shared" si="9"/>
        <v>3</v>
      </c>
      <c r="Y164" s="6">
        <f t="shared" si="10"/>
        <v>3</v>
      </c>
    </row>
    <row r="165" spans="1:25" x14ac:dyDescent="0.25">
      <c r="A165" s="2">
        <v>161</v>
      </c>
      <c r="B165" s="8" t="s">
        <v>235</v>
      </c>
      <c r="C165" s="8"/>
      <c r="D165" s="8"/>
      <c r="E165" s="2"/>
      <c r="F165" s="2"/>
      <c r="G165" s="44">
        <v>400000</v>
      </c>
      <c r="H165" s="45"/>
      <c r="I165" s="3" t="s">
        <v>24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10"/>
      <c r="Q165" s="4"/>
      <c r="R165" s="4"/>
      <c r="S165" s="4"/>
      <c r="T165" s="4"/>
      <c r="U165" s="4"/>
      <c r="V165" s="5">
        <f t="shared" si="11"/>
        <v>0</v>
      </c>
      <c r="W165" s="6">
        <f t="shared" si="8"/>
        <v>0</v>
      </c>
      <c r="X165" s="6">
        <f t="shared" si="9"/>
        <v>0</v>
      </c>
      <c r="Y165" s="6">
        <f t="shared" si="10"/>
        <v>0</v>
      </c>
    </row>
    <row r="166" spans="1:25" x14ac:dyDescent="0.25">
      <c r="A166" s="2">
        <v>162</v>
      </c>
      <c r="B166" s="2" t="s">
        <v>236</v>
      </c>
      <c r="C166" s="2">
        <v>88311237</v>
      </c>
      <c r="D166" s="2">
        <v>3157844390</v>
      </c>
      <c r="E166" s="2" t="s">
        <v>56</v>
      </c>
      <c r="F166" s="2"/>
      <c r="G166" s="2">
        <v>900000</v>
      </c>
      <c r="H166" s="2"/>
      <c r="I166" s="3" t="s">
        <v>24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10"/>
      <c r="Q166" s="4"/>
      <c r="R166" s="4"/>
      <c r="S166" s="4"/>
      <c r="T166" s="4"/>
      <c r="U166" s="4"/>
      <c r="V166" s="5">
        <f t="shared" si="11"/>
        <v>2000000</v>
      </c>
      <c r="W166" s="6">
        <f t="shared" si="8"/>
        <v>5</v>
      </c>
      <c r="X166" s="6">
        <f t="shared" si="9"/>
        <v>5</v>
      </c>
      <c r="Y166" s="6">
        <f t="shared" si="10"/>
        <v>5</v>
      </c>
    </row>
    <row r="167" spans="1:25" x14ac:dyDescent="0.25">
      <c r="A167" s="2">
        <v>163</v>
      </c>
      <c r="B167" s="2" t="s">
        <v>237</v>
      </c>
      <c r="C167" s="2">
        <v>109042290</v>
      </c>
      <c r="D167" s="2"/>
      <c r="E167" s="2"/>
      <c r="F167" s="2"/>
      <c r="G167" s="2">
        <v>100000</v>
      </c>
      <c r="H167" s="2"/>
      <c r="I167" s="3" t="s">
        <v>24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/>
      <c r="Q167" s="4"/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164</v>
      </c>
      <c r="B168" s="2" t="s">
        <v>238</v>
      </c>
      <c r="C168" s="2">
        <v>10937503</v>
      </c>
      <c r="D168" s="2"/>
      <c r="E168" s="2"/>
      <c r="F168" s="2"/>
      <c r="G168" s="2">
        <v>100000</v>
      </c>
      <c r="H168" s="2"/>
      <c r="I168" s="3" t="s">
        <v>24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/>
      <c r="Q168" s="4"/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165</v>
      </c>
      <c r="B169" s="2" t="s">
        <v>239</v>
      </c>
      <c r="C169" s="2">
        <v>60442867</v>
      </c>
      <c r="D169" s="2"/>
      <c r="E169" s="2"/>
      <c r="F169" s="2"/>
      <c r="G169" s="2">
        <v>900000</v>
      </c>
      <c r="H169" s="2"/>
      <c r="I169" s="3" t="s">
        <v>24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/>
      <c r="Q169" s="4"/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x14ac:dyDescent="0.25">
      <c r="A170" s="2">
        <v>166</v>
      </c>
      <c r="B170" s="8" t="s">
        <v>240</v>
      </c>
      <c r="C170" s="2">
        <v>1090397309</v>
      </c>
      <c r="D170" s="8"/>
      <c r="E170" s="2" t="s">
        <v>56</v>
      </c>
      <c r="F170" s="2"/>
      <c r="G170" s="44">
        <v>800000</v>
      </c>
      <c r="H170" s="45"/>
      <c r="I170" s="3" t="s">
        <v>24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/>
      <c r="Q170" s="4"/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167</v>
      </c>
      <c r="B171" s="8" t="s">
        <v>241</v>
      </c>
      <c r="C171" s="8"/>
      <c r="D171" s="8"/>
      <c r="E171" s="2"/>
      <c r="F171" s="2"/>
      <c r="G171" s="44">
        <v>950000</v>
      </c>
      <c r="H171" s="45"/>
      <c r="I171" s="3" t="s">
        <v>24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10"/>
      <c r="Q171" s="4"/>
      <c r="R171" s="4"/>
      <c r="S171" s="4"/>
      <c r="T171" s="4"/>
      <c r="U171" s="4"/>
      <c r="V171" s="5">
        <f t="shared" si="11"/>
        <v>0</v>
      </c>
      <c r="W171" s="6">
        <f t="shared" si="8"/>
        <v>0</v>
      </c>
      <c r="X171" s="6">
        <f t="shared" si="9"/>
        <v>0</v>
      </c>
      <c r="Y171" s="6">
        <f t="shared" si="10"/>
        <v>0</v>
      </c>
    </row>
    <row r="172" spans="1:25" x14ac:dyDescent="0.25">
      <c r="A172" s="2">
        <v>168</v>
      </c>
      <c r="B172" s="8" t="s">
        <v>242</v>
      </c>
      <c r="C172" s="8">
        <v>1093786204</v>
      </c>
      <c r="D172" s="8">
        <v>3212596253</v>
      </c>
      <c r="E172" s="2" t="s">
        <v>56</v>
      </c>
      <c r="F172" s="2"/>
      <c r="G172" s="44">
        <v>2400000</v>
      </c>
      <c r="H172" s="45"/>
      <c r="I172" s="3" t="s">
        <v>24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10"/>
      <c r="Q172" s="4"/>
      <c r="R172" s="4"/>
      <c r="S172" s="4"/>
      <c r="T172" s="4"/>
      <c r="U172" s="4"/>
      <c r="V172" s="5">
        <f t="shared" si="11"/>
        <v>3200000</v>
      </c>
      <c r="W172" s="6">
        <f t="shared" si="8"/>
        <v>8</v>
      </c>
      <c r="X172" s="6">
        <f t="shared" si="9"/>
        <v>2</v>
      </c>
      <c r="Y172" s="6">
        <f t="shared" si="10"/>
        <v>8</v>
      </c>
    </row>
    <row r="173" spans="1:25" x14ac:dyDescent="0.25">
      <c r="A173" s="2">
        <v>169</v>
      </c>
      <c r="B173" s="8" t="s">
        <v>243</v>
      </c>
      <c r="C173" s="8"/>
      <c r="D173" s="8"/>
      <c r="E173" s="2" t="s">
        <v>473</v>
      </c>
      <c r="F173" s="2"/>
      <c r="G173" s="44">
        <v>400000</v>
      </c>
      <c r="H173" s="45"/>
      <c r="I173" s="3" t="s">
        <v>24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10"/>
      <c r="Q173" s="4"/>
      <c r="R173" s="4"/>
      <c r="S173" s="4"/>
      <c r="T173" s="4"/>
      <c r="U173" s="4"/>
      <c r="V173" s="5">
        <f t="shared" si="11"/>
        <v>0</v>
      </c>
      <c r="W173" s="6">
        <f t="shared" si="8"/>
        <v>0</v>
      </c>
      <c r="X173" s="6">
        <f t="shared" si="9"/>
        <v>0</v>
      </c>
      <c r="Y173" s="6">
        <f t="shared" si="10"/>
        <v>0</v>
      </c>
    </row>
    <row r="174" spans="1:25" x14ac:dyDescent="0.25">
      <c r="A174" s="2">
        <v>170</v>
      </c>
      <c r="B174" s="8" t="s">
        <v>244</v>
      </c>
      <c r="C174" s="8"/>
      <c r="D174" s="8"/>
      <c r="E174" s="2" t="s">
        <v>559</v>
      </c>
      <c r="F174" s="2"/>
      <c r="G174" s="44">
        <v>3600000</v>
      </c>
      <c r="H174" s="45"/>
      <c r="I174" s="3" t="s">
        <v>24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0</v>
      </c>
      <c r="P174" s="10"/>
      <c r="Q174" s="4"/>
      <c r="R174" s="4"/>
      <c r="S174" s="4"/>
      <c r="T174" s="4"/>
      <c r="U174" s="4"/>
      <c r="V174" s="5">
        <f t="shared" si="11"/>
        <v>3600000</v>
      </c>
      <c r="W174" s="6">
        <f t="shared" si="8"/>
        <v>9</v>
      </c>
      <c r="X174" s="6">
        <f t="shared" si="9"/>
        <v>5</v>
      </c>
      <c r="Y174" s="6">
        <f t="shared" si="10"/>
        <v>9</v>
      </c>
    </row>
    <row r="175" spans="1:25" x14ac:dyDescent="0.25">
      <c r="A175" s="2">
        <v>171</v>
      </c>
      <c r="B175" s="8" t="s">
        <v>245</v>
      </c>
      <c r="C175" s="8">
        <v>79772077</v>
      </c>
      <c r="D175" s="8"/>
      <c r="E175" s="2"/>
      <c r="F175" s="2"/>
      <c r="G175" s="44">
        <v>1200000</v>
      </c>
      <c r="H175" s="45"/>
      <c r="I175" s="3" t="s">
        <v>24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10"/>
      <c r="Q175" s="4"/>
      <c r="R175" s="4"/>
      <c r="S175" s="4"/>
      <c r="T175" s="4"/>
      <c r="U175" s="4"/>
      <c r="V175" s="5">
        <f t="shared" si="11"/>
        <v>0</v>
      </c>
      <c r="W175" s="6">
        <f t="shared" si="8"/>
        <v>0</v>
      </c>
      <c r="X175" s="6">
        <f t="shared" si="9"/>
        <v>0</v>
      </c>
      <c r="Y175" s="6">
        <f t="shared" si="10"/>
        <v>0</v>
      </c>
    </row>
    <row r="176" spans="1:25" x14ac:dyDescent="0.25">
      <c r="A176" s="2">
        <v>172</v>
      </c>
      <c r="B176" s="8" t="s">
        <v>246</v>
      </c>
      <c r="C176" s="8">
        <v>1093775115</v>
      </c>
      <c r="D176" s="8"/>
      <c r="E176" s="2"/>
      <c r="F176" s="2"/>
      <c r="G176" s="44">
        <v>1200000</v>
      </c>
      <c r="H176" s="45"/>
      <c r="I176" s="3" t="s">
        <v>24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10"/>
      <c r="Q176" s="4"/>
      <c r="R176" s="4"/>
      <c r="S176" s="4"/>
      <c r="T176" s="4"/>
      <c r="U176" s="4"/>
      <c r="V176" s="5">
        <f t="shared" si="11"/>
        <v>1200000</v>
      </c>
      <c r="W176" s="6">
        <f t="shared" si="8"/>
        <v>3</v>
      </c>
      <c r="X176" s="6">
        <f t="shared" si="9"/>
        <v>3</v>
      </c>
      <c r="Y176" s="6">
        <f t="shared" si="10"/>
        <v>3</v>
      </c>
    </row>
    <row r="177" spans="1:25" x14ac:dyDescent="0.25">
      <c r="A177" s="2">
        <v>173</v>
      </c>
      <c r="B177" s="8" t="s">
        <v>247</v>
      </c>
      <c r="C177" s="8">
        <v>1048020150</v>
      </c>
      <c r="D177" s="8">
        <v>3012225929</v>
      </c>
      <c r="E177" s="2" t="s">
        <v>72</v>
      </c>
      <c r="F177" s="2"/>
      <c r="G177" s="44">
        <v>1200000</v>
      </c>
      <c r="H177" s="45"/>
      <c r="I177" s="3" t="s">
        <v>24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10"/>
      <c r="Q177" s="4"/>
      <c r="R177" s="4"/>
      <c r="S177" s="4"/>
      <c r="T177" s="4"/>
      <c r="U177" s="4"/>
      <c r="V177" s="5">
        <f t="shared" si="11"/>
        <v>1600000</v>
      </c>
      <c r="W177" s="6">
        <f t="shared" si="8"/>
        <v>4</v>
      </c>
      <c r="X177" s="6">
        <f t="shared" si="9"/>
        <v>3</v>
      </c>
      <c r="Y177" s="6">
        <f t="shared" si="10"/>
        <v>4</v>
      </c>
    </row>
    <row r="178" spans="1:25" x14ac:dyDescent="0.25">
      <c r="A178" s="2">
        <v>174</v>
      </c>
      <c r="B178" s="8" t="s">
        <v>248</v>
      </c>
      <c r="C178" s="8">
        <v>1042767190</v>
      </c>
      <c r="D178" s="8">
        <v>3146496028</v>
      </c>
      <c r="E178" s="2" t="s">
        <v>249</v>
      </c>
      <c r="F178" s="2"/>
      <c r="G178" s="44">
        <v>2000000</v>
      </c>
      <c r="H178" s="45"/>
      <c r="I178" s="3" t="s">
        <v>24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10"/>
      <c r="Q178" s="4"/>
      <c r="R178" s="4"/>
      <c r="S178" s="4"/>
      <c r="T178" s="4"/>
      <c r="U178" s="4"/>
      <c r="V178" s="5">
        <f t="shared" si="11"/>
        <v>3800000</v>
      </c>
      <c r="W178" s="6">
        <f t="shared" si="8"/>
        <v>9.5</v>
      </c>
      <c r="X178" s="6">
        <f t="shared" si="9"/>
        <v>4</v>
      </c>
      <c r="Y178" s="6">
        <f t="shared" si="10"/>
        <v>10</v>
      </c>
    </row>
    <row r="179" spans="1:25" x14ac:dyDescent="0.25">
      <c r="A179" s="2">
        <v>175</v>
      </c>
      <c r="B179" s="8" t="s">
        <v>250</v>
      </c>
      <c r="C179" s="8">
        <v>54252099</v>
      </c>
      <c r="D179" s="8" t="s">
        <v>251</v>
      </c>
      <c r="E179" s="2" t="s">
        <v>106</v>
      </c>
      <c r="F179" s="2"/>
      <c r="G179" s="44">
        <v>1600000</v>
      </c>
      <c r="H179" s="45"/>
      <c r="I179" s="3" t="s">
        <v>24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10"/>
      <c r="Q179" s="4"/>
      <c r="R179" s="4"/>
      <c r="S179" s="4"/>
      <c r="T179" s="4"/>
      <c r="U179" s="4"/>
      <c r="V179" s="5">
        <f t="shared" si="11"/>
        <v>2000000</v>
      </c>
      <c r="W179" s="6">
        <f t="shared" si="8"/>
        <v>5</v>
      </c>
      <c r="X179" s="6">
        <f t="shared" si="9"/>
        <v>5</v>
      </c>
      <c r="Y179" s="6">
        <f t="shared" si="10"/>
        <v>5</v>
      </c>
    </row>
    <row r="180" spans="1:25" x14ac:dyDescent="0.25">
      <c r="A180" s="2">
        <v>176</v>
      </c>
      <c r="B180" s="8" t="s">
        <v>252</v>
      </c>
      <c r="C180" s="8">
        <v>64543061</v>
      </c>
      <c r="D180" s="8">
        <v>3007191532</v>
      </c>
      <c r="E180" s="2" t="s">
        <v>69</v>
      </c>
      <c r="F180" s="2"/>
      <c r="G180" s="44">
        <v>2000000</v>
      </c>
      <c r="H180" s="45"/>
      <c r="I180" s="3" t="s">
        <v>24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10"/>
      <c r="Q180" s="4"/>
      <c r="R180" s="4"/>
      <c r="S180" s="4"/>
      <c r="T180" s="4"/>
      <c r="U180" s="4"/>
      <c r="V180" s="5">
        <f t="shared" si="11"/>
        <v>2800000</v>
      </c>
      <c r="W180" s="6">
        <f t="shared" si="8"/>
        <v>7</v>
      </c>
      <c r="X180" s="6">
        <f t="shared" si="9"/>
        <v>6</v>
      </c>
      <c r="Y180" s="6">
        <f t="shared" si="10"/>
        <v>7</v>
      </c>
    </row>
    <row r="181" spans="1:25" x14ac:dyDescent="0.25">
      <c r="A181" s="2">
        <v>177</v>
      </c>
      <c r="B181" s="8" t="s">
        <v>253</v>
      </c>
      <c r="C181" s="8">
        <v>1128051565</v>
      </c>
      <c r="D181" s="8"/>
      <c r="E181" s="2"/>
      <c r="F181" s="2"/>
      <c r="G181" s="44">
        <v>400000</v>
      </c>
      <c r="H181" s="45"/>
      <c r="I181" s="3" t="s">
        <v>24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10"/>
      <c r="Q181" s="4"/>
      <c r="R181" s="4"/>
      <c r="S181" s="4"/>
      <c r="T181" s="4"/>
      <c r="U181" s="4"/>
      <c r="V181" s="5">
        <f t="shared" si="11"/>
        <v>0</v>
      </c>
      <c r="W181" s="6">
        <f t="shared" si="8"/>
        <v>0</v>
      </c>
      <c r="X181" s="6">
        <f t="shared" si="9"/>
        <v>0</v>
      </c>
      <c r="Y181" s="6">
        <f t="shared" si="10"/>
        <v>0</v>
      </c>
    </row>
    <row r="182" spans="1:25" x14ac:dyDescent="0.25">
      <c r="A182" s="2">
        <v>178</v>
      </c>
      <c r="B182" s="8" t="s">
        <v>254</v>
      </c>
      <c r="C182" s="8">
        <v>98533404</v>
      </c>
      <c r="D182" s="8">
        <v>3016089190</v>
      </c>
      <c r="E182" s="2" t="s">
        <v>147</v>
      </c>
      <c r="F182" s="2"/>
      <c r="G182" s="44">
        <v>2000000</v>
      </c>
      <c r="H182" s="45"/>
      <c r="I182" s="3" t="s">
        <v>24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10"/>
      <c r="Q182" s="4"/>
      <c r="R182" s="4"/>
      <c r="S182" s="4"/>
      <c r="T182" s="4"/>
      <c r="U182" s="4"/>
      <c r="V182" s="5">
        <f t="shared" si="11"/>
        <v>2000000</v>
      </c>
      <c r="W182" s="6">
        <f t="shared" si="8"/>
        <v>5</v>
      </c>
      <c r="X182" s="6">
        <f t="shared" si="9"/>
        <v>5</v>
      </c>
      <c r="Y182" s="6">
        <f t="shared" si="10"/>
        <v>5</v>
      </c>
    </row>
    <row r="183" spans="1:25" x14ac:dyDescent="0.25">
      <c r="A183" s="2">
        <v>179</v>
      </c>
      <c r="B183" s="8" t="s">
        <v>255</v>
      </c>
      <c r="C183" s="8"/>
      <c r="D183" s="8"/>
      <c r="E183" s="2"/>
      <c r="F183" s="2"/>
      <c r="G183" s="44">
        <v>2000000</v>
      </c>
      <c r="H183" s="45"/>
      <c r="I183" s="3" t="s">
        <v>24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10"/>
      <c r="Q183" s="4"/>
      <c r="R183" s="4"/>
      <c r="S183" s="4"/>
      <c r="T183" s="4"/>
      <c r="U183" s="4"/>
      <c r="V183" s="5">
        <f t="shared" si="11"/>
        <v>800000</v>
      </c>
      <c r="W183" s="6">
        <f t="shared" si="8"/>
        <v>2</v>
      </c>
      <c r="X183" s="6">
        <f t="shared" si="9"/>
        <v>1</v>
      </c>
      <c r="Y183" s="6">
        <f t="shared" si="10"/>
        <v>2</v>
      </c>
    </row>
    <row r="184" spans="1:25" x14ac:dyDescent="0.25">
      <c r="A184" s="2">
        <v>180</v>
      </c>
      <c r="B184" s="8" t="s">
        <v>256</v>
      </c>
      <c r="C184" s="8"/>
      <c r="D184" s="8"/>
      <c r="E184" s="2"/>
      <c r="F184" s="2"/>
      <c r="G184" s="44">
        <v>400000</v>
      </c>
      <c r="H184" s="45"/>
      <c r="I184" s="3" t="s">
        <v>24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/>
      <c r="Q184" s="4"/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x14ac:dyDescent="0.25">
      <c r="A185" s="2">
        <v>181</v>
      </c>
      <c r="B185" s="8" t="s">
        <v>257</v>
      </c>
      <c r="C185" s="8"/>
      <c r="D185" s="8"/>
      <c r="E185" s="2" t="s">
        <v>29</v>
      </c>
      <c r="F185" s="2"/>
      <c r="G185" s="44">
        <v>1400000</v>
      </c>
      <c r="H185" s="45"/>
      <c r="I185" s="3" t="s">
        <v>24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/>
      <c r="Q185" s="4"/>
      <c r="R185" s="4"/>
      <c r="S185" s="4"/>
      <c r="T185" s="4"/>
      <c r="U185" s="4"/>
      <c r="V185" s="5">
        <f t="shared" si="11"/>
        <v>0</v>
      </c>
      <c r="W185" s="6">
        <f t="shared" si="8"/>
        <v>0</v>
      </c>
      <c r="X185" s="6">
        <f t="shared" si="9"/>
        <v>0</v>
      </c>
      <c r="Y185" s="6">
        <f t="shared" si="10"/>
        <v>0</v>
      </c>
    </row>
    <row r="186" spans="1:25" x14ac:dyDescent="0.25">
      <c r="A186" s="2">
        <v>182</v>
      </c>
      <c r="B186" s="8" t="s">
        <v>258</v>
      </c>
      <c r="C186" s="8"/>
      <c r="D186" s="8"/>
      <c r="E186" s="2"/>
      <c r="F186" s="2"/>
      <c r="G186" s="44">
        <v>600000</v>
      </c>
      <c r="H186" s="45"/>
      <c r="I186" s="3" t="s">
        <v>24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10"/>
      <c r="Q186" s="4"/>
      <c r="R186" s="4"/>
      <c r="S186" s="4"/>
      <c r="T186" s="4"/>
      <c r="U186" s="4"/>
      <c r="V186" s="5">
        <f t="shared" si="11"/>
        <v>0</v>
      </c>
      <c r="W186" s="6">
        <f t="shared" si="8"/>
        <v>0</v>
      </c>
      <c r="X186" s="6">
        <f t="shared" si="9"/>
        <v>0</v>
      </c>
      <c r="Y186" s="6">
        <f t="shared" si="10"/>
        <v>0</v>
      </c>
    </row>
    <row r="187" spans="1:25" x14ac:dyDescent="0.25">
      <c r="A187" s="2">
        <v>183</v>
      </c>
      <c r="B187" s="8" t="s">
        <v>259</v>
      </c>
      <c r="C187" s="8">
        <v>39302237</v>
      </c>
      <c r="D187" s="8">
        <v>3187333883</v>
      </c>
      <c r="E187" s="2" t="s">
        <v>560</v>
      </c>
      <c r="F187" s="2"/>
      <c r="G187" s="44">
        <v>2000000</v>
      </c>
      <c r="H187" s="45"/>
      <c r="I187" s="3" t="s">
        <v>24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11"/>
      <c r="Q187" s="4"/>
      <c r="R187" s="4"/>
      <c r="S187" s="4"/>
      <c r="T187" s="4"/>
      <c r="U187" s="4"/>
      <c r="V187" s="5">
        <f t="shared" si="11"/>
        <v>2400000</v>
      </c>
      <c r="W187" s="6">
        <f t="shared" si="8"/>
        <v>6</v>
      </c>
      <c r="X187" s="6">
        <f t="shared" si="9"/>
        <v>6</v>
      </c>
      <c r="Y187" s="6">
        <f t="shared" si="10"/>
        <v>6</v>
      </c>
    </row>
    <row r="188" spans="1:25" x14ac:dyDescent="0.25">
      <c r="A188" s="2">
        <v>184</v>
      </c>
      <c r="B188" s="8" t="s">
        <v>260</v>
      </c>
      <c r="C188" s="2"/>
      <c r="D188" s="8"/>
      <c r="E188" s="2"/>
      <c r="F188" s="2"/>
      <c r="G188" s="44">
        <v>70000</v>
      </c>
      <c r="H188" s="45"/>
      <c r="I188" s="3" t="s">
        <v>24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0</v>
      </c>
      <c r="P188" s="11"/>
      <c r="Q188" s="10"/>
      <c r="R188" s="4"/>
      <c r="S188" s="4"/>
      <c r="T188" s="4"/>
      <c r="U188" s="4"/>
      <c r="V188" s="5">
        <f t="shared" si="11"/>
        <v>0</v>
      </c>
      <c r="W188" s="6">
        <f t="shared" si="8"/>
        <v>0</v>
      </c>
      <c r="X188" s="6">
        <f t="shared" si="9"/>
        <v>0</v>
      </c>
      <c r="Y188" s="6">
        <f t="shared" si="10"/>
        <v>0</v>
      </c>
    </row>
    <row r="189" spans="1:25" x14ac:dyDescent="0.25">
      <c r="A189" s="2">
        <v>185</v>
      </c>
      <c r="B189" s="8" t="s">
        <v>261</v>
      </c>
      <c r="C189" s="8">
        <v>49741498</v>
      </c>
      <c r="D189" s="8"/>
      <c r="E189" s="2"/>
      <c r="F189" s="2"/>
      <c r="G189" s="44">
        <v>400000</v>
      </c>
      <c r="H189" s="45"/>
      <c r="I189" s="3" t="s">
        <v>24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11"/>
      <c r="Q189" s="10"/>
      <c r="R189" s="4"/>
      <c r="S189" s="4"/>
      <c r="T189" s="4"/>
      <c r="U189" s="4"/>
      <c r="V189" s="5">
        <f t="shared" si="11"/>
        <v>0</v>
      </c>
      <c r="W189" s="6">
        <f t="shared" si="8"/>
        <v>0</v>
      </c>
      <c r="X189" s="6">
        <f t="shared" si="9"/>
        <v>0</v>
      </c>
      <c r="Y189" s="6">
        <f t="shared" si="10"/>
        <v>0</v>
      </c>
    </row>
    <row r="190" spans="1:25" x14ac:dyDescent="0.25">
      <c r="A190" s="2">
        <v>186</v>
      </c>
      <c r="B190" s="8" t="s">
        <v>262</v>
      </c>
      <c r="C190" s="8">
        <v>92257868</v>
      </c>
      <c r="D190" s="8">
        <v>3014216556</v>
      </c>
      <c r="E190" s="2" t="s">
        <v>263</v>
      </c>
      <c r="F190" s="2"/>
      <c r="G190" s="44">
        <v>1600000</v>
      </c>
      <c r="H190" s="45"/>
      <c r="I190" s="3" t="s">
        <v>24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11"/>
      <c r="Q190" s="10"/>
      <c r="R190" s="4"/>
      <c r="S190" s="4"/>
      <c r="T190" s="4"/>
      <c r="U190" s="4"/>
      <c r="V190" s="5">
        <f t="shared" si="11"/>
        <v>400000</v>
      </c>
      <c r="W190" s="6">
        <f t="shared" si="8"/>
        <v>1</v>
      </c>
      <c r="X190" s="6">
        <f t="shared" si="9"/>
        <v>1</v>
      </c>
      <c r="Y190" s="6">
        <f t="shared" si="10"/>
        <v>1</v>
      </c>
    </row>
    <row r="191" spans="1:25" x14ac:dyDescent="0.25">
      <c r="A191" s="2">
        <v>187</v>
      </c>
      <c r="B191" s="8" t="s">
        <v>264</v>
      </c>
      <c r="C191" s="8">
        <v>12610911</v>
      </c>
      <c r="D191" s="8">
        <v>3102029563</v>
      </c>
      <c r="E191" s="2" t="s">
        <v>147</v>
      </c>
      <c r="F191" s="2"/>
      <c r="G191" s="44">
        <v>800000</v>
      </c>
      <c r="H191" s="45"/>
      <c r="I191" s="3" t="s">
        <v>24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11"/>
      <c r="Q191" s="10"/>
      <c r="R191" s="4"/>
      <c r="S191" s="4"/>
      <c r="T191" s="4"/>
      <c r="U191" s="4"/>
      <c r="V191" s="5">
        <f t="shared" si="11"/>
        <v>500000</v>
      </c>
      <c r="W191" s="6">
        <f t="shared" si="8"/>
        <v>1.25</v>
      </c>
      <c r="X191" s="6">
        <f t="shared" si="9"/>
        <v>1</v>
      </c>
      <c r="Y191" s="6">
        <f t="shared" si="10"/>
        <v>2</v>
      </c>
    </row>
    <row r="192" spans="1:25" x14ac:dyDescent="0.25">
      <c r="A192" s="2">
        <v>188</v>
      </c>
      <c r="B192" s="8" t="s">
        <v>265</v>
      </c>
      <c r="C192" s="8"/>
      <c r="D192" s="8"/>
      <c r="E192" s="2"/>
      <c r="F192" s="2"/>
      <c r="G192" s="44">
        <v>400000</v>
      </c>
      <c r="H192" s="45"/>
      <c r="I192" s="3" t="s">
        <v>24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11"/>
      <c r="Q192" s="10"/>
      <c r="R192" s="4"/>
      <c r="S192" s="4"/>
      <c r="T192" s="4"/>
      <c r="U192" s="4"/>
      <c r="V192" s="5">
        <f t="shared" si="11"/>
        <v>0</v>
      </c>
      <c r="W192" s="6">
        <f t="shared" si="8"/>
        <v>0</v>
      </c>
      <c r="X192" s="6">
        <f t="shared" si="9"/>
        <v>0</v>
      </c>
      <c r="Y192" s="6">
        <f t="shared" si="10"/>
        <v>0</v>
      </c>
    </row>
    <row r="193" spans="1:25" x14ac:dyDescent="0.25">
      <c r="A193" s="2">
        <v>189</v>
      </c>
      <c r="B193" s="8" t="s">
        <v>266</v>
      </c>
      <c r="C193" s="8">
        <v>1093795671</v>
      </c>
      <c r="D193" s="8">
        <v>3202805549</v>
      </c>
      <c r="E193" s="2" t="s">
        <v>56</v>
      </c>
      <c r="F193" s="2"/>
      <c r="G193" s="44">
        <v>1200000</v>
      </c>
      <c r="H193" s="45"/>
      <c r="I193" s="3" t="s">
        <v>24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11"/>
      <c r="Q193" s="10"/>
      <c r="R193" s="4"/>
      <c r="S193" s="4"/>
      <c r="T193" s="4"/>
      <c r="U193" s="4"/>
      <c r="V193" s="5">
        <f t="shared" si="11"/>
        <v>2000000</v>
      </c>
      <c r="W193" s="6">
        <f t="shared" si="8"/>
        <v>5</v>
      </c>
      <c r="X193" s="6">
        <f t="shared" si="9"/>
        <v>4</v>
      </c>
      <c r="Y193" s="6">
        <f t="shared" si="10"/>
        <v>5</v>
      </c>
    </row>
    <row r="194" spans="1:25" x14ac:dyDescent="0.25">
      <c r="A194" s="2">
        <v>190</v>
      </c>
      <c r="B194" s="8" t="s">
        <v>267</v>
      </c>
      <c r="C194" s="8">
        <v>11794402</v>
      </c>
      <c r="D194" s="8">
        <v>3107027375</v>
      </c>
      <c r="E194" s="2" t="s">
        <v>106</v>
      </c>
      <c r="F194" s="2"/>
      <c r="G194" s="44">
        <v>3200000</v>
      </c>
      <c r="H194" s="45"/>
      <c r="I194" s="3" t="s">
        <v>24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11"/>
      <c r="Q194" s="11"/>
      <c r="R194" s="4"/>
      <c r="S194" s="4"/>
      <c r="T194" s="4"/>
      <c r="U194" s="4"/>
      <c r="V194" s="5">
        <f t="shared" si="11"/>
        <v>4800000</v>
      </c>
      <c r="W194" s="6">
        <f t="shared" si="8"/>
        <v>12</v>
      </c>
      <c r="X194" s="6">
        <f t="shared" si="9"/>
        <v>6</v>
      </c>
      <c r="Y194" s="6">
        <f t="shared" si="10"/>
        <v>12</v>
      </c>
    </row>
    <row r="195" spans="1:25" x14ac:dyDescent="0.25">
      <c r="A195" s="2">
        <v>191</v>
      </c>
      <c r="B195" s="8" t="s">
        <v>268</v>
      </c>
      <c r="C195" s="8"/>
      <c r="D195" s="8"/>
      <c r="E195" s="2"/>
      <c r="F195" s="2"/>
      <c r="G195" s="44">
        <v>400000</v>
      </c>
      <c r="H195" s="45"/>
      <c r="I195" s="3" t="s">
        <v>24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11"/>
      <c r="Q195" s="11"/>
      <c r="R195" s="4"/>
      <c r="S195" s="4"/>
      <c r="T195" s="4"/>
      <c r="U195" s="4"/>
      <c r="V195" s="5">
        <f t="shared" si="11"/>
        <v>1600000</v>
      </c>
      <c r="W195" s="6">
        <f t="shared" si="8"/>
        <v>4</v>
      </c>
      <c r="X195" s="6">
        <f t="shared" si="9"/>
        <v>4</v>
      </c>
      <c r="Y195" s="6">
        <f t="shared" si="10"/>
        <v>4</v>
      </c>
    </row>
    <row r="196" spans="1:25" x14ac:dyDescent="0.25">
      <c r="A196" s="2">
        <v>192</v>
      </c>
      <c r="B196" s="8" t="s">
        <v>269</v>
      </c>
      <c r="C196" s="8">
        <v>22528383</v>
      </c>
      <c r="D196" s="8"/>
      <c r="E196" s="2" t="s">
        <v>270</v>
      </c>
      <c r="F196" s="2"/>
      <c r="G196" s="44">
        <v>1600000</v>
      </c>
      <c r="H196" s="45"/>
      <c r="I196" s="3" t="s">
        <v>24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11"/>
      <c r="Q196" s="11"/>
      <c r="R196" s="10"/>
      <c r="S196" s="4"/>
      <c r="T196" s="4"/>
      <c r="U196" s="4"/>
      <c r="V196" s="5">
        <f t="shared" si="11"/>
        <v>2600000</v>
      </c>
      <c r="W196" s="6">
        <f t="shared" si="8"/>
        <v>6.5</v>
      </c>
      <c r="X196" s="6">
        <f t="shared" si="9"/>
        <v>5</v>
      </c>
      <c r="Y196" s="6">
        <f t="shared" si="10"/>
        <v>7</v>
      </c>
    </row>
    <row r="197" spans="1:25" x14ac:dyDescent="0.25">
      <c r="A197" s="2">
        <v>193</v>
      </c>
      <c r="B197" s="8" t="s">
        <v>271</v>
      </c>
      <c r="C197" s="8"/>
      <c r="D197" s="8"/>
      <c r="E197" s="2" t="s">
        <v>29</v>
      </c>
      <c r="F197" s="2"/>
      <c r="G197" s="44">
        <v>1600000</v>
      </c>
      <c r="H197" s="45"/>
      <c r="I197" s="3" t="s">
        <v>24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11"/>
      <c r="Q197" s="11"/>
      <c r="R197" s="10"/>
      <c r="S197" s="4"/>
      <c r="T197" s="4"/>
      <c r="U197" s="4"/>
      <c r="V197" s="5">
        <f t="shared" si="11"/>
        <v>2400000</v>
      </c>
      <c r="W197" s="6">
        <f t="shared" ref="W197:W260" si="12">V197/400000</f>
        <v>6</v>
      </c>
      <c r="X197" s="6">
        <f t="shared" ref="X197:X260" si="13">COUNTIF(J197:U197,"&gt;0")</f>
        <v>5</v>
      </c>
      <c r="Y197" s="6">
        <f t="shared" ref="Y197:Y260" si="14">ROUNDUP(W197,0)</f>
        <v>6</v>
      </c>
    </row>
    <row r="198" spans="1:25" x14ac:dyDescent="0.25">
      <c r="A198" s="2">
        <v>194</v>
      </c>
      <c r="B198" s="8" t="s">
        <v>272</v>
      </c>
      <c r="C198" s="8">
        <v>37315263</v>
      </c>
      <c r="D198" s="8">
        <v>3187750056</v>
      </c>
      <c r="E198" s="2" t="s">
        <v>66</v>
      </c>
      <c r="F198" s="2"/>
      <c r="G198" s="44">
        <v>1600000</v>
      </c>
      <c r="H198" s="45"/>
      <c r="I198" s="3" t="s">
        <v>24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11"/>
      <c r="Q198" s="11"/>
      <c r="R198" s="4"/>
      <c r="S198" s="4"/>
      <c r="T198" s="4"/>
      <c r="U198" s="4"/>
      <c r="V198" s="5">
        <f t="shared" ref="V198:V261" si="15">SUM(J198:U198)</f>
        <v>2000000</v>
      </c>
      <c r="W198" s="6">
        <f t="shared" si="12"/>
        <v>5</v>
      </c>
      <c r="X198" s="6">
        <f t="shared" si="13"/>
        <v>4</v>
      </c>
      <c r="Y198" s="6">
        <f t="shared" si="14"/>
        <v>5</v>
      </c>
    </row>
    <row r="199" spans="1:25" x14ac:dyDescent="0.25">
      <c r="A199" s="2">
        <v>195</v>
      </c>
      <c r="B199" s="8" t="s">
        <v>273</v>
      </c>
      <c r="C199" s="8">
        <v>1067960477</v>
      </c>
      <c r="D199" s="8">
        <v>3196090283</v>
      </c>
      <c r="E199" s="2" t="s">
        <v>69</v>
      </c>
      <c r="F199" s="2"/>
      <c r="G199" s="44">
        <v>800000</v>
      </c>
      <c r="H199" s="45"/>
      <c r="I199" s="3" t="s">
        <v>24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1"/>
      <c r="Q199" s="11"/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x14ac:dyDescent="0.25">
      <c r="A200" s="2">
        <v>196</v>
      </c>
      <c r="B200" s="8" t="s">
        <v>274</v>
      </c>
      <c r="C200" s="8">
        <v>1091669219</v>
      </c>
      <c r="D200" s="8">
        <v>3182787563</v>
      </c>
      <c r="E200" s="2" t="s">
        <v>66</v>
      </c>
      <c r="F200" s="2"/>
      <c r="G200" s="44">
        <v>1200000</v>
      </c>
      <c r="H200" s="45"/>
      <c r="I200" s="3" t="s">
        <v>24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11"/>
      <c r="Q200" s="11"/>
      <c r="R200" s="4"/>
      <c r="S200" s="4"/>
      <c r="T200" s="4"/>
      <c r="U200" s="4"/>
      <c r="V200" s="5">
        <f t="shared" si="15"/>
        <v>0</v>
      </c>
      <c r="W200" s="6">
        <f t="shared" si="12"/>
        <v>0</v>
      </c>
      <c r="X200" s="6">
        <f t="shared" si="13"/>
        <v>0</v>
      </c>
      <c r="Y200" s="6">
        <f t="shared" si="14"/>
        <v>0</v>
      </c>
    </row>
    <row r="201" spans="1:25" x14ac:dyDescent="0.25">
      <c r="A201" s="2">
        <v>197</v>
      </c>
      <c r="B201" s="8" t="s">
        <v>275</v>
      </c>
      <c r="C201" s="8"/>
      <c r="D201" s="8"/>
      <c r="E201" s="2" t="s">
        <v>378</v>
      </c>
      <c r="F201" s="2"/>
      <c r="G201" s="44">
        <v>100000</v>
      </c>
      <c r="H201" s="45"/>
      <c r="I201" s="3" t="s">
        <v>24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11"/>
      <c r="Q201" s="11"/>
      <c r="R201" s="4"/>
      <c r="S201" s="10"/>
      <c r="T201" s="4"/>
      <c r="U201" s="4"/>
      <c r="V201" s="5">
        <f t="shared" si="15"/>
        <v>1700000</v>
      </c>
      <c r="W201" s="6">
        <f t="shared" si="12"/>
        <v>4.25</v>
      </c>
      <c r="X201" s="6">
        <f t="shared" si="13"/>
        <v>4</v>
      </c>
      <c r="Y201" s="6">
        <f t="shared" si="14"/>
        <v>5</v>
      </c>
    </row>
    <row r="202" spans="1:25" x14ac:dyDescent="0.25">
      <c r="A202" s="2">
        <v>198</v>
      </c>
      <c r="B202" s="8" t="s">
        <v>276</v>
      </c>
      <c r="C202" s="8"/>
      <c r="D202" s="8"/>
      <c r="E202" s="2"/>
      <c r="F202" s="2"/>
      <c r="G202" s="44">
        <v>400000</v>
      </c>
      <c r="H202" s="45"/>
      <c r="I202" s="3" t="s">
        <v>24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11"/>
      <c r="Q202" s="11"/>
      <c r="R202" s="4"/>
      <c r="S202" s="10"/>
      <c r="T202" s="4"/>
      <c r="U202" s="4"/>
      <c r="V202" s="5">
        <f t="shared" si="15"/>
        <v>0</v>
      </c>
      <c r="W202" s="6">
        <f t="shared" si="12"/>
        <v>0</v>
      </c>
      <c r="X202" s="6">
        <f t="shared" si="13"/>
        <v>0</v>
      </c>
      <c r="Y202" s="6">
        <f t="shared" si="14"/>
        <v>0</v>
      </c>
    </row>
    <row r="203" spans="1:25" x14ac:dyDescent="0.25">
      <c r="A203" s="2">
        <v>199</v>
      </c>
      <c r="B203" s="8" t="s">
        <v>277</v>
      </c>
      <c r="C203" s="8">
        <v>52809513</v>
      </c>
      <c r="D203" s="8">
        <v>3053034243</v>
      </c>
      <c r="E203" s="2" t="s">
        <v>278</v>
      </c>
      <c r="F203" s="2"/>
      <c r="G203" s="44">
        <v>1200000</v>
      </c>
      <c r="H203" s="45"/>
      <c r="I203" s="3" t="s">
        <v>24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11"/>
      <c r="Q203" s="11"/>
      <c r="R203" s="4"/>
      <c r="S203" s="10"/>
      <c r="T203" s="4"/>
      <c r="U203" s="4"/>
      <c r="V203" s="5">
        <f t="shared" si="15"/>
        <v>1600000</v>
      </c>
      <c r="W203" s="6">
        <f t="shared" si="12"/>
        <v>4</v>
      </c>
      <c r="X203" s="6">
        <f t="shared" si="13"/>
        <v>4</v>
      </c>
      <c r="Y203" s="6">
        <f t="shared" si="14"/>
        <v>4</v>
      </c>
    </row>
    <row r="204" spans="1:25" x14ac:dyDescent="0.25">
      <c r="A204" s="2">
        <v>200</v>
      </c>
      <c r="B204" s="8" t="s">
        <v>279</v>
      </c>
      <c r="C204" s="8">
        <v>1091681333</v>
      </c>
      <c r="D204" s="8">
        <v>3158769403</v>
      </c>
      <c r="E204" s="2"/>
      <c r="F204" s="2"/>
      <c r="G204" s="44">
        <v>800000</v>
      </c>
      <c r="H204" s="45"/>
      <c r="I204" s="3" t="s">
        <v>24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1"/>
      <c r="Q204" s="11"/>
      <c r="R204" s="4"/>
      <c r="S204" s="4"/>
      <c r="T204" s="4"/>
      <c r="U204" s="4"/>
      <c r="V204" s="5">
        <f t="shared" si="15"/>
        <v>1200000</v>
      </c>
      <c r="W204" s="6">
        <f t="shared" si="12"/>
        <v>3</v>
      </c>
      <c r="X204" s="6">
        <f t="shared" si="13"/>
        <v>1</v>
      </c>
      <c r="Y204" s="6">
        <f t="shared" si="14"/>
        <v>3</v>
      </c>
    </row>
    <row r="205" spans="1:25" x14ac:dyDescent="0.25">
      <c r="A205" s="2">
        <v>201</v>
      </c>
      <c r="B205" s="8" t="s">
        <v>280</v>
      </c>
      <c r="C205" s="8"/>
      <c r="D205" s="8"/>
      <c r="E205" s="2"/>
      <c r="F205" s="2"/>
      <c r="G205" s="44">
        <v>1130000</v>
      </c>
      <c r="H205" s="45"/>
      <c r="I205" s="3" t="s">
        <v>24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1"/>
      <c r="Q205" s="11"/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x14ac:dyDescent="0.25">
      <c r="A206" s="2">
        <v>202</v>
      </c>
      <c r="B206" s="8" t="s">
        <v>281</v>
      </c>
      <c r="C206" s="8"/>
      <c r="D206" s="8"/>
      <c r="E206" s="2" t="s">
        <v>270</v>
      </c>
      <c r="F206" s="2"/>
      <c r="G206" s="44">
        <v>460000</v>
      </c>
      <c r="H206" s="45"/>
      <c r="I206" s="3" t="s">
        <v>24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11"/>
      <c r="Q206" s="11"/>
      <c r="R206" s="4"/>
      <c r="S206" s="4"/>
      <c r="T206" s="4"/>
      <c r="U206" s="4"/>
      <c r="V206" s="5">
        <f t="shared" si="15"/>
        <v>0</v>
      </c>
      <c r="W206" s="6">
        <f t="shared" si="12"/>
        <v>0</v>
      </c>
      <c r="X206" s="6">
        <f t="shared" si="13"/>
        <v>0</v>
      </c>
      <c r="Y206" s="6">
        <f t="shared" si="14"/>
        <v>0</v>
      </c>
    </row>
    <row r="207" spans="1:25" x14ac:dyDescent="0.25">
      <c r="A207" s="2">
        <v>203</v>
      </c>
      <c r="B207" s="8" t="s">
        <v>282</v>
      </c>
      <c r="C207" s="8" t="s">
        <v>283</v>
      </c>
      <c r="D207" s="8">
        <v>3170295457</v>
      </c>
      <c r="E207" s="2" t="s">
        <v>41</v>
      </c>
      <c r="F207" s="2"/>
      <c r="G207" s="44">
        <v>800000</v>
      </c>
      <c r="H207" s="45"/>
      <c r="I207" s="3" t="s">
        <v>24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11"/>
      <c r="Q207" s="11"/>
      <c r="R207" s="4"/>
      <c r="S207" s="4"/>
      <c r="T207" s="4"/>
      <c r="U207" s="4"/>
      <c r="V207" s="5">
        <f t="shared" si="15"/>
        <v>4400000</v>
      </c>
      <c r="W207" s="6">
        <f t="shared" si="12"/>
        <v>11</v>
      </c>
      <c r="X207" s="6">
        <f t="shared" si="13"/>
        <v>4</v>
      </c>
      <c r="Y207" s="6">
        <f t="shared" si="14"/>
        <v>11</v>
      </c>
    </row>
    <row r="208" spans="1:25" x14ac:dyDescent="0.25">
      <c r="A208" s="2">
        <v>204</v>
      </c>
      <c r="B208" s="8" t="s">
        <v>284</v>
      </c>
      <c r="C208" s="8"/>
      <c r="D208" s="8"/>
      <c r="E208" s="2"/>
      <c r="F208" s="2"/>
      <c r="G208" s="44">
        <v>400000</v>
      </c>
      <c r="H208" s="45"/>
      <c r="I208" s="3" t="s">
        <v>24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11"/>
      <c r="Q208" s="11"/>
      <c r="R208" s="4"/>
      <c r="S208" s="4"/>
      <c r="T208" s="4"/>
      <c r="U208" s="4"/>
      <c r="V208" s="5">
        <f t="shared" si="15"/>
        <v>0</v>
      </c>
      <c r="W208" s="6">
        <f t="shared" si="12"/>
        <v>0</v>
      </c>
      <c r="X208" s="6">
        <f t="shared" si="13"/>
        <v>0</v>
      </c>
      <c r="Y208" s="6">
        <f t="shared" si="14"/>
        <v>0</v>
      </c>
    </row>
    <row r="209" spans="1:25" x14ac:dyDescent="0.25">
      <c r="A209" s="2">
        <v>205</v>
      </c>
      <c r="B209" s="8" t="s">
        <v>285</v>
      </c>
      <c r="C209" s="8">
        <v>91175909</v>
      </c>
      <c r="D209" s="8">
        <v>3188566515</v>
      </c>
      <c r="E209" s="2" t="s">
        <v>147</v>
      </c>
      <c r="F209" s="2"/>
      <c r="G209" s="44">
        <v>1600000</v>
      </c>
      <c r="H209" s="45"/>
      <c r="I209" s="3" t="s">
        <v>24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11"/>
      <c r="Q209" s="11"/>
      <c r="R209" s="4"/>
      <c r="S209" s="4"/>
      <c r="T209" s="4"/>
      <c r="U209" s="4"/>
      <c r="V209" s="5">
        <f t="shared" si="15"/>
        <v>800000</v>
      </c>
      <c r="W209" s="6">
        <f t="shared" si="12"/>
        <v>2</v>
      </c>
      <c r="X209" s="6">
        <f t="shared" si="13"/>
        <v>1</v>
      </c>
      <c r="Y209" s="6">
        <f t="shared" si="14"/>
        <v>2</v>
      </c>
    </row>
    <row r="210" spans="1:25" x14ac:dyDescent="0.25">
      <c r="A210" s="2">
        <v>206</v>
      </c>
      <c r="B210" s="8" t="s">
        <v>286</v>
      </c>
      <c r="C210" s="8">
        <v>15517784</v>
      </c>
      <c r="D210" s="8">
        <v>3206175921</v>
      </c>
      <c r="E210" s="2" t="s">
        <v>287</v>
      </c>
      <c r="F210" s="2"/>
      <c r="G210" s="44">
        <v>800000</v>
      </c>
      <c r="H210" s="45" t="s">
        <v>572</v>
      </c>
      <c r="I210" s="3" t="s">
        <v>24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0</v>
      </c>
      <c r="P210" s="11"/>
      <c r="Q210" s="11"/>
      <c r="R210" s="4"/>
      <c r="S210" s="4"/>
      <c r="T210" s="4"/>
      <c r="U210" s="4"/>
      <c r="V210" s="5">
        <f t="shared" si="15"/>
        <v>800000</v>
      </c>
      <c r="W210" s="6">
        <f t="shared" si="12"/>
        <v>2</v>
      </c>
      <c r="X210" s="6">
        <f t="shared" si="13"/>
        <v>2</v>
      </c>
      <c r="Y210" s="6">
        <f t="shared" si="14"/>
        <v>2</v>
      </c>
    </row>
    <row r="211" spans="1:25" x14ac:dyDescent="0.25">
      <c r="A211" s="2">
        <v>207</v>
      </c>
      <c r="B211" s="8" t="s">
        <v>288</v>
      </c>
      <c r="C211" s="8">
        <v>1114884317</v>
      </c>
      <c r="D211" s="8">
        <v>3128481002</v>
      </c>
      <c r="E211" s="2" t="s">
        <v>289</v>
      </c>
      <c r="F211" s="2"/>
      <c r="G211" s="44">
        <v>800000</v>
      </c>
      <c r="H211" s="45"/>
      <c r="I211" s="3" t="s">
        <v>24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11"/>
      <c r="Q211" s="11"/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x14ac:dyDescent="0.25">
      <c r="A212" s="2">
        <v>208</v>
      </c>
      <c r="B212" s="8" t="s">
        <v>290</v>
      </c>
      <c r="C212" s="8">
        <v>49742240</v>
      </c>
      <c r="D212" s="8">
        <v>3207260191</v>
      </c>
      <c r="E212" s="2" t="s">
        <v>289</v>
      </c>
      <c r="F212" s="2"/>
      <c r="G212" s="44">
        <v>1000000</v>
      </c>
      <c r="H212" s="45"/>
      <c r="I212" s="3" t="s">
        <v>24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11"/>
      <c r="Q212" s="11"/>
      <c r="R212" s="4"/>
      <c r="S212" s="4"/>
      <c r="T212" s="4"/>
      <c r="U212" s="4"/>
      <c r="V212" s="5">
        <f t="shared" si="15"/>
        <v>600000</v>
      </c>
      <c r="W212" s="6">
        <f t="shared" si="12"/>
        <v>1.5</v>
      </c>
      <c r="X212" s="6">
        <f t="shared" si="13"/>
        <v>1</v>
      </c>
      <c r="Y212" s="6">
        <f t="shared" si="14"/>
        <v>2</v>
      </c>
    </row>
    <row r="213" spans="1:25" x14ac:dyDescent="0.25">
      <c r="A213" s="2">
        <v>209</v>
      </c>
      <c r="B213" s="8" t="s">
        <v>291</v>
      </c>
      <c r="C213" s="8">
        <v>1143355775</v>
      </c>
      <c r="D213" s="8">
        <v>3042425180</v>
      </c>
      <c r="E213" s="2" t="s">
        <v>554</v>
      </c>
      <c r="F213" s="2"/>
      <c r="G213" s="44">
        <v>800000</v>
      </c>
      <c r="H213" s="45"/>
      <c r="I213" s="3" t="s">
        <v>24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11"/>
      <c r="Q213" s="11"/>
      <c r="R213" s="4"/>
      <c r="S213" s="4"/>
      <c r="T213" s="4"/>
      <c r="U213" s="4"/>
      <c r="V213" s="5">
        <f t="shared" si="15"/>
        <v>800000</v>
      </c>
      <c r="W213" s="6">
        <f t="shared" si="12"/>
        <v>2</v>
      </c>
      <c r="X213" s="6">
        <f t="shared" si="13"/>
        <v>2</v>
      </c>
      <c r="Y213" s="6">
        <f t="shared" si="14"/>
        <v>2</v>
      </c>
    </row>
    <row r="214" spans="1:25" x14ac:dyDescent="0.25">
      <c r="A214" s="2">
        <v>210</v>
      </c>
      <c r="B214" s="8" t="s">
        <v>292</v>
      </c>
      <c r="C214" s="8">
        <v>1015997321</v>
      </c>
      <c r="D214" s="8">
        <v>3177392885</v>
      </c>
      <c r="E214" s="2" t="s">
        <v>29</v>
      </c>
      <c r="F214" s="2"/>
      <c r="G214" s="44">
        <v>1200000</v>
      </c>
      <c r="H214" s="45"/>
      <c r="I214" s="3" t="s">
        <v>24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11"/>
      <c r="Q214" s="11"/>
      <c r="R214" s="4"/>
      <c r="S214" s="4"/>
      <c r="T214" s="4"/>
      <c r="U214" s="4"/>
      <c r="V214" s="5">
        <f t="shared" si="15"/>
        <v>0</v>
      </c>
      <c r="W214" s="6">
        <f t="shared" si="12"/>
        <v>0</v>
      </c>
      <c r="X214" s="6">
        <f t="shared" si="13"/>
        <v>0</v>
      </c>
      <c r="Y214" s="6">
        <f t="shared" si="14"/>
        <v>0</v>
      </c>
    </row>
    <row r="215" spans="1:25" x14ac:dyDescent="0.25">
      <c r="A215" s="2">
        <v>211</v>
      </c>
      <c r="B215" s="8" t="s">
        <v>293</v>
      </c>
      <c r="C215" s="8" t="s">
        <v>294</v>
      </c>
      <c r="D215" s="8">
        <v>3115871915</v>
      </c>
      <c r="E215" s="2" t="s">
        <v>56</v>
      </c>
      <c r="F215" s="2"/>
      <c r="G215" s="44">
        <v>800000</v>
      </c>
      <c r="H215" s="45"/>
      <c r="I215" s="3" t="s">
        <v>24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11"/>
      <c r="Q215" s="11"/>
      <c r="R215" s="4"/>
      <c r="S215" s="4"/>
      <c r="T215" s="4"/>
      <c r="U215" s="4"/>
      <c r="V215" s="5">
        <f t="shared" si="15"/>
        <v>2000000</v>
      </c>
      <c r="W215" s="6">
        <f t="shared" si="12"/>
        <v>5</v>
      </c>
      <c r="X215" s="6">
        <f t="shared" si="13"/>
        <v>4</v>
      </c>
      <c r="Y215" s="6">
        <f t="shared" si="14"/>
        <v>5</v>
      </c>
    </row>
    <row r="216" spans="1:25" x14ac:dyDescent="0.25">
      <c r="A216" s="2">
        <v>212</v>
      </c>
      <c r="B216" s="8" t="s">
        <v>295</v>
      </c>
      <c r="C216" s="8">
        <v>1045737100</v>
      </c>
      <c r="D216" s="8">
        <v>3015184734</v>
      </c>
      <c r="E216" s="2" t="s">
        <v>554</v>
      </c>
      <c r="F216" s="2"/>
      <c r="G216" s="44">
        <v>800000</v>
      </c>
      <c r="H216" s="45"/>
      <c r="I216" s="3" t="s">
        <v>24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11"/>
      <c r="Q216" s="11"/>
      <c r="R216" s="4"/>
      <c r="S216" s="4"/>
      <c r="T216" s="4"/>
      <c r="U216" s="4"/>
      <c r="V216" s="5">
        <f t="shared" si="15"/>
        <v>1200000</v>
      </c>
      <c r="W216" s="6">
        <f t="shared" si="12"/>
        <v>3</v>
      </c>
      <c r="X216" s="6">
        <f t="shared" si="13"/>
        <v>3</v>
      </c>
      <c r="Y216" s="6">
        <f t="shared" si="14"/>
        <v>3</v>
      </c>
    </row>
    <row r="217" spans="1:25" x14ac:dyDescent="0.25">
      <c r="A217" s="2">
        <v>213</v>
      </c>
      <c r="B217" s="8" t="s">
        <v>296</v>
      </c>
      <c r="C217" s="8">
        <v>26258801</v>
      </c>
      <c r="D217" s="8">
        <v>3206877280</v>
      </c>
      <c r="E217" s="2" t="s">
        <v>106</v>
      </c>
      <c r="F217" s="2"/>
      <c r="G217" s="44">
        <v>1200000</v>
      </c>
      <c r="H217" s="45"/>
      <c r="I217" s="3" t="s">
        <v>24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11"/>
      <c r="Q217" s="11"/>
      <c r="R217" s="4"/>
      <c r="S217" s="4"/>
      <c r="T217" s="4"/>
      <c r="U217" s="4"/>
      <c r="V217" s="5">
        <f t="shared" si="15"/>
        <v>800000</v>
      </c>
      <c r="W217" s="6">
        <f t="shared" si="12"/>
        <v>2</v>
      </c>
      <c r="X217" s="6">
        <f t="shared" si="13"/>
        <v>2</v>
      </c>
      <c r="Y217" s="6">
        <f t="shared" si="14"/>
        <v>2</v>
      </c>
    </row>
    <row r="218" spans="1:25" x14ac:dyDescent="0.25">
      <c r="A218" s="2">
        <v>214</v>
      </c>
      <c r="B218" s="8" t="s">
        <v>297</v>
      </c>
      <c r="C218" s="8">
        <v>88309418</v>
      </c>
      <c r="D218" s="8">
        <v>3203034511</v>
      </c>
      <c r="E218" s="2" t="s">
        <v>56</v>
      </c>
      <c r="F218" s="2"/>
      <c r="G218" s="44">
        <v>800000</v>
      </c>
      <c r="H218" s="45"/>
      <c r="I218" s="3" t="s">
        <v>24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11"/>
      <c r="Q218" s="11"/>
      <c r="R218" s="4"/>
      <c r="S218" s="4"/>
      <c r="T218" s="4"/>
      <c r="U218" s="4"/>
      <c r="V218" s="5">
        <f t="shared" si="15"/>
        <v>2400000</v>
      </c>
      <c r="W218" s="6">
        <f t="shared" si="12"/>
        <v>6</v>
      </c>
      <c r="X218" s="6">
        <f t="shared" si="13"/>
        <v>6</v>
      </c>
      <c r="Y218" s="6">
        <f t="shared" si="14"/>
        <v>6</v>
      </c>
    </row>
    <row r="219" spans="1:25" x14ac:dyDescent="0.25">
      <c r="A219" s="2">
        <v>215</v>
      </c>
      <c r="B219" s="8" t="s">
        <v>298</v>
      </c>
      <c r="C219" s="8">
        <v>9093848</v>
      </c>
      <c r="D219" s="8">
        <v>3184909196</v>
      </c>
      <c r="E219" s="2" t="s">
        <v>299</v>
      </c>
      <c r="F219" s="2"/>
      <c r="G219" s="44">
        <v>500000</v>
      </c>
      <c r="H219" s="45"/>
      <c r="I219" s="3" t="s">
        <v>24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11"/>
      <c r="Q219" s="11"/>
      <c r="R219" s="4"/>
      <c r="S219" s="4"/>
      <c r="T219" s="4"/>
      <c r="U219" s="4"/>
      <c r="V219" s="5">
        <f t="shared" si="15"/>
        <v>2000000</v>
      </c>
      <c r="W219" s="6">
        <f t="shared" si="12"/>
        <v>5</v>
      </c>
      <c r="X219" s="6">
        <f t="shared" si="13"/>
        <v>5</v>
      </c>
      <c r="Y219" s="6">
        <f t="shared" si="14"/>
        <v>5</v>
      </c>
    </row>
    <row r="220" spans="1:25" x14ac:dyDescent="0.25">
      <c r="A220" s="2">
        <v>216</v>
      </c>
      <c r="B220" s="8" t="s">
        <v>300</v>
      </c>
      <c r="C220" s="8">
        <v>1053798897</v>
      </c>
      <c r="D220" s="8">
        <v>3142872429</v>
      </c>
      <c r="E220" s="2" t="s">
        <v>301</v>
      </c>
      <c r="F220" s="2"/>
      <c r="G220" s="44">
        <v>800000</v>
      </c>
      <c r="H220" s="45"/>
      <c r="I220" s="3" t="s">
        <v>24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11"/>
      <c r="Q220" s="11"/>
      <c r="R220" s="4"/>
      <c r="S220" s="4"/>
      <c r="T220" s="4"/>
      <c r="U220" s="4"/>
      <c r="V220" s="5">
        <f t="shared" si="15"/>
        <v>800000</v>
      </c>
      <c r="W220" s="6">
        <f t="shared" si="12"/>
        <v>2</v>
      </c>
      <c r="X220" s="6">
        <f t="shared" si="13"/>
        <v>3</v>
      </c>
      <c r="Y220" s="6">
        <f t="shared" si="14"/>
        <v>2</v>
      </c>
    </row>
    <row r="221" spans="1:25" x14ac:dyDescent="0.25">
      <c r="A221" s="2">
        <v>217</v>
      </c>
      <c r="B221" s="8" t="s">
        <v>302</v>
      </c>
      <c r="C221" s="8">
        <v>32556538</v>
      </c>
      <c r="D221" s="8">
        <v>3108936691</v>
      </c>
      <c r="E221" s="2" t="s">
        <v>561</v>
      </c>
      <c r="F221" s="2"/>
      <c r="G221" s="44">
        <v>40000</v>
      </c>
      <c r="H221" s="45"/>
      <c r="I221" s="3" t="s">
        <v>24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11"/>
      <c r="Q221" s="11"/>
      <c r="R221" s="4"/>
      <c r="S221" s="4"/>
      <c r="T221" s="4"/>
      <c r="U221" s="4"/>
      <c r="V221" s="5">
        <f t="shared" si="15"/>
        <v>230000</v>
      </c>
      <c r="W221" s="6">
        <f t="shared" si="12"/>
        <v>0.57499999999999996</v>
      </c>
      <c r="X221" s="6">
        <f t="shared" si="13"/>
        <v>6</v>
      </c>
      <c r="Y221" s="6">
        <f t="shared" si="14"/>
        <v>1</v>
      </c>
    </row>
    <row r="222" spans="1:25" x14ac:dyDescent="0.25">
      <c r="A222" s="2">
        <v>218</v>
      </c>
      <c r="B222" s="8" t="s">
        <v>303</v>
      </c>
      <c r="C222" s="8">
        <v>28967914</v>
      </c>
      <c r="D222" s="8">
        <v>336684935</v>
      </c>
      <c r="E222" s="2" t="s">
        <v>304</v>
      </c>
      <c r="F222" s="2"/>
      <c r="G222" s="44">
        <v>400000</v>
      </c>
      <c r="H222" s="45"/>
      <c r="I222" s="3" t="s">
        <v>24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11"/>
      <c r="Q222" s="11"/>
      <c r="R222" s="4"/>
      <c r="S222" s="4"/>
      <c r="T222" s="4"/>
      <c r="U222" s="4"/>
      <c r="V222" s="5">
        <f t="shared" si="15"/>
        <v>0</v>
      </c>
      <c r="W222" s="6">
        <f t="shared" si="12"/>
        <v>0</v>
      </c>
      <c r="X222" s="6">
        <f t="shared" si="13"/>
        <v>0</v>
      </c>
      <c r="Y222" s="6">
        <f t="shared" si="14"/>
        <v>0</v>
      </c>
    </row>
    <row r="223" spans="1:25" x14ac:dyDescent="0.25">
      <c r="A223" s="2">
        <v>219</v>
      </c>
      <c r="B223" s="8" t="s">
        <v>305</v>
      </c>
      <c r="C223" s="8">
        <v>1094228628</v>
      </c>
      <c r="D223" s="8">
        <v>3124214946</v>
      </c>
      <c r="E223" s="2" t="s">
        <v>56</v>
      </c>
      <c r="F223" s="2"/>
      <c r="G223" s="44">
        <v>400000</v>
      </c>
      <c r="H223" s="45"/>
      <c r="I223" s="3" t="s">
        <v>24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11"/>
      <c r="Q223" s="11"/>
      <c r="R223" s="4"/>
      <c r="S223" s="4"/>
      <c r="T223" s="4"/>
      <c r="U223" s="4"/>
      <c r="V223" s="5">
        <f t="shared" si="15"/>
        <v>1000000</v>
      </c>
      <c r="W223" s="6">
        <f t="shared" si="12"/>
        <v>2.5</v>
      </c>
      <c r="X223" s="6">
        <f t="shared" si="13"/>
        <v>3</v>
      </c>
      <c r="Y223" s="6">
        <f t="shared" si="14"/>
        <v>3</v>
      </c>
    </row>
    <row r="224" spans="1:25" x14ac:dyDescent="0.25">
      <c r="A224" s="2">
        <v>220</v>
      </c>
      <c r="B224" s="8" t="s">
        <v>306</v>
      </c>
      <c r="C224" s="8">
        <v>88237561</v>
      </c>
      <c r="D224" s="8">
        <v>3204473656</v>
      </c>
      <c r="E224" s="2" t="s">
        <v>56</v>
      </c>
      <c r="F224" s="2"/>
      <c r="G224" s="44">
        <v>800000</v>
      </c>
      <c r="H224" s="45"/>
      <c r="I224" s="3" t="s">
        <v>24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11"/>
      <c r="Q224" s="11"/>
      <c r="R224" s="4"/>
      <c r="S224" s="4"/>
      <c r="T224" s="4"/>
      <c r="U224" s="4"/>
      <c r="V224" s="5">
        <f t="shared" si="15"/>
        <v>2000000</v>
      </c>
      <c r="W224" s="6">
        <f t="shared" si="12"/>
        <v>5</v>
      </c>
      <c r="X224" s="6">
        <f t="shared" si="13"/>
        <v>5</v>
      </c>
      <c r="Y224" s="6">
        <f t="shared" si="14"/>
        <v>5</v>
      </c>
    </row>
    <row r="225" spans="1:25" x14ac:dyDescent="0.25">
      <c r="A225" s="2">
        <v>221</v>
      </c>
      <c r="B225" s="8" t="s">
        <v>307</v>
      </c>
      <c r="C225" s="8" t="s">
        <v>308</v>
      </c>
      <c r="D225" s="8">
        <v>3102212862</v>
      </c>
      <c r="E225" s="2" t="s">
        <v>309</v>
      </c>
      <c r="F225" s="2"/>
      <c r="G225" s="44">
        <v>800000</v>
      </c>
      <c r="H225" s="45"/>
      <c r="I225" s="3" t="s">
        <v>24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1"/>
      <c r="Q225" s="11"/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x14ac:dyDescent="0.25">
      <c r="A226" s="2">
        <v>222</v>
      </c>
      <c r="B226" s="8" t="s">
        <v>310</v>
      </c>
      <c r="C226" s="8" t="s">
        <v>311</v>
      </c>
      <c r="D226" s="8">
        <v>3173802748</v>
      </c>
      <c r="E226" s="2" t="s">
        <v>309</v>
      </c>
      <c r="F226" s="2"/>
      <c r="G226" s="44">
        <v>800000</v>
      </c>
      <c r="H226" s="45"/>
      <c r="I226" s="3" t="s">
        <v>24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1"/>
      <c r="Q226" s="11"/>
      <c r="R226" s="4"/>
      <c r="S226" s="4"/>
      <c r="T226" s="4"/>
      <c r="U226" s="4"/>
      <c r="V226" s="5">
        <f t="shared" si="15"/>
        <v>0</v>
      </c>
      <c r="W226" s="6">
        <f t="shared" si="12"/>
        <v>0</v>
      </c>
      <c r="X226" s="6">
        <f t="shared" si="13"/>
        <v>0</v>
      </c>
      <c r="Y226" s="6">
        <f t="shared" si="14"/>
        <v>0</v>
      </c>
    </row>
    <row r="227" spans="1:25" x14ac:dyDescent="0.25">
      <c r="A227" s="2">
        <v>223</v>
      </c>
      <c r="B227" s="8" t="s">
        <v>312</v>
      </c>
      <c r="C227" s="8" t="s">
        <v>313</v>
      </c>
      <c r="D227" s="8">
        <v>3174007835</v>
      </c>
      <c r="E227" s="2" t="s">
        <v>309</v>
      </c>
      <c r="F227" s="2"/>
      <c r="G227" s="44">
        <v>1200000</v>
      </c>
      <c r="H227" s="45"/>
      <c r="I227" s="3" t="s">
        <v>24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1"/>
      <c r="Q227" s="11"/>
      <c r="R227" s="4"/>
      <c r="S227" s="4"/>
      <c r="T227" s="4"/>
      <c r="U227" s="4"/>
      <c r="V227" s="5">
        <f t="shared" si="15"/>
        <v>0</v>
      </c>
      <c r="W227" s="6">
        <f t="shared" si="12"/>
        <v>0</v>
      </c>
      <c r="X227" s="6">
        <f t="shared" si="13"/>
        <v>0</v>
      </c>
      <c r="Y227" s="6">
        <f t="shared" si="14"/>
        <v>0</v>
      </c>
    </row>
    <row r="228" spans="1:25" x14ac:dyDescent="0.25">
      <c r="A228" s="2">
        <v>224</v>
      </c>
      <c r="B228" s="8" t="s">
        <v>314</v>
      </c>
      <c r="C228" s="8" t="s">
        <v>315</v>
      </c>
      <c r="D228" s="8">
        <v>3008286649</v>
      </c>
      <c r="E228" s="2" t="s">
        <v>309</v>
      </c>
      <c r="F228" s="2"/>
      <c r="G228" s="44">
        <v>800000</v>
      </c>
      <c r="H228" s="45"/>
      <c r="I228" s="3" t="s">
        <v>24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1"/>
      <c r="Q228" s="11"/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x14ac:dyDescent="0.25">
      <c r="A229" s="2">
        <v>225</v>
      </c>
      <c r="B229" s="8" t="s">
        <v>316</v>
      </c>
      <c r="C229" s="8" t="s">
        <v>317</v>
      </c>
      <c r="D229" s="8">
        <v>3212079648</v>
      </c>
      <c r="E229" s="2" t="s">
        <v>309</v>
      </c>
      <c r="F229" s="2"/>
      <c r="G229" s="44">
        <v>800000</v>
      </c>
      <c r="H229" s="45"/>
      <c r="I229" s="3" t="s">
        <v>24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1"/>
      <c r="Q229" s="11"/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x14ac:dyDescent="0.25">
      <c r="A230" s="2">
        <v>226</v>
      </c>
      <c r="B230" s="8" t="s">
        <v>318</v>
      </c>
      <c r="C230" s="8" t="s">
        <v>319</v>
      </c>
      <c r="D230" s="8">
        <v>3212648565</v>
      </c>
      <c r="E230" s="2" t="s">
        <v>320</v>
      </c>
      <c r="F230" s="2"/>
      <c r="G230" s="44">
        <v>800000</v>
      </c>
      <c r="H230" s="45"/>
      <c r="I230" s="3" t="s">
        <v>24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1"/>
      <c r="Q230" s="11"/>
      <c r="R230" s="4"/>
      <c r="S230" s="4"/>
      <c r="T230" s="4"/>
      <c r="U230" s="4"/>
      <c r="V230" s="5">
        <f t="shared" si="15"/>
        <v>0</v>
      </c>
      <c r="W230" s="6">
        <f t="shared" si="12"/>
        <v>0</v>
      </c>
      <c r="X230" s="6">
        <f t="shared" si="13"/>
        <v>0</v>
      </c>
      <c r="Y230" s="6">
        <f t="shared" si="14"/>
        <v>0</v>
      </c>
    </row>
    <row r="231" spans="1:25" x14ac:dyDescent="0.25">
      <c r="A231" s="2">
        <v>227</v>
      </c>
      <c r="B231" s="8" t="s">
        <v>321</v>
      </c>
      <c r="C231" s="8" t="s">
        <v>322</v>
      </c>
      <c r="D231" s="8">
        <v>3156601344</v>
      </c>
      <c r="E231" s="2" t="s">
        <v>323</v>
      </c>
      <c r="F231" s="2"/>
      <c r="G231" s="44">
        <v>800000</v>
      </c>
      <c r="H231" s="45"/>
      <c r="I231" s="3" t="s">
        <v>24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1"/>
      <c r="Q231" s="11"/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x14ac:dyDescent="0.25">
      <c r="A232" s="2">
        <v>228</v>
      </c>
      <c r="B232" s="8" t="s">
        <v>324</v>
      </c>
      <c r="C232" s="8" t="s">
        <v>325</v>
      </c>
      <c r="D232" s="8">
        <v>3114967016</v>
      </c>
      <c r="E232" s="2" t="s">
        <v>326</v>
      </c>
      <c r="F232" s="2"/>
      <c r="G232" s="44">
        <v>400000</v>
      </c>
      <c r="H232" s="45"/>
      <c r="I232" s="3" t="s">
        <v>24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1"/>
      <c r="Q232" s="11"/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x14ac:dyDescent="0.25">
      <c r="A233" s="2">
        <v>229</v>
      </c>
      <c r="B233" s="8" t="s">
        <v>327</v>
      </c>
      <c r="C233" s="8" t="s">
        <v>328</v>
      </c>
      <c r="D233" s="8">
        <v>3214289394</v>
      </c>
      <c r="E233" s="2" t="s">
        <v>326</v>
      </c>
      <c r="F233" s="2"/>
      <c r="G233" s="44">
        <v>800000</v>
      </c>
      <c r="H233" s="45"/>
      <c r="I233" s="3" t="s">
        <v>24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1"/>
      <c r="Q233" s="11"/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x14ac:dyDescent="0.25">
      <c r="A234" s="2">
        <v>230</v>
      </c>
      <c r="B234" s="8" t="s">
        <v>329</v>
      </c>
      <c r="C234" s="8" t="s">
        <v>330</v>
      </c>
      <c r="D234" s="8">
        <v>3214411717</v>
      </c>
      <c r="E234" s="2" t="s">
        <v>331</v>
      </c>
      <c r="F234" s="2"/>
      <c r="G234" s="44">
        <v>800000</v>
      </c>
      <c r="H234" s="45"/>
      <c r="I234" s="3" t="s">
        <v>24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1"/>
      <c r="Q234" s="11"/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x14ac:dyDescent="0.25">
      <c r="A235" s="2">
        <v>231</v>
      </c>
      <c r="B235" s="8" t="s">
        <v>332</v>
      </c>
      <c r="C235" s="8" t="s">
        <v>333</v>
      </c>
      <c r="D235" s="8">
        <v>3204014480</v>
      </c>
      <c r="E235" s="2" t="s">
        <v>334</v>
      </c>
      <c r="F235" s="2"/>
      <c r="G235" s="44">
        <v>400000</v>
      </c>
      <c r="H235" s="45"/>
      <c r="I235" s="3" t="s">
        <v>24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1"/>
      <c r="Q235" s="11"/>
      <c r="R235" s="4"/>
      <c r="S235" s="4"/>
      <c r="T235" s="4"/>
      <c r="U235" s="4"/>
      <c r="V235" s="5">
        <f t="shared" si="15"/>
        <v>0</v>
      </c>
      <c r="W235" s="6">
        <f t="shared" si="12"/>
        <v>0</v>
      </c>
      <c r="X235" s="6">
        <f t="shared" si="13"/>
        <v>0</v>
      </c>
      <c r="Y235" s="6">
        <f t="shared" si="14"/>
        <v>0</v>
      </c>
    </row>
    <row r="236" spans="1:25" x14ac:dyDescent="0.25">
      <c r="A236" s="2">
        <v>232</v>
      </c>
      <c r="B236" s="8" t="s">
        <v>335</v>
      </c>
      <c r="C236" s="8" t="s">
        <v>336</v>
      </c>
      <c r="D236" s="8">
        <v>3114612778</v>
      </c>
      <c r="E236" s="2" t="s">
        <v>331</v>
      </c>
      <c r="F236" s="2"/>
      <c r="G236" s="44">
        <v>800000</v>
      </c>
      <c r="H236" s="45"/>
      <c r="I236" s="3" t="s">
        <v>24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1"/>
      <c r="Q236" s="11"/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x14ac:dyDescent="0.25">
      <c r="A237" s="2">
        <v>233</v>
      </c>
      <c r="B237" s="8" t="s">
        <v>337</v>
      </c>
      <c r="C237" s="8">
        <v>85203032</v>
      </c>
      <c r="D237" s="8">
        <v>3107315557</v>
      </c>
      <c r="E237" s="2" t="s">
        <v>558</v>
      </c>
      <c r="F237" s="2"/>
      <c r="G237" s="44">
        <v>800000</v>
      </c>
      <c r="H237" s="45"/>
      <c r="I237" s="3" t="s">
        <v>24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1"/>
      <c r="Q237" s="11"/>
      <c r="R237" s="4"/>
      <c r="S237" s="4"/>
      <c r="T237" s="4"/>
      <c r="U237" s="4"/>
      <c r="V237" s="5">
        <f t="shared" si="15"/>
        <v>0</v>
      </c>
      <c r="W237" s="6">
        <f t="shared" si="12"/>
        <v>0</v>
      </c>
      <c r="X237" s="6">
        <f t="shared" si="13"/>
        <v>0</v>
      </c>
      <c r="Y237" s="6">
        <f t="shared" si="14"/>
        <v>0</v>
      </c>
    </row>
    <row r="238" spans="1:25" x14ac:dyDescent="0.25">
      <c r="A238" s="2">
        <v>234</v>
      </c>
      <c r="B238" s="8" t="s">
        <v>338</v>
      </c>
      <c r="C238" s="8">
        <v>1067904102</v>
      </c>
      <c r="D238" s="8">
        <v>3137896402</v>
      </c>
      <c r="E238" s="2" t="s">
        <v>339</v>
      </c>
      <c r="F238" s="2"/>
      <c r="G238" s="44">
        <v>800000</v>
      </c>
      <c r="H238" s="45"/>
      <c r="I238" s="3" t="s">
        <v>24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1"/>
      <c r="Q238" s="11"/>
      <c r="R238" s="4"/>
      <c r="S238" s="4"/>
      <c r="T238" s="4"/>
      <c r="U238" s="4"/>
      <c r="V238" s="5">
        <f t="shared" si="15"/>
        <v>0</v>
      </c>
      <c r="W238" s="6">
        <f t="shared" si="12"/>
        <v>0</v>
      </c>
      <c r="X238" s="6">
        <f t="shared" si="13"/>
        <v>0</v>
      </c>
      <c r="Y238" s="6">
        <f t="shared" si="14"/>
        <v>0</v>
      </c>
    </row>
    <row r="239" spans="1:25" x14ac:dyDescent="0.25">
      <c r="A239" s="2">
        <v>235</v>
      </c>
      <c r="B239" s="8" t="s">
        <v>340</v>
      </c>
      <c r="C239" s="8">
        <v>50901037</v>
      </c>
      <c r="D239" s="8">
        <v>3205707487</v>
      </c>
      <c r="E239" s="2"/>
      <c r="F239" s="2"/>
      <c r="G239" s="44">
        <v>800000</v>
      </c>
      <c r="H239" s="45"/>
      <c r="I239" s="3" t="s">
        <v>24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1"/>
      <c r="Q239" s="11"/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x14ac:dyDescent="0.25">
      <c r="A240" s="2">
        <v>236</v>
      </c>
      <c r="B240" s="8" t="s">
        <v>341</v>
      </c>
      <c r="C240" s="8">
        <v>1002371747</v>
      </c>
      <c r="D240" s="8">
        <v>3017076403</v>
      </c>
      <c r="E240" s="2" t="s">
        <v>342</v>
      </c>
      <c r="F240" s="2"/>
      <c r="G240" s="44">
        <v>800000</v>
      </c>
      <c r="H240" s="45"/>
      <c r="I240" s="3" t="s">
        <v>24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1"/>
      <c r="Q240" s="11"/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x14ac:dyDescent="0.25">
      <c r="A241" s="2">
        <v>237</v>
      </c>
      <c r="B241" s="8" t="s">
        <v>343</v>
      </c>
      <c r="C241" s="8">
        <v>1066737038</v>
      </c>
      <c r="D241" s="8">
        <v>3122228619</v>
      </c>
      <c r="E241" s="2" t="s">
        <v>344</v>
      </c>
      <c r="F241" s="2"/>
      <c r="G241" s="44">
        <v>800000</v>
      </c>
      <c r="H241" s="45"/>
      <c r="I241" s="3" t="s">
        <v>24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1"/>
      <c r="Q241" s="11"/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x14ac:dyDescent="0.25">
      <c r="A242" s="2">
        <v>238</v>
      </c>
      <c r="B242" s="8" t="s">
        <v>345</v>
      </c>
      <c r="C242" s="8">
        <v>1064996539</v>
      </c>
      <c r="D242" s="8">
        <v>3135513063</v>
      </c>
      <c r="E242" s="2" t="s">
        <v>558</v>
      </c>
      <c r="F242" s="2"/>
      <c r="G242" s="44">
        <v>800000</v>
      </c>
      <c r="H242" s="45"/>
      <c r="I242" s="3" t="s">
        <v>24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1"/>
      <c r="Q242" s="11"/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x14ac:dyDescent="0.25">
      <c r="A243" s="2">
        <v>239</v>
      </c>
      <c r="B243" s="8" t="s">
        <v>346</v>
      </c>
      <c r="C243" s="8">
        <v>1067884505</v>
      </c>
      <c r="D243" s="8">
        <v>3215857733</v>
      </c>
      <c r="E243" s="2" t="s">
        <v>562</v>
      </c>
      <c r="F243" s="2"/>
      <c r="G243" s="44">
        <v>800000</v>
      </c>
      <c r="H243" s="45"/>
      <c r="I243" s="3" t="s">
        <v>24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1"/>
      <c r="Q243" s="11"/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x14ac:dyDescent="0.25">
      <c r="A244" s="2">
        <v>240</v>
      </c>
      <c r="B244" s="8" t="s">
        <v>347</v>
      </c>
      <c r="C244" s="8">
        <v>30777006</v>
      </c>
      <c r="D244" s="8">
        <v>3186436044</v>
      </c>
      <c r="E244" s="2" t="s">
        <v>558</v>
      </c>
      <c r="F244" s="2"/>
      <c r="G244" s="44">
        <v>800000</v>
      </c>
      <c r="H244" s="45"/>
      <c r="I244" s="3" t="s">
        <v>24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1"/>
      <c r="Q244" s="11"/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x14ac:dyDescent="0.25">
      <c r="A245" s="2">
        <v>241</v>
      </c>
      <c r="B245" s="8" t="s">
        <v>348</v>
      </c>
      <c r="C245" s="8">
        <v>34962463</v>
      </c>
      <c r="D245" s="8">
        <v>3205294049</v>
      </c>
      <c r="E245" s="2" t="s">
        <v>558</v>
      </c>
      <c r="F245" s="2"/>
      <c r="G245" s="44">
        <v>800000</v>
      </c>
      <c r="H245" s="45"/>
      <c r="I245" s="3" t="s">
        <v>24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1"/>
      <c r="Q245" s="11"/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x14ac:dyDescent="0.25">
      <c r="A246" s="2">
        <v>242</v>
      </c>
      <c r="B246" s="8" t="s">
        <v>349</v>
      </c>
      <c r="C246" s="8">
        <v>1067922782</v>
      </c>
      <c r="D246" s="8">
        <v>3013999279</v>
      </c>
      <c r="E246" s="2" t="s">
        <v>339</v>
      </c>
      <c r="F246" s="2"/>
      <c r="G246" s="44">
        <v>800000</v>
      </c>
      <c r="H246" s="45"/>
      <c r="I246" s="3" t="s">
        <v>24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1"/>
      <c r="Q246" s="11"/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x14ac:dyDescent="0.25">
      <c r="A247" s="2">
        <v>243</v>
      </c>
      <c r="B247" s="8" t="s">
        <v>350</v>
      </c>
      <c r="C247" s="8">
        <v>1133795577</v>
      </c>
      <c r="D247" s="8">
        <v>3013994780</v>
      </c>
      <c r="E247" s="2" t="s">
        <v>339</v>
      </c>
      <c r="F247" s="2"/>
      <c r="G247" s="44">
        <v>800000</v>
      </c>
      <c r="H247" s="45"/>
      <c r="I247" s="3" t="s">
        <v>24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1"/>
      <c r="Q247" s="11"/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x14ac:dyDescent="0.25">
      <c r="A248" s="2">
        <v>244</v>
      </c>
      <c r="B248" s="8" t="s">
        <v>351</v>
      </c>
      <c r="C248" s="8">
        <v>78753440</v>
      </c>
      <c r="D248" s="8">
        <v>3217473284</v>
      </c>
      <c r="E248" s="2" t="s">
        <v>558</v>
      </c>
      <c r="F248" s="2"/>
      <c r="G248" s="44">
        <v>800000</v>
      </c>
      <c r="H248" s="45"/>
      <c r="I248" s="3" t="s">
        <v>24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1"/>
      <c r="Q248" s="11"/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x14ac:dyDescent="0.25">
      <c r="A249" s="2">
        <v>245</v>
      </c>
      <c r="B249" s="8" t="s">
        <v>352</v>
      </c>
      <c r="C249" s="8">
        <v>34979435</v>
      </c>
      <c r="D249" s="8">
        <v>3205025275</v>
      </c>
      <c r="E249" s="2" t="s">
        <v>558</v>
      </c>
      <c r="F249" s="2"/>
      <c r="G249" s="44">
        <v>800000</v>
      </c>
      <c r="H249" s="45"/>
      <c r="I249" s="3" t="s">
        <v>24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1"/>
      <c r="Q249" s="11"/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x14ac:dyDescent="0.25">
      <c r="A250" s="2">
        <v>246</v>
      </c>
      <c r="B250" s="8" t="s">
        <v>353</v>
      </c>
      <c r="C250" s="8">
        <v>78323723</v>
      </c>
      <c r="D250" s="8">
        <v>3136913916</v>
      </c>
      <c r="E250" s="2" t="s">
        <v>344</v>
      </c>
      <c r="F250" s="2"/>
      <c r="G250" s="44">
        <v>800000</v>
      </c>
      <c r="H250" s="45"/>
      <c r="I250" s="3" t="s">
        <v>24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1"/>
      <c r="Q250" s="11"/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x14ac:dyDescent="0.25">
      <c r="A251" s="2">
        <v>247</v>
      </c>
      <c r="B251" s="8" t="s">
        <v>354</v>
      </c>
      <c r="C251" s="8">
        <v>1003404028</v>
      </c>
      <c r="D251" s="8">
        <v>3205172305</v>
      </c>
      <c r="E251" s="2" t="s">
        <v>558</v>
      </c>
      <c r="F251" s="2"/>
      <c r="G251" s="44">
        <v>800000</v>
      </c>
      <c r="H251" s="45"/>
      <c r="I251" s="3" t="s">
        <v>24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1"/>
      <c r="Q251" s="11"/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x14ac:dyDescent="0.25">
      <c r="A252" s="2">
        <v>248</v>
      </c>
      <c r="B252" s="8" t="s">
        <v>355</v>
      </c>
      <c r="C252" s="8">
        <v>30843113</v>
      </c>
      <c r="D252" s="8">
        <v>3135249664</v>
      </c>
      <c r="E252" s="2" t="s">
        <v>342</v>
      </c>
      <c r="F252" s="2"/>
      <c r="G252" s="44">
        <v>800000</v>
      </c>
      <c r="H252" s="45"/>
      <c r="I252" s="3" t="s">
        <v>24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1"/>
      <c r="Q252" s="11"/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x14ac:dyDescent="0.25">
      <c r="A253" s="2">
        <v>249</v>
      </c>
      <c r="B253" s="8" t="s">
        <v>356</v>
      </c>
      <c r="C253" s="8">
        <v>15647945</v>
      </c>
      <c r="D253" s="8">
        <v>3105193541</v>
      </c>
      <c r="E253" s="2" t="s">
        <v>342</v>
      </c>
      <c r="F253" s="2"/>
      <c r="G253" s="44">
        <v>800000</v>
      </c>
      <c r="H253" s="45"/>
      <c r="I253" s="3" t="s">
        <v>24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11"/>
      <c r="Q253" s="11"/>
      <c r="R253" s="4"/>
      <c r="S253" s="4"/>
      <c r="T253" s="4"/>
      <c r="U253" s="4"/>
      <c r="V253" s="5">
        <f t="shared" si="15"/>
        <v>0</v>
      </c>
      <c r="W253" s="6">
        <f t="shared" si="12"/>
        <v>0</v>
      </c>
      <c r="X253" s="6">
        <f t="shared" si="13"/>
        <v>0</v>
      </c>
      <c r="Y253" s="6">
        <f t="shared" si="14"/>
        <v>0</v>
      </c>
    </row>
    <row r="254" spans="1:25" x14ac:dyDescent="0.25">
      <c r="A254" s="2">
        <v>250</v>
      </c>
      <c r="B254" s="8" t="s">
        <v>357</v>
      </c>
      <c r="C254" s="8">
        <v>1088296001</v>
      </c>
      <c r="D254" s="8"/>
      <c r="E254" s="2" t="s">
        <v>278</v>
      </c>
      <c r="F254" s="2"/>
      <c r="G254" s="44">
        <v>200000</v>
      </c>
      <c r="H254" s="45"/>
      <c r="I254" s="3" t="s">
        <v>24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11"/>
      <c r="Q254" s="11"/>
      <c r="R254" s="4"/>
      <c r="S254" s="4"/>
      <c r="T254" s="4"/>
      <c r="U254" s="4"/>
      <c r="V254" s="5">
        <f t="shared" si="15"/>
        <v>800000</v>
      </c>
      <c r="W254" s="6">
        <f t="shared" si="12"/>
        <v>2</v>
      </c>
      <c r="X254" s="6">
        <f t="shared" si="13"/>
        <v>2</v>
      </c>
      <c r="Y254" s="6">
        <f t="shared" si="14"/>
        <v>2</v>
      </c>
    </row>
    <row r="255" spans="1:25" x14ac:dyDescent="0.25">
      <c r="A255" s="2">
        <v>251</v>
      </c>
      <c r="B255" s="8" t="s">
        <v>358</v>
      </c>
      <c r="C255" s="8">
        <v>60319496</v>
      </c>
      <c r="D255" s="8">
        <v>3114112215</v>
      </c>
      <c r="E255" s="2" t="s">
        <v>56</v>
      </c>
      <c r="F255" s="2"/>
      <c r="G255" s="44">
        <v>400000</v>
      </c>
      <c r="H255" s="45"/>
      <c r="I255" s="3" t="s">
        <v>24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11"/>
      <c r="Q255" s="11"/>
      <c r="R255" s="4"/>
      <c r="S255" s="4"/>
      <c r="T255" s="4"/>
      <c r="U255" s="4"/>
      <c r="V255" s="5">
        <f t="shared" si="15"/>
        <v>600000</v>
      </c>
      <c r="W255" s="6">
        <f t="shared" si="12"/>
        <v>1.5</v>
      </c>
      <c r="X255" s="6">
        <f t="shared" si="13"/>
        <v>2</v>
      </c>
      <c r="Y255" s="6">
        <f t="shared" si="14"/>
        <v>2</v>
      </c>
    </row>
    <row r="256" spans="1:25" x14ac:dyDescent="0.25">
      <c r="A256" s="2">
        <v>252</v>
      </c>
      <c r="B256" s="8" t="s">
        <v>359</v>
      </c>
      <c r="C256" s="8">
        <v>1121969843</v>
      </c>
      <c r="D256" s="8">
        <v>3026352060</v>
      </c>
      <c r="E256" s="2" t="s">
        <v>360</v>
      </c>
      <c r="F256" s="2"/>
      <c r="G256" s="44">
        <v>850000</v>
      </c>
      <c r="H256" s="45"/>
      <c r="I256" s="3" t="s">
        <v>24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11"/>
      <c r="Q256" s="11"/>
      <c r="R256" s="4"/>
      <c r="S256" s="4"/>
      <c r="T256" s="4"/>
      <c r="U256" s="4"/>
      <c r="V256" s="5">
        <f t="shared" si="15"/>
        <v>990000</v>
      </c>
      <c r="W256" s="6">
        <f t="shared" si="12"/>
        <v>2.4750000000000001</v>
      </c>
      <c r="X256" s="6">
        <f t="shared" si="13"/>
        <v>2</v>
      </c>
      <c r="Y256" s="6">
        <f t="shared" si="14"/>
        <v>3</v>
      </c>
    </row>
    <row r="257" spans="1:25" x14ac:dyDescent="0.25">
      <c r="A257" s="2">
        <v>253</v>
      </c>
      <c r="B257" s="8" t="s">
        <v>361</v>
      </c>
      <c r="C257" s="8">
        <v>70322335</v>
      </c>
      <c r="D257" s="8">
        <v>3106907142</v>
      </c>
      <c r="E257" s="2" t="s">
        <v>287</v>
      </c>
      <c r="F257" s="2"/>
      <c r="G257" s="44">
        <v>800000</v>
      </c>
      <c r="H257" s="45" t="s">
        <v>572</v>
      </c>
      <c r="I257" s="3" t="s">
        <v>24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0</v>
      </c>
      <c r="P257" s="11"/>
      <c r="Q257" s="11"/>
      <c r="R257" s="4"/>
      <c r="S257" s="4"/>
      <c r="T257" s="4"/>
      <c r="U257" s="4"/>
      <c r="V257" s="5">
        <f t="shared" si="15"/>
        <v>1600000</v>
      </c>
      <c r="W257" s="6">
        <f t="shared" si="12"/>
        <v>4</v>
      </c>
      <c r="X257" s="6">
        <f t="shared" si="13"/>
        <v>4</v>
      </c>
      <c r="Y257" s="6">
        <f t="shared" si="14"/>
        <v>4</v>
      </c>
    </row>
    <row r="258" spans="1:25" x14ac:dyDescent="0.25">
      <c r="A258" s="2">
        <v>254</v>
      </c>
      <c r="B258" s="8" t="s">
        <v>362</v>
      </c>
      <c r="C258" s="8">
        <v>72049339</v>
      </c>
      <c r="D258" s="8">
        <v>3148093554</v>
      </c>
      <c r="E258" s="2" t="s">
        <v>287</v>
      </c>
      <c r="F258" s="2"/>
      <c r="G258" s="44">
        <v>400000</v>
      </c>
      <c r="H258" s="45" t="s">
        <v>572</v>
      </c>
      <c r="I258" s="3" t="s">
        <v>24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11"/>
      <c r="Q258" s="11"/>
      <c r="R258" s="4"/>
      <c r="S258" s="4"/>
      <c r="T258" s="4"/>
      <c r="U258" s="4"/>
      <c r="V258" s="5">
        <f t="shared" si="15"/>
        <v>0</v>
      </c>
      <c r="W258" s="6">
        <f t="shared" si="12"/>
        <v>0</v>
      </c>
      <c r="X258" s="6">
        <f t="shared" si="13"/>
        <v>0</v>
      </c>
      <c r="Y258" s="6">
        <f t="shared" si="14"/>
        <v>0</v>
      </c>
    </row>
    <row r="259" spans="1:25" x14ac:dyDescent="0.25">
      <c r="A259" s="2">
        <v>255</v>
      </c>
      <c r="B259" s="8" t="s">
        <v>363</v>
      </c>
      <c r="C259" s="8">
        <v>71273662</v>
      </c>
      <c r="D259" s="8">
        <v>3103476233</v>
      </c>
      <c r="E259" s="2" t="s">
        <v>364</v>
      </c>
      <c r="F259" s="2"/>
      <c r="G259" s="44">
        <v>800000</v>
      </c>
      <c r="H259" s="45"/>
      <c r="I259" s="3" t="s">
        <v>24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11"/>
      <c r="Q259" s="11"/>
      <c r="R259" s="4"/>
      <c r="S259" s="4"/>
      <c r="T259" s="4"/>
      <c r="U259" s="4"/>
      <c r="V259" s="5">
        <f t="shared" si="15"/>
        <v>2000000</v>
      </c>
      <c r="W259" s="6">
        <f t="shared" si="12"/>
        <v>5</v>
      </c>
      <c r="X259" s="6">
        <f t="shared" si="13"/>
        <v>5</v>
      </c>
      <c r="Y259" s="6">
        <f t="shared" si="14"/>
        <v>5</v>
      </c>
    </row>
    <row r="260" spans="1:25" x14ac:dyDescent="0.25">
      <c r="A260" s="2">
        <v>256</v>
      </c>
      <c r="B260" s="8" t="s">
        <v>365</v>
      </c>
      <c r="C260" s="8">
        <v>64556783</v>
      </c>
      <c r="D260" s="8">
        <v>3017981102</v>
      </c>
      <c r="E260" s="2" t="s">
        <v>133</v>
      </c>
      <c r="F260" s="2"/>
      <c r="G260" s="44">
        <v>800000</v>
      </c>
      <c r="H260" s="45"/>
      <c r="I260" s="3" t="s">
        <v>24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1"/>
      <c r="Q260" s="11"/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x14ac:dyDescent="0.25">
      <c r="A261" s="2">
        <v>257</v>
      </c>
      <c r="B261" s="8" t="s">
        <v>366</v>
      </c>
      <c r="C261" s="8">
        <v>30771251</v>
      </c>
      <c r="D261" s="8" t="s">
        <v>367</v>
      </c>
      <c r="E261" s="2" t="s">
        <v>133</v>
      </c>
      <c r="F261" s="2"/>
      <c r="G261" s="44">
        <v>800000</v>
      </c>
      <c r="H261" s="45"/>
      <c r="I261" s="3" t="s">
        <v>24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1"/>
      <c r="Q261" s="11"/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x14ac:dyDescent="0.25">
      <c r="A262" s="2">
        <v>258</v>
      </c>
      <c r="B262" s="8" t="s">
        <v>368</v>
      </c>
      <c r="C262" s="8">
        <v>45758051</v>
      </c>
      <c r="D262" s="8" t="s">
        <v>369</v>
      </c>
      <c r="E262" s="2" t="s">
        <v>133</v>
      </c>
      <c r="F262" s="2"/>
      <c r="G262" s="44">
        <v>400000</v>
      </c>
      <c r="H262" s="45"/>
      <c r="I262" s="3" t="s">
        <v>24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11"/>
      <c r="Q262" s="11"/>
      <c r="R262" s="4"/>
      <c r="S262" s="4"/>
      <c r="T262" s="4"/>
      <c r="U262" s="4"/>
      <c r="V262" s="5">
        <f t="shared" ref="V262:V325" si="19">SUM(J262:U262)</f>
        <v>0</v>
      </c>
      <c r="W262" s="6">
        <f t="shared" si="16"/>
        <v>0</v>
      </c>
      <c r="X262" s="6">
        <f t="shared" si="17"/>
        <v>0</v>
      </c>
      <c r="Y262" s="6">
        <f t="shared" si="18"/>
        <v>0</v>
      </c>
    </row>
    <row r="263" spans="1:25" x14ac:dyDescent="0.25">
      <c r="A263" s="2">
        <v>259</v>
      </c>
      <c r="B263" s="8" t="s">
        <v>370</v>
      </c>
      <c r="C263" s="8">
        <v>88137146</v>
      </c>
      <c r="D263" s="8">
        <v>3157943643</v>
      </c>
      <c r="E263" s="2" t="s">
        <v>66</v>
      </c>
      <c r="F263" s="2"/>
      <c r="G263" s="44">
        <v>800000</v>
      </c>
      <c r="H263" s="45"/>
      <c r="I263" s="3" t="s">
        <v>24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11"/>
      <c r="Q263" s="11"/>
      <c r="R263" s="4"/>
      <c r="S263" s="4"/>
      <c r="T263" s="4"/>
      <c r="U263" s="4"/>
      <c r="V263" s="5">
        <f t="shared" si="19"/>
        <v>1200000</v>
      </c>
      <c r="W263" s="6">
        <f t="shared" si="16"/>
        <v>3</v>
      </c>
      <c r="X263" s="6">
        <f t="shared" si="17"/>
        <v>3</v>
      </c>
      <c r="Y263" s="6">
        <f t="shared" si="18"/>
        <v>3</v>
      </c>
    </row>
    <row r="264" spans="1:25" x14ac:dyDescent="0.25">
      <c r="A264" s="2">
        <v>260</v>
      </c>
      <c r="B264" s="8" t="s">
        <v>371</v>
      </c>
      <c r="C264" s="8">
        <v>88284263</v>
      </c>
      <c r="D264" s="8">
        <v>88284263</v>
      </c>
      <c r="E264" s="2" t="s">
        <v>66</v>
      </c>
      <c r="F264" s="2"/>
      <c r="G264" s="44">
        <v>800000</v>
      </c>
      <c r="H264" s="45"/>
      <c r="I264" s="3" t="s">
        <v>24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11"/>
      <c r="Q264" s="11"/>
      <c r="R264" s="4"/>
      <c r="S264" s="4"/>
      <c r="T264" s="4"/>
      <c r="U264" s="4"/>
      <c r="V264" s="5">
        <f t="shared" si="19"/>
        <v>1600000</v>
      </c>
      <c r="W264" s="6">
        <f t="shared" si="16"/>
        <v>4</v>
      </c>
      <c r="X264" s="6">
        <f t="shared" si="17"/>
        <v>4</v>
      </c>
      <c r="Y264" s="6">
        <f t="shared" si="18"/>
        <v>4</v>
      </c>
    </row>
    <row r="265" spans="1:25" x14ac:dyDescent="0.25">
      <c r="A265" s="2">
        <v>261</v>
      </c>
      <c r="B265" s="8" t="s">
        <v>372</v>
      </c>
      <c r="C265" s="8">
        <v>77179718</v>
      </c>
      <c r="D265" s="8">
        <v>3214184733</v>
      </c>
      <c r="E265" s="2" t="s">
        <v>66</v>
      </c>
      <c r="F265" s="2"/>
      <c r="G265" s="44">
        <v>800000</v>
      </c>
      <c r="H265" s="45"/>
      <c r="I265" s="3" t="s">
        <v>24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11"/>
      <c r="Q265" s="11"/>
      <c r="R265" s="4"/>
      <c r="S265" s="4"/>
      <c r="T265" s="4"/>
      <c r="U265" s="4"/>
      <c r="V265" s="5">
        <f t="shared" si="19"/>
        <v>2000000</v>
      </c>
      <c r="W265" s="6">
        <f t="shared" si="16"/>
        <v>5</v>
      </c>
      <c r="X265" s="6">
        <f t="shared" si="17"/>
        <v>5</v>
      </c>
      <c r="Y265" s="6">
        <f t="shared" si="18"/>
        <v>5</v>
      </c>
    </row>
    <row r="266" spans="1:25" x14ac:dyDescent="0.25">
      <c r="A266" s="2">
        <v>262</v>
      </c>
      <c r="B266" s="8" t="s">
        <v>373</v>
      </c>
      <c r="C266" s="8">
        <v>16354014</v>
      </c>
      <c r="D266" s="8"/>
      <c r="E266" s="2" t="s">
        <v>41</v>
      </c>
      <c r="F266" s="2"/>
      <c r="G266" s="44">
        <v>800000</v>
      </c>
      <c r="H266" s="45"/>
      <c r="I266" s="3" t="s">
        <v>24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11"/>
      <c r="Q266" s="11"/>
      <c r="R266" s="4"/>
      <c r="S266" s="4"/>
      <c r="T266" s="4"/>
      <c r="U266" s="4"/>
      <c r="V266" s="5">
        <f t="shared" si="19"/>
        <v>2400000</v>
      </c>
      <c r="W266" s="6">
        <f t="shared" si="16"/>
        <v>6</v>
      </c>
      <c r="X266" s="6">
        <f t="shared" si="17"/>
        <v>4</v>
      </c>
      <c r="Y266" s="6">
        <f t="shared" si="18"/>
        <v>6</v>
      </c>
    </row>
    <row r="267" spans="1:25" x14ac:dyDescent="0.25">
      <c r="A267" s="2">
        <v>263</v>
      </c>
      <c r="B267" s="8" t="s">
        <v>374</v>
      </c>
      <c r="C267" s="8">
        <v>26257532</v>
      </c>
      <c r="D267" s="8" t="s">
        <v>375</v>
      </c>
      <c r="E267" s="2" t="s">
        <v>106</v>
      </c>
      <c r="F267" s="2"/>
      <c r="G267" s="44">
        <v>400000</v>
      </c>
      <c r="H267" s="45"/>
      <c r="I267" s="3" t="s">
        <v>24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11"/>
      <c r="Q267" s="11"/>
      <c r="R267" s="4"/>
      <c r="S267" s="4"/>
      <c r="T267" s="4"/>
      <c r="U267" s="4"/>
      <c r="V267" s="5">
        <f t="shared" si="19"/>
        <v>2800000</v>
      </c>
      <c r="W267" s="6">
        <f t="shared" si="16"/>
        <v>7</v>
      </c>
      <c r="X267" s="6">
        <f t="shared" si="17"/>
        <v>5</v>
      </c>
      <c r="Y267" s="6">
        <f t="shared" si="18"/>
        <v>7</v>
      </c>
    </row>
    <row r="268" spans="1:25" x14ac:dyDescent="0.25">
      <c r="A268" s="2">
        <v>264</v>
      </c>
      <c r="B268" s="8" t="s">
        <v>376</v>
      </c>
      <c r="C268" s="8"/>
      <c r="D268" s="8"/>
      <c r="E268" s="2" t="s">
        <v>405</v>
      </c>
      <c r="F268" s="2"/>
      <c r="G268" s="44">
        <v>200000</v>
      </c>
      <c r="H268" s="45"/>
      <c r="I268" s="3" t="s">
        <v>24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11"/>
      <c r="Q268" s="11"/>
      <c r="R268" s="4"/>
      <c r="S268" s="4"/>
      <c r="T268" s="4"/>
      <c r="U268" s="4"/>
      <c r="V268" s="5">
        <f t="shared" si="19"/>
        <v>600000</v>
      </c>
      <c r="W268" s="6">
        <f t="shared" si="16"/>
        <v>1.5</v>
      </c>
      <c r="X268" s="6">
        <f t="shared" si="17"/>
        <v>3</v>
      </c>
      <c r="Y268" s="6">
        <f t="shared" si="18"/>
        <v>2</v>
      </c>
    </row>
    <row r="269" spans="1:25" x14ac:dyDescent="0.25">
      <c r="A269" s="2">
        <v>265</v>
      </c>
      <c r="B269" s="8" t="s">
        <v>377</v>
      </c>
      <c r="C269" s="8">
        <v>72295408</v>
      </c>
      <c r="D269" s="8"/>
      <c r="E269" s="2" t="s">
        <v>378</v>
      </c>
      <c r="F269" s="2"/>
      <c r="G269" s="44">
        <v>50000</v>
      </c>
      <c r="H269" s="45"/>
      <c r="I269" s="3" t="s">
        <v>24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11"/>
      <c r="Q269" s="11"/>
      <c r="R269" s="4"/>
      <c r="S269" s="4"/>
      <c r="T269" s="4"/>
      <c r="U269" s="4"/>
      <c r="V269" s="5">
        <f t="shared" si="19"/>
        <v>0</v>
      </c>
      <c r="W269" s="6">
        <f t="shared" si="16"/>
        <v>0</v>
      </c>
      <c r="X269" s="6">
        <f t="shared" si="17"/>
        <v>0</v>
      </c>
      <c r="Y269" s="6">
        <f t="shared" si="18"/>
        <v>0</v>
      </c>
    </row>
    <row r="270" spans="1:25" x14ac:dyDescent="0.25">
      <c r="A270" s="2">
        <v>266</v>
      </c>
      <c r="B270" s="8" t="s">
        <v>379</v>
      </c>
      <c r="C270" s="8">
        <v>3770607</v>
      </c>
      <c r="D270" s="8">
        <v>3126624361</v>
      </c>
      <c r="E270" s="2" t="s">
        <v>378</v>
      </c>
      <c r="F270" s="2"/>
      <c r="G270" s="44">
        <v>400000</v>
      </c>
      <c r="H270" s="45"/>
      <c r="I270" s="3" t="s">
        <v>24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11"/>
      <c r="Q270" s="11"/>
      <c r="R270" s="4"/>
      <c r="S270" s="4"/>
      <c r="T270" s="4"/>
      <c r="U270" s="4"/>
      <c r="V270" s="5">
        <f t="shared" si="19"/>
        <v>1600000</v>
      </c>
      <c r="W270" s="6">
        <f t="shared" si="16"/>
        <v>4</v>
      </c>
      <c r="X270" s="6">
        <f t="shared" si="17"/>
        <v>4</v>
      </c>
      <c r="Y270" s="6">
        <f t="shared" si="18"/>
        <v>4</v>
      </c>
    </row>
    <row r="271" spans="1:25" x14ac:dyDescent="0.25">
      <c r="A271" s="2">
        <v>267</v>
      </c>
      <c r="B271" s="8" t="s">
        <v>380</v>
      </c>
      <c r="C271" s="8">
        <v>1075271930</v>
      </c>
      <c r="D271" s="8" t="s">
        <v>381</v>
      </c>
      <c r="E271" s="2" t="s">
        <v>382</v>
      </c>
      <c r="F271" s="2"/>
      <c r="G271" s="44">
        <v>400000</v>
      </c>
      <c r="H271" s="45"/>
      <c r="I271" s="3" t="s">
        <v>24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11"/>
      <c r="Q271" s="11"/>
      <c r="R271" s="4"/>
      <c r="S271" s="4"/>
      <c r="T271" s="4"/>
      <c r="U271" s="4"/>
      <c r="V271" s="5">
        <f t="shared" si="19"/>
        <v>2000000</v>
      </c>
      <c r="W271" s="6">
        <f t="shared" si="16"/>
        <v>5</v>
      </c>
      <c r="X271" s="6">
        <f t="shared" si="17"/>
        <v>5</v>
      </c>
      <c r="Y271" s="6">
        <f t="shared" si="18"/>
        <v>5</v>
      </c>
    </row>
    <row r="272" spans="1:25" x14ac:dyDescent="0.25">
      <c r="A272" s="2">
        <v>268</v>
      </c>
      <c r="B272" s="8" t="s">
        <v>383</v>
      </c>
      <c r="C272" s="8">
        <v>1093789365</v>
      </c>
      <c r="D272" s="8"/>
      <c r="E272" s="2" t="s">
        <v>41</v>
      </c>
      <c r="F272" s="2"/>
      <c r="G272" s="44">
        <v>1400000</v>
      </c>
      <c r="H272" s="45"/>
      <c r="I272" s="3" t="s">
        <v>24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11"/>
      <c r="Q272" s="11"/>
      <c r="R272" s="4"/>
      <c r="S272" s="4"/>
      <c r="T272" s="4"/>
      <c r="U272" s="4"/>
      <c r="V272" s="5">
        <f t="shared" si="19"/>
        <v>2000000</v>
      </c>
      <c r="W272" s="6">
        <f t="shared" si="16"/>
        <v>5</v>
      </c>
      <c r="X272" s="6">
        <f t="shared" si="17"/>
        <v>5</v>
      </c>
      <c r="Y272" s="6">
        <f t="shared" si="18"/>
        <v>5</v>
      </c>
    </row>
    <row r="273" spans="1:25" x14ac:dyDescent="0.25">
      <c r="A273" s="2">
        <v>269</v>
      </c>
      <c r="B273" s="8" t="s">
        <v>384</v>
      </c>
      <c r="C273" s="8">
        <v>98552933</v>
      </c>
      <c r="D273" s="8">
        <v>3184873565</v>
      </c>
      <c r="E273" s="2" t="s">
        <v>147</v>
      </c>
      <c r="F273" s="2"/>
      <c r="G273" s="44">
        <v>400000</v>
      </c>
      <c r="H273" s="45"/>
      <c r="I273" s="3" t="s">
        <v>24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11"/>
      <c r="Q273" s="11"/>
      <c r="R273" s="4"/>
      <c r="S273" s="4"/>
      <c r="T273" s="4"/>
      <c r="U273" s="4"/>
      <c r="V273" s="5">
        <f t="shared" si="19"/>
        <v>800000</v>
      </c>
      <c r="W273" s="6">
        <f t="shared" si="16"/>
        <v>2</v>
      </c>
      <c r="X273" s="6">
        <f t="shared" si="17"/>
        <v>2</v>
      </c>
      <c r="Y273" s="6">
        <f t="shared" si="18"/>
        <v>2</v>
      </c>
    </row>
    <row r="274" spans="1:25" x14ac:dyDescent="0.25">
      <c r="A274" s="2">
        <v>270</v>
      </c>
      <c r="B274" s="8" t="s">
        <v>385</v>
      </c>
      <c r="C274" s="8">
        <v>45758051</v>
      </c>
      <c r="D274" s="8"/>
      <c r="E274" s="2" t="s">
        <v>133</v>
      </c>
      <c r="F274" s="2"/>
      <c r="G274" s="44">
        <v>400000</v>
      </c>
      <c r="H274" s="45"/>
      <c r="I274" s="3" t="s">
        <v>24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1"/>
      <c r="Q274" s="11"/>
      <c r="R274" s="4"/>
      <c r="S274" s="4"/>
      <c r="T274" s="4"/>
      <c r="U274" s="4"/>
      <c r="V274" s="5">
        <f t="shared" si="19"/>
        <v>0</v>
      </c>
      <c r="W274" s="6">
        <f t="shared" si="16"/>
        <v>0</v>
      </c>
      <c r="X274" s="6">
        <f t="shared" si="17"/>
        <v>0</v>
      </c>
      <c r="Y274" s="6">
        <f t="shared" si="18"/>
        <v>0</v>
      </c>
    </row>
    <row r="275" spans="1:25" x14ac:dyDescent="0.25">
      <c r="A275" s="2">
        <v>271</v>
      </c>
      <c r="B275" s="8" t="s">
        <v>386</v>
      </c>
      <c r="C275" s="8">
        <v>1091662369</v>
      </c>
      <c r="D275" s="8">
        <v>3155529907</v>
      </c>
      <c r="E275" s="2" t="s">
        <v>66</v>
      </c>
      <c r="F275" s="2"/>
      <c r="G275" s="44">
        <v>400000</v>
      </c>
      <c r="H275" s="45"/>
      <c r="I275" s="3" t="s">
        <v>24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11"/>
      <c r="Q275" s="11"/>
      <c r="R275" s="4"/>
      <c r="S275" s="4"/>
      <c r="T275" s="4"/>
      <c r="U275" s="4"/>
      <c r="V275" s="5">
        <f t="shared" si="19"/>
        <v>0</v>
      </c>
      <c r="W275" s="6">
        <f t="shared" si="16"/>
        <v>0</v>
      </c>
      <c r="X275" s="6">
        <f t="shared" si="17"/>
        <v>0</v>
      </c>
      <c r="Y275" s="6">
        <f t="shared" si="18"/>
        <v>0</v>
      </c>
    </row>
    <row r="276" spans="1:25" x14ac:dyDescent="0.25">
      <c r="A276" s="2">
        <v>272</v>
      </c>
      <c r="B276" s="8" t="s">
        <v>387</v>
      </c>
      <c r="C276" s="8">
        <v>16071816</v>
      </c>
      <c r="D276" s="8">
        <v>3176880448</v>
      </c>
      <c r="E276" s="2" t="s">
        <v>364</v>
      </c>
      <c r="F276" s="2"/>
      <c r="G276" s="44">
        <v>80000</v>
      </c>
      <c r="H276" s="45"/>
      <c r="I276" s="3" t="s">
        <v>24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11"/>
      <c r="Q276" s="11"/>
      <c r="R276" s="4"/>
      <c r="S276" s="4"/>
      <c r="T276" s="4"/>
      <c r="U276" s="4"/>
      <c r="V276" s="5">
        <f t="shared" si="19"/>
        <v>800000</v>
      </c>
      <c r="W276" s="6">
        <f t="shared" si="16"/>
        <v>2</v>
      </c>
      <c r="X276" s="6">
        <f t="shared" si="17"/>
        <v>5</v>
      </c>
      <c r="Y276" s="6">
        <f t="shared" si="18"/>
        <v>2</v>
      </c>
    </row>
    <row r="277" spans="1:25" x14ac:dyDescent="0.25">
      <c r="A277" s="2">
        <v>273</v>
      </c>
      <c r="B277" s="8" t="s">
        <v>388</v>
      </c>
      <c r="C277" s="8">
        <v>1122403315</v>
      </c>
      <c r="D277" s="8">
        <v>3135707447</v>
      </c>
      <c r="E277" s="2" t="s">
        <v>389</v>
      </c>
      <c r="F277" s="2"/>
      <c r="G277" s="44">
        <v>400000</v>
      </c>
      <c r="H277" s="45"/>
      <c r="I277" s="3" t="s">
        <v>24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11"/>
      <c r="Q277" s="11"/>
      <c r="R277" s="4"/>
      <c r="S277" s="4"/>
      <c r="T277" s="4"/>
      <c r="U277" s="4"/>
      <c r="V277" s="5">
        <f t="shared" si="19"/>
        <v>150000</v>
      </c>
      <c r="W277" s="6">
        <f t="shared" si="16"/>
        <v>0.375</v>
      </c>
      <c r="X277" s="6">
        <f t="shared" si="17"/>
        <v>1</v>
      </c>
      <c r="Y277" s="6">
        <f t="shared" si="18"/>
        <v>1</v>
      </c>
    </row>
    <row r="278" spans="1:25" x14ac:dyDescent="0.25">
      <c r="A278" s="2">
        <v>274</v>
      </c>
      <c r="B278" s="8" t="s">
        <v>390</v>
      </c>
      <c r="C278" s="8">
        <v>1090405714</v>
      </c>
      <c r="D278" s="8"/>
      <c r="E278" s="2" t="s">
        <v>41</v>
      </c>
      <c r="F278" s="2"/>
      <c r="G278" s="44">
        <v>400000</v>
      </c>
      <c r="H278" s="45"/>
      <c r="I278" s="3" t="s">
        <v>24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11"/>
      <c r="Q278" s="11"/>
      <c r="R278" s="4"/>
      <c r="S278" s="4"/>
      <c r="T278" s="4"/>
      <c r="U278" s="4"/>
      <c r="V278" s="5">
        <f t="shared" si="19"/>
        <v>1600000</v>
      </c>
      <c r="W278" s="6">
        <f t="shared" si="16"/>
        <v>4</v>
      </c>
      <c r="X278" s="6">
        <f t="shared" si="17"/>
        <v>4</v>
      </c>
      <c r="Y278" s="6">
        <f t="shared" si="18"/>
        <v>4</v>
      </c>
    </row>
    <row r="279" spans="1:25" x14ac:dyDescent="0.25">
      <c r="A279" s="2">
        <v>275</v>
      </c>
      <c r="B279" s="8" t="s">
        <v>391</v>
      </c>
      <c r="C279" s="8">
        <v>15274598</v>
      </c>
      <c r="D279" s="8"/>
      <c r="E279" s="2" t="s">
        <v>249</v>
      </c>
      <c r="F279" s="2"/>
      <c r="G279" s="44">
        <v>400000</v>
      </c>
      <c r="H279" s="45"/>
      <c r="I279" s="3" t="s">
        <v>24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11"/>
      <c r="Q279" s="11"/>
      <c r="R279" s="4"/>
      <c r="S279" s="4"/>
      <c r="T279" s="4"/>
      <c r="U279" s="4"/>
      <c r="V279" s="5">
        <f t="shared" si="19"/>
        <v>600000</v>
      </c>
      <c r="W279" s="6">
        <f t="shared" si="16"/>
        <v>1.5</v>
      </c>
      <c r="X279" s="6">
        <f t="shared" si="17"/>
        <v>2</v>
      </c>
      <c r="Y279" s="6">
        <f t="shared" si="18"/>
        <v>2</v>
      </c>
    </row>
    <row r="280" spans="1:25" x14ac:dyDescent="0.25">
      <c r="A280" s="2">
        <v>276</v>
      </c>
      <c r="B280" s="8" t="s">
        <v>392</v>
      </c>
      <c r="C280" s="8"/>
      <c r="D280" s="8"/>
      <c r="E280" s="2" t="s">
        <v>278</v>
      </c>
      <c r="F280" s="2"/>
      <c r="G280" s="44">
        <v>400000</v>
      </c>
      <c r="H280" s="45"/>
      <c r="I280" s="3" t="s">
        <v>24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11"/>
      <c r="Q280" s="11"/>
      <c r="R280" s="4"/>
      <c r="S280" s="4"/>
      <c r="T280" s="4"/>
      <c r="U280" s="4"/>
      <c r="V280" s="5">
        <f t="shared" si="19"/>
        <v>0</v>
      </c>
      <c r="W280" s="6">
        <f t="shared" si="16"/>
        <v>0</v>
      </c>
      <c r="X280" s="6">
        <f t="shared" si="17"/>
        <v>0</v>
      </c>
      <c r="Y280" s="6">
        <f t="shared" si="18"/>
        <v>0</v>
      </c>
    </row>
    <row r="281" spans="1:25" x14ac:dyDescent="0.25">
      <c r="A281" s="2">
        <v>277</v>
      </c>
      <c r="B281" s="8" t="s">
        <v>393</v>
      </c>
      <c r="C281" s="8"/>
      <c r="D281" s="8"/>
      <c r="E281" s="2" t="s">
        <v>41</v>
      </c>
      <c r="F281" s="2"/>
      <c r="G281" s="44">
        <v>400000</v>
      </c>
      <c r="H281" s="45"/>
      <c r="I281" s="3" t="s">
        <v>24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11"/>
      <c r="Q281" s="11"/>
      <c r="R281" s="4"/>
      <c r="S281" s="4"/>
      <c r="T281" s="4"/>
      <c r="U281" s="4"/>
      <c r="V281" s="5">
        <f t="shared" si="19"/>
        <v>2000000</v>
      </c>
      <c r="W281" s="6">
        <f t="shared" si="16"/>
        <v>5</v>
      </c>
      <c r="X281" s="6">
        <f t="shared" si="17"/>
        <v>5</v>
      </c>
      <c r="Y281" s="6">
        <f t="shared" si="18"/>
        <v>5</v>
      </c>
    </row>
    <row r="282" spans="1:25" x14ac:dyDescent="0.25">
      <c r="A282" s="2">
        <v>278</v>
      </c>
      <c r="B282" s="8" t="s">
        <v>394</v>
      </c>
      <c r="C282" s="8"/>
      <c r="D282" s="8"/>
      <c r="E282" s="2" t="s">
        <v>395</v>
      </c>
      <c r="F282" s="2"/>
      <c r="G282" s="44"/>
      <c r="H282" s="45"/>
      <c r="I282" s="3" t="s">
        <v>24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11"/>
      <c r="Q282" s="11"/>
      <c r="R282" s="4"/>
      <c r="S282" s="4"/>
      <c r="T282" s="4"/>
      <c r="U282" s="4"/>
      <c r="V282" s="5">
        <f t="shared" si="19"/>
        <v>3000000</v>
      </c>
      <c r="W282" s="6">
        <f t="shared" si="16"/>
        <v>7.5</v>
      </c>
      <c r="X282" s="6">
        <f t="shared" si="17"/>
        <v>6</v>
      </c>
      <c r="Y282" s="6">
        <f t="shared" si="18"/>
        <v>8</v>
      </c>
    </row>
    <row r="283" spans="1:25" x14ac:dyDescent="0.25">
      <c r="A283" s="2">
        <v>279</v>
      </c>
      <c r="B283" s="8" t="s">
        <v>396</v>
      </c>
      <c r="C283" s="8">
        <v>42027224</v>
      </c>
      <c r="D283" s="8">
        <v>3137328174</v>
      </c>
      <c r="E283" s="2" t="s">
        <v>278</v>
      </c>
      <c r="F283" s="2"/>
      <c r="G283" s="44"/>
      <c r="H283" s="45"/>
      <c r="I283" s="3" t="s">
        <v>24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11"/>
      <c r="Q283" s="11"/>
      <c r="R283" s="4"/>
      <c r="S283" s="4"/>
      <c r="T283" s="4"/>
      <c r="U283" s="4"/>
      <c r="V283" s="5">
        <f t="shared" si="19"/>
        <v>2400000</v>
      </c>
      <c r="W283" s="6">
        <f t="shared" si="16"/>
        <v>6</v>
      </c>
      <c r="X283" s="6">
        <f t="shared" si="17"/>
        <v>6</v>
      </c>
      <c r="Y283" s="6">
        <f t="shared" si="18"/>
        <v>6</v>
      </c>
    </row>
    <row r="284" spans="1:25" x14ac:dyDescent="0.25">
      <c r="A284" s="2">
        <v>280</v>
      </c>
      <c r="B284" s="8" t="s">
        <v>397</v>
      </c>
      <c r="C284" s="8"/>
      <c r="D284" s="8"/>
      <c r="E284" s="2" t="s">
        <v>29</v>
      </c>
      <c r="F284" s="2"/>
      <c r="G284" s="44"/>
      <c r="H284" s="45"/>
      <c r="I284" s="3" t="s">
        <v>24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11"/>
      <c r="Q284" s="11"/>
      <c r="R284" s="4"/>
      <c r="S284" s="4"/>
      <c r="T284" s="4"/>
      <c r="U284" s="4"/>
      <c r="V284" s="5">
        <f t="shared" si="19"/>
        <v>200000</v>
      </c>
      <c r="W284" s="6">
        <f t="shared" si="16"/>
        <v>0.5</v>
      </c>
      <c r="X284" s="6">
        <f t="shared" si="17"/>
        <v>1</v>
      </c>
      <c r="Y284" s="6">
        <f t="shared" si="18"/>
        <v>1</v>
      </c>
    </row>
    <row r="285" spans="1:25" x14ac:dyDescent="0.25">
      <c r="A285" s="2">
        <v>281</v>
      </c>
      <c r="B285" s="8" t="s">
        <v>398</v>
      </c>
      <c r="C285" s="8"/>
      <c r="D285" s="8"/>
      <c r="E285" s="2" t="s">
        <v>29</v>
      </c>
      <c r="F285" s="2"/>
      <c r="G285" s="44"/>
      <c r="H285" s="45"/>
      <c r="I285" s="3" t="s">
        <v>24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11"/>
      <c r="Q285" s="11"/>
      <c r="R285" s="4"/>
      <c r="S285" s="4"/>
      <c r="T285" s="4"/>
      <c r="U285" s="4"/>
      <c r="V285" s="5">
        <f t="shared" si="19"/>
        <v>1200000</v>
      </c>
      <c r="W285" s="6">
        <f t="shared" si="16"/>
        <v>3</v>
      </c>
      <c r="X285" s="6">
        <f t="shared" si="17"/>
        <v>3</v>
      </c>
      <c r="Y285" s="6">
        <f t="shared" si="18"/>
        <v>3</v>
      </c>
    </row>
    <row r="286" spans="1:25" x14ac:dyDescent="0.25">
      <c r="A286" s="2">
        <v>282</v>
      </c>
      <c r="B286" s="8" t="s">
        <v>399</v>
      </c>
      <c r="C286" s="8">
        <v>1090399128</v>
      </c>
      <c r="D286" s="8"/>
      <c r="E286" s="2" t="s">
        <v>41</v>
      </c>
      <c r="F286" s="2"/>
      <c r="G286" s="44">
        <v>400000</v>
      </c>
      <c r="H286" s="45"/>
      <c r="I286" s="3" t="s">
        <v>24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11"/>
      <c r="Q286" s="11"/>
      <c r="R286" s="4"/>
      <c r="S286" s="4"/>
      <c r="T286" s="4"/>
      <c r="U286" s="4"/>
      <c r="V286" s="5">
        <f t="shared" si="19"/>
        <v>2000000</v>
      </c>
      <c r="W286" s="6">
        <f t="shared" si="16"/>
        <v>5</v>
      </c>
      <c r="X286" s="6">
        <f t="shared" si="17"/>
        <v>5</v>
      </c>
      <c r="Y286" s="6">
        <f t="shared" si="18"/>
        <v>5</v>
      </c>
    </row>
    <row r="287" spans="1:25" x14ac:dyDescent="0.25">
      <c r="A287" s="2">
        <v>283</v>
      </c>
      <c r="B287" s="8" t="s">
        <v>400</v>
      </c>
      <c r="C287" s="8">
        <v>13923806</v>
      </c>
      <c r="D287" s="8"/>
      <c r="E287" s="2" t="s">
        <v>382</v>
      </c>
      <c r="F287" s="2"/>
      <c r="G287" s="44"/>
      <c r="H287" s="45"/>
      <c r="I287" s="3" t="s">
        <v>24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11"/>
      <c r="Q287" s="11"/>
      <c r="R287" s="4"/>
      <c r="S287" s="4"/>
      <c r="T287" s="4"/>
      <c r="U287" s="4"/>
      <c r="V287" s="5">
        <f t="shared" ref="V287:V304" si="20">SUM(J287:U287)</f>
        <v>8800000</v>
      </c>
      <c r="W287" s="6">
        <f t="shared" si="16"/>
        <v>22</v>
      </c>
      <c r="X287" s="6">
        <f t="shared" si="17"/>
        <v>5</v>
      </c>
      <c r="Y287" s="6">
        <f t="shared" si="18"/>
        <v>22</v>
      </c>
    </row>
    <row r="288" spans="1:25" x14ac:dyDescent="0.25">
      <c r="A288" s="2">
        <v>284</v>
      </c>
      <c r="B288" s="8" t="s">
        <v>401</v>
      </c>
      <c r="C288" s="8">
        <v>60300203</v>
      </c>
      <c r="D288" s="8"/>
      <c r="E288" s="2" t="s">
        <v>41</v>
      </c>
      <c r="F288" s="2"/>
      <c r="G288" s="44"/>
      <c r="H288" s="45"/>
      <c r="I288" s="3" t="s">
        <v>24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11"/>
      <c r="Q288" s="11"/>
      <c r="R288" s="4"/>
      <c r="S288" s="4"/>
      <c r="T288" s="4"/>
      <c r="U288" s="4"/>
      <c r="V288" s="5">
        <f t="shared" si="20"/>
        <v>2000000</v>
      </c>
      <c r="W288" s="6">
        <f t="shared" si="16"/>
        <v>5</v>
      </c>
      <c r="X288" s="6">
        <f t="shared" si="17"/>
        <v>4</v>
      </c>
      <c r="Y288" s="6">
        <f t="shared" si="18"/>
        <v>5</v>
      </c>
    </row>
    <row r="289" spans="1:25" x14ac:dyDescent="0.25">
      <c r="A289" s="2">
        <v>285</v>
      </c>
      <c r="B289" s="8" t="s">
        <v>402</v>
      </c>
      <c r="C289" s="8"/>
      <c r="D289" s="8">
        <v>3188566515</v>
      </c>
      <c r="E289" s="2" t="s">
        <v>147</v>
      </c>
      <c r="F289" s="2"/>
      <c r="G289" s="44"/>
      <c r="H289" s="45"/>
      <c r="I289" s="3" t="s">
        <v>24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11"/>
      <c r="Q289" s="11"/>
      <c r="R289" s="4"/>
      <c r="S289" s="4"/>
      <c r="T289" s="4"/>
      <c r="U289" s="4"/>
      <c r="V289" s="5">
        <f t="shared" si="20"/>
        <v>1200000</v>
      </c>
      <c r="W289" s="6">
        <f t="shared" si="16"/>
        <v>3</v>
      </c>
      <c r="X289" s="6">
        <f t="shared" si="17"/>
        <v>3</v>
      </c>
      <c r="Y289" s="6">
        <f t="shared" si="18"/>
        <v>3</v>
      </c>
    </row>
    <row r="290" spans="1:25" x14ac:dyDescent="0.25">
      <c r="A290" s="2">
        <v>286</v>
      </c>
      <c r="B290" s="8" t="s">
        <v>403</v>
      </c>
      <c r="C290" s="8">
        <v>10667593528</v>
      </c>
      <c r="D290" s="8"/>
      <c r="E290" s="2" t="s">
        <v>29</v>
      </c>
      <c r="F290" s="2"/>
      <c r="G290" s="44"/>
      <c r="H290" s="45"/>
      <c r="I290" s="3" t="s">
        <v>24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11"/>
      <c r="Q290" s="11"/>
      <c r="R290" s="4"/>
      <c r="S290" s="4"/>
      <c r="T290" s="4"/>
      <c r="U290" s="4"/>
      <c r="V290" s="5">
        <f t="shared" si="20"/>
        <v>800000</v>
      </c>
      <c r="W290" s="6">
        <f t="shared" si="16"/>
        <v>2</v>
      </c>
      <c r="X290" s="6">
        <f t="shared" si="17"/>
        <v>2</v>
      </c>
      <c r="Y290" s="6">
        <f t="shared" si="18"/>
        <v>2</v>
      </c>
    </row>
    <row r="291" spans="1:25" x14ac:dyDescent="0.25">
      <c r="A291" s="2">
        <v>287</v>
      </c>
      <c r="B291" s="8" t="s">
        <v>404</v>
      </c>
      <c r="C291" s="8">
        <v>71630690</v>
      </c>
      <c r="D291" s="8">
        <v>3012567771</v>
      </c>
      <c r="E291" s="2" t="s">
        <v>405</v>
      </c>
      <c r="F291" s="2"/>
      <c r="G291" s="44"/>
      <c r="H291" s="45"/>
      <c r="I291" s="3" t="s">
        <v>24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11"/>
      <c r="Q291" s="11"/>
      <c r="R291" s="4"/>
      <c r="S291" s="4"/>
      <c r="T291" s="4"/>
      <c r="U291" s="4"/>
      <c r="V291" s="5">
        <f t="shared" si="20"/>
        <v>600000</v>
      </c>
      <c r="W291" s="6">
        <f t="shared" si="16"/>
        <v>1.5</v>
      </c>
      <c r="X291" s="6">
        <f t="shared" si="17"/>
        <v>3</v>
      </c>
      <c r="Y291" s="6">
        <f t="shared" si="18"/>
        <v>2</v>
      </c>
    </row>
    <row r="292" spans="1:25" x14ac:dyDescent="0.25">
      <c r="A292" s="2">
        <v>288</v>
      </c>
      <c r="B292" s="8" t="s">
        <v>406</v>
      </c>
      <c r="C292" s="8"/>
      <c r="D292" s="8" t="s">
        <v>407</v>
      </c>
      <c r="E292" s="2" t="s">
        <v>563</v>
      </c>
      <c r="F292" s="2"/>
      <c r="G292" s="44"/>
      <c r="H292" s="45" t="s">
        <v>572</v>
      </c>
      <c r="I292" s="3" t="s">
        <v>24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0</v>
      </c>
      <c r="P292" s="11"/>
      <c r="Q292" s="11"/>
      <c r="R292" s="4"/>
      <c r="S292" s="4"/>
      <c r="T292" s="4"/>
      <c r="U292" s="4"/>
      <c r="V292" s="5">
        <f t="shared" si="20"/>
        <v>1600000</v>
      </c>
      <c r="W292" s="6">
        <f t="shared" si="16"/>
        <v>4</v>
      </c>
      <c r="X292" s="6">
        <f t="shared" si="17"/>
        <v>4</v>
      </c>
      <c r="Y292" s="6">
        <f t="shared" si="18"/>
        <v>4</v>
      </c>
    </row>
    <row r="293" spans="1:25" x14ac:dyDescent="0.25">
      <c r="A293" s="2">
        <v>289</v>
      </c>
      <c r="B293" s="8" t="s">
        <v>408</v>
      </c>
      <c r="C293" s="8"/>
      <c r="D293" s="8" t="s">
        <v>409</v>
      </c>
      <c r="E293" s="2" t="s">
        <v>563</v>
      </c>
      <c r="F293" s="2"/>
      <c r="G293" s="44"/>
      <c r="H293" s="45" t="s">
        <v>572</v>
      </c>
      <c r="I293" s="3" t="s">
        <v>24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0</v>
      </c>
      <c r="P293" s="11"/>
      <c r="Q293" s="11"/>
      <c r="R293" s="4"/>
      <c r="S293" s="4"/>
      <c r="T293" s="4"/>
      <c r="U293" s="4"/>
      <c r="V293" s="5">
        <f t="shared" si="20"/>
        <v>1600000</v>
      </c>
      <c r="W293" s="6">
        <f t="shared" si="16"/>
        <v>4</v>
      </c>
      <c r="X293" s="6">
        <f t="shared" si="17"/>
        <v>4</v>
      </c>
      <c r="Y293" s="6">
        <f t="shared" si="18"/>
        <v>4</v>
      </c>
    </row>
    <row r="294" spans="1:25" x14ac:dyDescent="0.25">
      <c r="A294" s="2">
        <v>290</v>
      </c>
      <c r="B294" s="8" t="s">
        <v>410</v>
      </c>
      <c r="C294" s="8">
        <v>1090381261</v>
      </c>
      <c r="D294" s="8"/>
      <c r="E294" s="2" t="s">
        <v>41</v>
      </c>
      <c r="F294" s="2"/>
      <c r="G294" s="44"/>
      <c r="H294" s="45"/>
      <c r="I294" s="3" t="s">
        <v>24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11"/>
      <c r="Q294" s="11"/>
      <c r="R294" s="4"/>
      <c r="S294" s="4"/>
      <c r="T294" s="4"/>
      <c r="U294" s="4"/>
      <c r="V294" s="5">
        <f t="shared" si="20"/>
        <v>800000</v>
      </c>
      <c r="W294" s="6">
        <f t="shared" si="16"/>
        <v>2</v>
      </c>
      <c r="X294" s="6">
        <f t="shared" si="17"/>
        <v>2</v>
      </c>
      <c r="Y294" s="6">
        <f t="shared" si="18"/>
        <v>2</v>
      </c>
    </row>
    <row r="295" spans="1:25" x14ac:dyDescent="0.25">
      <c r="A295" s="2">
        <v>291</v>
      </c>
      <c r="B295" s="8" t="s">
        <v>411</v>
      </c>
      <c r="C295" s="8"/>
      <c r="D295" s="8"/>
      <c r="E295" s="2" t="s">
        <v>412</v>
      </c>
      <c r="F295" s="2"/>
      <c r="G295" s="44"/>
      <c r="H295" s="45"/>
      <c r="I295" s="3" t="s">
        <v>24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11"/>
      <c r="Q295" s="11"/>
      <c r="R295" s="4"/>
      <c r="S295" s="4"/>
      <c r="T295" s="4"/>
      <c r="U295" s="4"/>
      <c r="V295" s="5">
        <f t="shared" si="20"/>
        <v>22050000</v>
      </c>
      <c r="W295" s="6">
        <f t="shared" si="16"/>
        <v>55.125</v>
      </c>
      <c r="X295" s="6">
        <f t="shared" si="17"/>
        <v>2</v>
      </c>
      <c r="Y295" s="6">
        <f t="shared" si="18"/>
        <v>56</v>
      </c>
    </row>
    <row r="296" spans="1:25" x14ac:dyDescent="0.25">
      <c r="A296" s="2">
        <v>292</v>
      </c>
      <c r="B296" s="8" t="s">
        <v>413</v>
      </c>
      <c r="C296" s="8">
        <v>26331372</v>
      </c>
      <c r="D296" s="8">
        <v>3216248917</v>
      </c>
      <c r="E296" s="2" t="s">
        <v>414</v>
      </c>
      <c r="F296" s="2"/>
      <c r="G296" s="44"/>
      <c r="H296" s="45"/>
      <c r="I296" s="3" t="s">
        <v>24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1"/>
      <c r="Q296" s="11"/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x14ac:dyDescent="0.25">
      <c r="A297" s="2">
        <v>293</v>
      </c>
      <c r="B297" s="8" t="s">
        <v>415</v>
      </c>
      <c r="C297" s="8">
        <v>50995836</v>
      </c>
      <c r="D297" s="8">
        <v>3106115579</v>
      </c>
      <c r="E297" s="2" t="s">
        <v>414</v>
      </c>
      <c r="F297" s="2"/>
      <c r="G297" s="44"/>
      <c r="H297" s="45"/>
      <c r="I297" s="3" t="s">
        <v>24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1"/>
      <c r="Q297" s="11"/>
      <c r="R297" s="4"/>
      <c r="S297" s="4"/>
      <c r="T297" s="4"/>
      <c r="U297" s="4"/>
      <c r="V297" s="5">
        <f t="shared" si="20"/>
        <v>400000</v>
      </c>
      <c r="W297" s="6">
        <f t="shared" si="16"/>
        <v>1</v>
      </c>
      <c r="X297" s="6">
        <f t="shared" si="17"/>
        <v>1</v>
      </c>
      <c r="Y297" s="6">
        <f t="shared" si="18"/>
        <v>1</v>
      </c>
    </row>
    <row r="298" spans="1:25" x14ac:dyDescent="0.25">
      <c r="A298" s="2">
        <v>294</v>
      </c>
      <c r="B298" s="8" t="s">
        <v>416</v>
      </c>
      <c r="C298" s="8"/>
      <c r="D298" s="8"/>
      <c r="E298" s="2" t="s">
        <v>29</v>
      </c>
      <c r="F298" s="2"/>
      <c r="G298" s="44"/>
      <c r="H298" s="45"/>
      <c r="I298" s="3" t="s">
        <v>24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11"/>
      <c r="Q298" s="11"/>
      <c r="R298" s="4"/>
      <c r="S298" s="4"/>
      <c r="T298" s="4"/>
      <c r="U298" s="4"/>
      <c r="V298" s="5">
        <f t="shared" si="20"/>
        <v>4800000</v>
      </c>
      <c r="W298" s="6">
        <f t="shared" si="16"/>
        <v>12</v>
      </c>
      <c r="X298" s="6">
        <f t="shared" si="17"/>
        <v>1</v>
      </c>
      <c r="Y298" s="6">
        <f t="shared" si="18"/>
        <v>12</v>
      </c>
    </row>
    <row r="299" spans="1:25" x14ac:dyDescent="0.25">
      <c r="A299" s="2">
        <v>295</v>
      </c>
      <c r="B299" s="8" t="s">
        <v>417</v>
      </c>
      <c r="C299" s="8"/>
      <c r="D299" s="8"/>
      <c r="E299" s="2" t="s">
        <v>360</v>
      </c>
      <c r="F299" s="2"/>
      <c r="G299" s="44"/>
      <c r="H299" s="45"/>
      <c r="I299" s="3" t="s">
        <v>24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11"/>
      <c r="Q299" s="11"/>
      <c r="R299" s="4"/>
      <c r="S299" s="4"/>
      <c r="T299" s="4"/>
      <c r="U299" s="4"/>
      <c r="V299" s="5">
        <f t="shared" si="20"/>
        <v>1300000</v>
      </c>
      <c r="W299" s="6">
        <f t="shared" si="16"/>
        <v>3.25</v>
      </c>
      <c r="X299" s="6">
        <f t="shared" si="17"/>
        <v>3</v>
      </c>
      <c r="Y299" s="6">
        <f t="shared" si="18"/>
        <v>4</v>
      </c>
    </row>
    <row r="300" spans="1:25" x14ac:dyDescent="0.25">
      <c r="A300" s="2">
        <v>296</v>
      </c>
      <c r="B300" s="8" t="s">
        <v>418</v>
      </c>
      <c r="C300" s="8"/>
      <c r="D300" s="8"/>
      <c r="E300" s="2" t="s">
        <v>29</v>
      </c>
      <c r="F300" s="2"/>
      <c r="G300" s="44"/>
      <c r="H300" s="45"/>
      <c r="I300" s="3" t="s">
        <v>24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11"/>
      <c r="Q300" s="11"/>
      <c r="R300" s="4"/>
      <c r="S300" s="4"/>
      <c r="T300" s="4"/>
      <c r="U300" s="4"/>
      <c r="V300" s="5">
        <f t="shared" si="20"/>
        <v>2000000</v>
      </c>
      <c r="W300" s="6">
        <f t="shared" si="16"/>
        <v>5</v>
      </c>
      <c r="X300" s="6">
        <f t="shared" si="17"/>
        <v>4</v>
      </c>
      <c r="Y300" s="6">
        <f t="shared" si="18"/>
        <v>5</v>
      </c>
    </row>
    <row r="301" spans="1:25" x14ac:dyDescent="0.25">
      <c r="A301" s="2">
        <v>297</v>
      </c>
      <c r="B301" s="8" t="s">
        <v>258</v>
      </c>
      <c r="C301" s="8"/>
      <c r="D301" s="8"/>
      <c r="E301" s="2" t="s">
        <v>419</v>
      </c>
      <c r="F301" s="2"/>
      <c r="G301" s="44"/>
      <c r="H301" s="45"/>
      <c r="I301" s="3" t="s">
        <v>24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11"/>
      <c r="Q301" s="11"/>
      <c r="R301" s="4"/>
      <c r="S301" s="4"/>
      <c r="T301" s="4"/>
      <c r="U301" s="4"/>
      <c r="V301" s="5">
        <f t="shared" si="20"/>
        <v>2800000</v>
      </c>
      <c r="W301" s="6">
        <f t="shared" si="16"/>
        <v>7</v>
      </c>
      <c r="X301" s="6">
        <f t="shared" si="17"/>
        <v>2</v>
      </c>
      <c r="Y301" s="6">
        <f t="shared" si="18"/>
        <v>7</v>
      </c>
    </row>
    <row r="302" spans="1:25" x14ac:dyDescent="0.25">
      <c r="A302" s="2">
        <v>298</v>
      </c>
      <c r="B302" s="8" t="s">
        <v>420</v>
      </c>
      <c r="C302" s="8">
        <v>32555373</v>
      </c>
      <c r="D302" s="8"/>
      <c r="E302" s="2" t="s">
        <v>249</v>
      </c>
      <c r="F302" s="2"/>
      <c r="G302" s="44"/>
      <c r="H302" s="45"/>
      <c r="I302" s="3" t="s">
        <v>24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11"/>
      <c r="Q302" s="11"/>
      <c r="R302" s="4"/>
      <c r="S302" s="4"/>
      <c r="T302" s="4"/>
      <c r="U302" s="4"/>
      <c r="V302" s="5">
        <f t="shared" si="20"/>
        <v>120000</v>
      </c>
      <c r="W302" s="6">
        <f t="shared" si="16"/>
        <v>0.3</v>
      </c>
      <c r="X302" s="6">
        <f t="shared" si="17"/>
        <v>4</v>
      </c>
      <c r="Y302" s="6">
        <f t="shared" si="18"/>
        <v>1</v>
      </c>
    </row>
    <row r="303" spans="1:25" x14ac:dyDescent="0.25">
      <c r="A303" s="2">
        <v>299</v>
      </c>
      <c r="B303" s="8" t="s">
        <v>421</v>
      </c>
      <c r="C303" s="8">
        <v>1143849172</v>
      </c>
      <c r="D303" s="8">
        <v>3182304776</v>
      </c>
      <c r="E303" s="2" t="s">
        <v>289</v>
      </c>
      <c r="F303" s="2"/>
      <c r="G303" s="44"/>
      <c r="H303" s="45"/>
      <c r="I303" s="3" t="s">
        <v>24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11"/>
      <c r="Q303" s="11"/>
      <c r="R303" s="4"/>
      <c r="S303" s="4"/>
      <c r="T303" s="4"/>
      <c r="U303" s="4"/>
      <c r="V303" s="5">
        <f t="shared" si="20"/>
        <v>1200000</v>
      </c>
      <c r="W303" s="6">
        <f t="shared" si="16"/>
        <v>3</v>
      </c>
      <c r="X303" s="6">
        <f t="shared" si="17"/>
        <v>3</v>
      </c>
      <c r="Y303" s="6">
        <f t="shared" si="18"/>
        <v>3</v>
      </c>
    </row>
    <row r="304" spans="1:25" x14ac:dyDescent="0.25">
      <c r="A304" s="2">
        <v>300</v>
      </c>
      <c r="B304" s="8" t="s">
        <v>422</v>
      </c>
      <c r="C304" s="8">
        <v>1003932454</v>
      </c>
      <c r="D304" s="8">
        <v>3146181227</v>
      </c>
      <c r="E304" s="2" t="s">
        <v>29</v>
      </c>
      <c r="F304" s="2"/>
      <c r="G304" s="44"/>
      <c r="H304" s="45"/>
      <c r="I304" s="3" t="s">
        <v>24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11"/>
      <c r="Q304" s="11"/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301</v>
      </c>
      <c r="B305" s="8" t="s">
        <v>423</v>
      </c>
      <c r="C305" s="8">
        <v>1006365217</v>
      </c>
      <c r="D305" s="8"/>
      <c r="E305" s="2" t="s">
        <v>473</v>
      </c>
      <c r="F305" s="2"/>
      <c r="G305" s="44"/>
      <c r="H305" s="45"/>
      <c r="I305" s="3" t="s">
        <v>24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11"/>
      <c r="Q305" s="11"/>
      <c r="R305" s="4"/>
      <c r="S305" s="4"/>
      <c r="T305" s="4"/>
      <c r="U305" s="4"/>
      <c r="V305" s="5">
        <f t="shared" si="19"/>
        <v>400000</v>
      </c>
      <c r="W305" s="6">
        <f t="shared" si="16"/>
        <v>1</v>
      </c>
      <c r="X305" s="6">
        <f t="shared" si="17"/>
        <v>1</v>
      </c>
      <c r="Y305" s="6">
        <f t="shared" si="18"/>
        <v>1</v>
      </c>
    </row>
    <row r="306" spans="1:25" x14ac:dyDescent="0.25">
      <c r="A306" s="2">
        <v>302</v>
      </c>
      <c r="B306" s="8" t="s">
        <v>424</v>
      </c>
      <c r="C306" s="8">
        <v>1017157887</v>
      </c>
      <c r="D306" s="8">
        <v>3205977157</v>
      </c>
      <c r="E306" s="2" t="s">
        <v>69</v>
      </c>
      <c r="F306" s="2"/>
      <c r="G306" s="44"/>
      <c r="H306" s="45"/>
      <c r="I306" s="3" t="s">
        <v>24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11"/>
      <c r="Q306" s="11"/>
      <c r="R306" s="4"/>
      <c r="S306" s="4"/>
      <c r="T306" s="4"/>
      <c r="U306" s="4"/>
      <c r="V306" s="5">
        <f t="shared" si="19"/>
        <v>1200000</v>
      </c>
      <c r="W306" s="6">
        <f t="shared" si="16"/>
        <v>3</v>
      </c>
      <c r="X306" s="6">
        <f t="shared" si="17"/>
        <v>3</v>
      </c>
      <c r="Y306" s="6">
        <f t="shared" si="18"/>
        <v>3</v>
      </c>
    </row>
    <row r="307" spans="1:25" x14ac:dyDescent="0.25">
      <c r="A307" s="2">
        <v>303</v>
      </c>
      <c r="B307" s="8" t="s">
        <v>425</v>
      </c>
      <c r="C307" s="8">
        <v>43679785</v>
      </c>
      <c r="D307" s="8">
        <v>3146218974</v>
      </c>
      <c r="E307" s="2" t="s">
        <v>147</v>
      </c>
      <c r="F307" s="2"/>
      <c r="G307" s="44"/>
      <c r="H307" s="45"/>
      <c r="I307" s="3" t="s">
        <v>24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11"/>
      <c r="Q307" s="11"/>
      <c r="R307" s="4"/>
      <c r="S307" s="4"/>
      <c r="T307" s="4"/>
      <c r="U307" s="4"/>
      <c r="V307" s="5">
        <f t="shared" si="19"/>
        <v>2000000</v>
      </c>
      <c r="W307" s="6">
        <f t="shared" si="16"/>
        <v>5</v>
      </c>
      <c r="X307" s="6">
        <f t="shared" si="17"/>
        <v>4</v>
      </c>
      <c r="Y307" s="6">
        <f t="shared" si="18"/>
        <v>5</v>
      </c>
    </row>
    <row r="308" spans="1:25" x14ac:dyDescent="0.25">
      <c r="A308" s="2">
        <v>304</v>
      </c>
      <c r="B308" s="8" t="s">
        <v>426</v>
      </c>
      <c r="C308" s="8">
        <v>11811323</v>
      </c>
      <c r="D308" s="8">
        <v>3202786408</v>
      </c>
      <c r="E308" s="2" t="s">
        <v>427</v>
      </c>
      <c r="F308" s="2"/>
      <c r="G308" s="44"/>
      <c r="H308" s="45"/>
      <c r="I308" s="3" t="s">
        <v>24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11"/>
      <c r="Q308" s="11"/>
      <c r="R308" s="4"/>
      <c r="S308" s="4"/>
      <c r="T308" s="4"/>
      <c r="U308" s="4"/>
      <c r="V308" s="5">
        <f t="shared" si="19"/>
        <v>1200000</v>
      </c>
      <c r="W308" s="6">
        <f t="shared" si="16"/>
        <v>3</v>
      </c>
      <c r="X308" s="6">
        <f t="shared" si="17"/>
        <v>4</v>
      </c>
      <c r="Y308" s="6">
        <f t="shared" si="18"/>
        <v>3</v>
      </c>
    </row>
    <row r="309" spans="1:25" x14ac:dyDescent="0.25">
      <c r="A309" s="2">
        <v>305</v>
      </c>
      <c r="B309" s="8" t="s">
        <v>428</v>
      </c>
      <c r="C309" s="8"/>
      <c r="D309" s="8"/>
      <c r="E309" s="2" t="s">
        <v>59</v>
      </c>
      <c r="F309" s="2"/>
      <c r="G309" s="44"/>
      <c r="H309" s="45"/>
      <c r="I309" s="3" t="s">
        <v>24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11"/>
      <c r="Q309" s="11"/>
      <c r="R309" s="4"/>
      <c r="S309" s="4"/>
      <c r="T309" s="4"/>
      <c r="U309" s="4"/>
      <c r="V309" s="5">
        <f t="shared" si="19"/>
        <v>3720000</v>
      </c>
      <c r="W309" s="6">
        <f t="shared" si="16"/>
        <v>9.3000000000000007</v>
      </c>
      <c r="X309" s="6">
        <f t="shared" si="17"/>
        <v>5</v>
      </c>
      <c r="Y309" s="6">
        <f t="shared" si="18"/>
        <v>10</v>
      </c>
    </row>
    <row r="310" spans="1:25" x14ac:dyDescent="0.25">
      <c r="A310" s="2">
        <v>306</v>
      </c>
      <c r="B310" s="8" t="s">
        <v>429</v>
      </c>
      <c r="C310" s="8"/>
      <c r="D310" s="8" t="s">
        <v>430</v>
      </c>
      <c r="E310" s="2" t="s">
        <v>431</v>
      </c>
      <c r="F310" s="2"/>
      <c r="G310" s="44"/>
      <c r="H310" s="45" t="s">
        <v>572</v>
      </c>
      <c r="I310" s="3" t="s">
        <v>24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0</v>
      </c>
      <c r="P310" s="11"/>
      <c r="Q310" s="11"/>
      <c r="R310" s="4"/>
      <c r="S310" s="4"/>
      <c r="T310" s="4"/>
      <c r="U310" s="4"/>
      <c r="V310" s="5">
        <f t="shared" si="19"/>
        <v>1200000</v>
      </c>
      <c r="W310" s="6">
        <f t="shared" si="16"/>
        <v>3</v>
      </c>
      <c r="X310" s="6">
        <f t="shared" si="17"/>
        <v>3</v>
      </c>
      <c r="Y310" s="6">
        <f t="shared" si="18"/>
        <v>3</v>
      </c>
    </row>
    <row r="311" spans="1:25" x14ac:dyDescent="0.25">
      <c r="A311" s="2">
        <v>307</v>
      </c>
      <c r="B311" s="8" t="s">
        <v>432</v>
      </c>
      <c r="C311" s="8"/>
      <c r="D311" s="8" t="s">
        <v>433</v>
      </c>
      <c r="E311" s="2" t="s">
        <v>431</v>
      </c>
      <c r="F311" s="2"/>
      <c r="G311" s="44"/>
      <c r="H311" s="45" t="s">
        <v>572</v>
      </c>
      <c r="I311" s="3" t="s">
        <v>24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0</v>
      </c>
      <c r="P311" s="11"/>
      <c r="Q311" s="11"/>
      <c r="R311" s="4"/>
      <c r="S311" s="4"/>
      <c r="T311" s="4"/>
      <c r="U311" s="4"/>
      <c r="V311" s="5">
        <f t="shared" si="19"/>
        <v>1200000</v>
      </c>
      <c r="W311" s="6">
        <f t="shared" si="16"/>
        <v>3</v>
      </c>
      <c r="X311" s="6">
        <f t="shared" si="17"/>
        <v>3</v>
      </c>
      <c r="Y311" s="6">
        <f t="shared" si="18"/>
        <v>3</v>
      </c>
    </row>
    <row r="312" spans="1:25" x14ac:dyDescent="0.25">
      <c r="A312" s="2">
        <v>308</v>
      </c>
      <c r="B312" s="8" t="s">
        <v>434</v>
      </c>
      <c r="C312" s="8"/>
      <c r="D312" s="8"/>
      <c r="E312" s="2" t="s">
        <v>160</v>
      </c>
      <c r="F312" s="2"/>
      <c r="G312" s="44"/>
      <c r="H312" s="45"/>
      <c r="I312" s="3" t="s">
        <v>24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11"/>
      <c r="Q312" s="11"/>
      <c r="R312" s="4"/>
      <c r="S312" s="4"/>
      <c r="T312" s="4"/>
      <c r="U312" s="4"/>
      <c r="V312" s="5">
        <f t="shared" si="19"/>
        <v>100000</v>
      </c>
      <c r="W312" s="6">
        <f t="shared" si="16"/>
        <v>0.25</v>
      </c>
      <c r="X312" s="6">
        <f t="shared" si="17"/>
        <v>1</v>
      </c>
      <c r="Y312" s="6">
        <f t="shared" si="18"/>
        <v>1</v>
      </c>
    </row>
    <row r="313" spans="1:25" x14ac:dyDescent="0.25">
      <c r="A313" s="2">
        <v>309</v>
      </c>
      <c r="B313" s="8" t="s">
        <v>435</v>
      </c>
      <c r="C313" s="8"/>
      <c r="D313" s="8"/>
      <c r="E313" s="2" t="s">
        <v>29</v>
      </c>
      <c r="F313" s="2"/>
      <c r="G313" s="44"/>
      <c r="H313" s="45"/>
      <c r="I313" s="3" t="s">
        <v>24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11"/>
      <c r="Q313" s="11"/>
      <c r="R313" s="4"/>
      <c r="S313" s="4"/>
      <c r="T313" s="4"/>
      <c r="U313" s="4"/>
      <c r="V313" s="5">
        <f t="shared" si="19"/>
        <v>4800000</v>
      </c>
      <c r="W313" s="6">
        <f t="shared" si="16"/>
        <v>12</v>
      </c>
      <c r="X313" s="6">
        <f t="shared" si="17"/>
        <v>1</v>
      </c>
      <c r="Y313" s="6">
        <f t="shared" si="18"/>
        <v>12</v>
      </c>
    </row>
    <row r="314" spans="1:25" x14ac:dyDescent="0.25">
      <c r="A314" s="2">
        <v>310</v>
      </c>
      <c r="B314" s="8" t="s">
        <v>436</v>
      </c>
      <c r="C314" s="8"/>
      <c r="D314" s="8"/>
      <c r="E314" s="2" t="s">
        <v>41</v>
      </c>
      <c r="F314" s="2"/>
      <c r="G314" s="44"/>
      <c r="H314" s="45"/>
      <c r="I314" s="3" t="s">
        <v>24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11"/>
      <c r="Q314" s="11"/>
      <c r="R314" s="4"/>
      <c r="S314" s="4"/>
      <c r="T314" s="4"/>
      <c r="U314" s="4"/>
      <c r="V314" s="5">
        <f t="shared" si="19"/>
        <v>1200000</v>
      </c>
      <c r="W314" s="6">
        <f t="shared" si="16"/>
        <v>3</v>
      </c>
      <c r="X314" s="6">
        <f t="shared" si="17"/>
        <v>3</v>
      </c>
      <c r="Y314" s="6">
        <f t="shared" si="18"/>
        <v>3</v>
      </c>
    </row>
    <row r="315" spans="1:25" x14ac:dyDescent="0.25">
      <c r="A315" s="2">
        <v>311</v>
      </c>
      <c r="B315" s="8" t="s">
        <v>437</v>
      </c>
      <c r="C315" s="8"/>
      <c r="D315" s="8"/>
      <c r="E315" s="2" t="s">
        <v>56</v>
      </c>
      <c r="F315" s="2"/>
      <c r="G315" s="44"/>
      <c r="H315" s="45"/>
      <c r="I315" s="3" t="s">
        <v>24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1"/>
      <c r="Q315" s="11"/>
      <c r="R315" s="4"/>
      <c r="S315" s="4"/>
      <c r="T315" s="4"/>
      <c r="U315" s="4"/>
      <c r="V315" s="5">
        <f t="shared" si="19"/>
        <v>400000</v>
      </c>
      <c r="W315" s="6">
        <f t="shared" si="16"/>
        <v>1</v>
      </c>
      <c r="X315" s="6">
        <f t="shared" si="17"/>
        <v>1</v>
      </c>
      <c r="Y315" s="6">
        <f t="shared" si="18"/>
        <v>1</v>
      </c>
    </row>
    <row r="316" spans="1:25" x14ac:dyDescent="0.25">
      <c r="A316" s="2">
        <v>312</v>
      </c>
      <c r="B316" s="8" t="s">
        <v>438</v>
      </c>
      <c r="C316" s="8">
        <v>1092730946</v>
      </c>
      <c r="D316" s="8">
        <v>3112956743</v>
      </c>
      <c r="E316" s="2" t="s">
        <v>66</v>
      </c>
      <c r="F316" s="2"/>
      <c r="G316" s="44"/>
      <c r="H316" s="45"/>
      <c r="I316" s="3" t="s">
        <v>24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11"/>
      <c r="Q316" s="11"/>
      <c r="R316" s="4"/>
      <c r="S316" s="4"/>
      <c r="T316" s="4"/>
      <c r="U316" s="4"/>
      <c r="V316" s="5">
        <f t="shared" si="19"/>
        <v>400000</v>
      </c>
      <c r="W316" s="6">
        <f t="shared" si="16"/>
        <v>1</v>
      </c>
      <c r="X316" s="6">
        <f t="shared" si="17"/>
        <v>1</v>
      </c>
      <c r="Y316" s="6">
        <f t="shared" si="18"/>
        <v>1</v>
      </c>
    </row>
    <row r="317" spans="1:25" x14ac:dyDescent="0.25">
      <c r="A317" s="2">
        <v>313</v>
      </c>
      <c r="B317" s="8" t="s">
        <v>439</v>
      </c>
      <c r="C317" s="8"/>
      <c r="D317" s="8"/>
      <c r="E317" s="2" t="s">
        <v>147</v>
      </c>
      <c r="F317" s="2"/>
      <c r="G317" s="44"/>
      <c r="H317" s="45"/>
      <c r="I317" s="3" t="s">
        <v>24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1"/>
      <c r="Q317" s="11"/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x14ac:dyDescent="0.25">
      <c r="A318" s="2">
        <v>314</v>
      </c>
      <c r="B318" s="8" t="s">
        <v>440</v>
      </c>
      <c r="C318" s="8"/>
      <c r="D318" s="8"/>
      <c r="E318" s="2" t="s">
        <v>147</v>
      </c>
      <c r="F318" s="2"/>
      <c r="G318" s="44"/>
      <c r="H318" s="45"/>
      <c r="I318" s="3" t="s">
        <v>24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1"/>
      <c r="Q318" s="11"/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x14ac:dyDescent="0.25">
      <c r="A319" s="2">
        <v>315</v>
      </c>
      <c r="B319" s="8" t="s">
        <v>441</v>
      </c>
      <c r="C319" s="8"/>
      <c r="D319" s="8"/>
      <c r="E319" s="2" t="s">
        <v>147</v>
      </c>
      <c r="F319" s="2"/>
      <c r="G319" s="44"/>
      <c r="H319" s="45"/>
      <c r="I319" s="3" t="s">
        <v>24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11"/>
      <c r="Q319" s="11"/>
      <c r="R319" s="4"/>
      <c r="S319" s="4"/>
      <c r="T319" s="4"/>
      <c r="U319" s="4"/>
      <c r="V319" s="5">
        <f t="shared" si="19"/>
        <v>100000</v>
      </c>
      <c r="W319" s="6">
        <f t="shared" si="16"/>
        <v>0.25</v>
      </c>
      <c r="X319" s="6">
        <f t="shared" si="17"/>
        <v>1</v>
      </c>
      <c r="Y319" s="6">
        <f t="shared" si="18"/>
        <v>1</v>
      </c>
    </row>
    <row r="320" spans="1:25" x14ac:dyDescent="0.25">
      <c r="A320" s="2">
        <v>316</v>
      </c>
      <c r="B320" s="8" t="s">
        <v>442</v>
      </c>
      <c r="C320" s="8">
        <v>1036943880</v>
      </c>
      <c r="D320" s="8">
        <v>3218969540</v>
      </c>
      <c r="E320" s="2" t="s">
        <v>364</v>
      </c>
      <c r="F320" s="2"/>
      <c r="G320" s="44"/>
      <c r="H320" s="45"/>
      <c r="I320" s="3" t="s">
        <v>24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11"/>
      <c r="Q320" s="11"/>
      <c r="R320" s="4"/>
      <c r="S320" s="4"/>
      <c r="T320" s="4"/>
      <c r="U320" s="4"/>
      <c r="V320" s="5">
        <f t="shared" si="19"/>
        <v>800000</v>
      </c>
      <c r="W320" s="6">
        <f t="shared" si="16"/>
        <v>2</v>
      </c>
      <c r="X320" s="6">
        <f t="shared" si="17"/>
        <v>2</v>
      </c>
      <c r="Y320" s="6">
        <f t="shared" si="18"/>
        <v>2</v>
      </c>
    </row>
    <row r="321" spans="1:25" x14ac:dyDescent="0.25">
      <c r="A321" s="2">
        <v>317</v>
      </c>
      <c r="B321" s="8" t="s">
        <v>443</v>
      </c>
      <c r="C321" s="8"/>
      <c r="D321" s="8"/>
      <c r="E321" s="2" t="s">
        <v>72</v>
      </c>
      <c r="F321" s="2"/>
      <c r="G321" s="44"/>
      <c r="H321" s="45"/>
      <c r="I321" s="3" t="s">
        <v>24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11"/>
      <c r="Q321" s="11"/>
      <c r="R321" s="4"/>
      <c r="S321" s="4"/>
      <c r="T321" s="4"/>
      <c r="U321" s="4"/>
      <c r="V321" s="5">
        <f t="shared" si="19"/>
        <v>1600000</v>
      </c>
      <c r="W321" s="6">
        <f t="shared" si="16"/>
        <v>4</v>
      </c>
      <c r="X321" s="6">
        <f t="shared" si="17"/>
        <v>2</v>
      </c>
      <c r="Y321" s="6">
        <f t="shared" si="18"/>
        <v>4</v>
      </c>
    </row>
    <row r="322" spans="1:25" x14ac:dyDescent="0.25">
      <c r="A322" s="2">
        <v>318</v>
      </c>
      <c r="B322" s="8" t="s">
        <v>444</v>
      </c>
      <c r="C322" s="8">
        <v>1075304981</v>
      </c>
      <c r="D322" s="8"/>
      <c r="E322" s="2" t="s">
        <v>382</v>
      </c>
      <c r="F322" s="2"/>
      <c r="G322" s="44"/>
      <c r="H322" s="45"/>
      <c r="I322" s="3" t="s">
        <v>24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11"/>
      <c r="Q322" s="11"/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x14ac:dyDescent="0.25">
      <c r="A323" s="2">
        <v>319</v>
      </c>
      <c r="B323" s="8" t="s">
        <v>445</v>
      </c>
      <c r="C323" s="8"/>
      <c r="D323" s="8"/>
      <c r="E323" s="2" t="s">
        <v>29</v>
      </c>
      <c r="F323" s="2"/>
      <c r="G323" s="44"/>
      <c r="H323" s="45"/>
      <c r="I323" s="3" t="s">
        <v>24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11"/>
      <c r="Q323" s="11"/>
      <c r="R323" s="4"/>
      <c r="S323" s="4"/>
      <c r="T323" s="4"/>
      <c r="U323" s="4"/>
      <c r="V323" s="5">
        <f t="shared" si="19"/>
        <v>800000</v>
      </c>
      <c r="W323" s="6">
        <f t="shared" si="16"/>
        <v>2</v>
      </c>
      <c r="X323" s="6">
        <f t="shared" si="17"/>
        <v>2</v>
      </c>
      <c r="Y323" s="6">
        <f t="shared" si="18"/>
        <v>2</v>
      </c>
    </row>
    <row r="324" spans="1:25" x14ac:dyDescent="0.25">
      <c r="A324" s="2">
        <v>320</v>
      </c>
      <c r="B324" s="8" t="s">
        <v>446</v>
      </c>
      <c r="C324" s="8"/>
      <c r="D324" s="8"/>
      <c r="E324" s="2" t="s">
        <v>447</v>
      </c>
      <c r="F324" s="2"/>
      <c r="G324" s="44"/>
      <c r="H324" s="45"/>
      <c r="I324" s="3" t="s">
        <v>24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11"/>
      <c r="Q324" s="11"/>
      <c r="R324" s="4"/>
      <c r="S324" s="4"/>
      <c r="T324" s="4"/>
      <c r="U324" s="4"/>
      <c r="V324" s="5">
        <f t="shared" si="19"/>
        <v>600000</v>
      </c>
      <c r="W324" s="6">
        <f t="shared" si="16"/>
        <v>1.5</v>
      </c>
      <c r="X324" s="6">
        <f t="shared" si="17"/>
        <v>1</v>
      </c>
      <c r="Y324" s="6">
        <f t="shared" si="18"/>
        <v>2</v>
      </c>
    </row>
    <row r="325" spans="1:25" x14ac:dyDescent="0.25">
      <c r="A325" s="2">
        <v>321</v>
      </c>
      <c r="B325" s="8" t="s">
        <v>448</v>
      </c>
      <c r="C325" s="8"/>
      <c r="D325" s="8"/>
      <c r="E325" s="2" t="s">
        <v>287</v>
      </c>
      <c r="F325" s="2"/>
      <c r="G325" s="44"/>
      <c r="H325" s="45"/>
      <c r="I325" s="3" t="s">
        <v>24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11"/>
      <c r="Q325" s="11"/>
      <c r="R325" s="4"/>
      <c r="S325" s="4"/>
      <c r="T325" s="4"/>
      <c r="U325" s="4"/>
      <c r="V325" s="5">
        <f t="shared" si="19"/>
        <v>400000</v>
      </c>
      <c r="W325" s="6">
        <f t="shared" ref="W325:W370" si="21">V325/400000</f>
        <v>1</v>
      </c>
      <c r="X325" s="6">
        <f t="shared" ref="X325:X370" si="22">COUNTIF(J325:U325,"&gt;0")</f>
        <v>1</v>
      </c>
      <c r="Y325" s="6">
        <f t="shared" ref="Y325:Y370" si="23">ROUNDUP(W325,0)</f>
        <v>1</v>
      </c>
    </row>
    <row r="326" spans="1:25" x14ac:dyDescent="0.25">
      <c r="A326" s="2">
        <v>322</v>
      </c>
      <c r="B326" s="8" t="s">
        <v>449</v>
      </c>
      <c r="C326" s="8">
        <v>43868812</v>
      </c>
      <c r="D326" s="8">
        <v>3148927758</v>
      </c>
      <c r="E326" s="2" t="s">
        <v>147</v>
      </c>
      <c r="F326" s="2"/>
      <c r="G326" s="44"/>
      <c r="H326" s="45"/>
      <c r="I326" s="3" t="s">
        <v>24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11"/>
      <c r="Q326" s="11"/>
      <c r="R326" s="4"/>
      <c r="S326" s="4"/>
      <c r="T326" s="4"/>
      <c r="U326" s="4"/>
      <c r="V326" s="5">
        <f t="shared" ref="V326:V370" si="24">SUM(J326:U326)</f>
        <v>1200000</v>
      </c>
      <c r="W326" s="6">
        <f t="shared" si="21"/>
        <v>3</v>
      </c>
      <c r="X326" s="6">
        <f t="shared" si="22"/>
        <v>3</v>
      </c>
      <c r="Y326" s="6">
        <f t="shared" si="23"/>
        <v>3</v>
      </c>
    </row>
    <row r="327" spans="1:25" x14ac:dyDescent="0.25">
      <c r="A327" s="2">
        <v>323</v>
      </c>
      <c r="B327" s="8" t="s">
        <v>450</v>
      </c>
      <c r="C327" s="8">
        <v>19308428</v>
      </c>
      <c r="D327" s="8">
        <v>3113742824</v>
      </c>
      <c r="E327" s="2" t="s">
        <v>278</v>
      </c>
      <c r="F327" s="2"/>
      <c r="G327" s="44"/>
      <c r="H327" s="45"/>
      <c r="I327" s="3" t="s">
        <v>24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11"/>
      <c r="Q327" s="11"/>
      <c r="R327" s="4"/>
      <c r="S327" s="4"/>
      <c r="T327" s="4"/>
      <c r="U327" s="4"/>
      <c r="V327" s="5">
        <f t="shared" si="24"/>
        <v>1200000</v>
      </c>
      <c r="W327" s="6">
        <f t="shared" si="21"/>
        <v>3</v>
      </c>
      <c r="X327" s="6">
        <f t="shared" si="22"/>
        <v>3</v>
      </c>
      <c r="Y327" s="6">
        <f t="shared" si="23"/>
        <v>3</v>
      </c>
    </row>
    <row r="328" spans="1:25" x14ac:dyDescent="0.25">
      <c r="A328" s="2">
        <v>324</v>
      </c>
      <c r="B328" s="8" t="s">
        <v>451</v>
      </c>
      <c r="C328" s="8">
        <v>32491394</v>
      </c>
      <c r="D328" s="8">
        <v>3147816504</v>
      </c>
      <c r="E328" s="2" t="s">
        <v>147</v>
      </c>
      <c r="F328" s="2"/>
      <c r="G328" s="44"/>
      <c r="H328" s="45"/>
      <c r="I328" s="3" t="s">
        <v>24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11"/>
      <c r="Q328" s="11"/>
      <c r="R328" s="4"/>
      <c r="S328" s="4"/>
      <c r="T328" s="4"/>
      <c r="U328" s="4"/>
      <c r="V328" s="5">
        <f t="shared" si="24"/>
        <v>400000</v>
      </c>
      <c r="W328" s="6">
        <f t="shared" si="21"/>
        <v>1</v>
      </c>
      <c r="X328" s="6">
        <f t="shared" si="22"/>
        <v>1</v>
      </c>
      <c r="Y328" s="6">
        <f t="shared" si="23"/>
        <v>1</v>
      </c>
    </row>
    <row r="329" spans="1:25" x14ac:dyDescent="0.25">
      <c r="A329" s="2">
        <v>325</v>
      </c>
      <c r="B329" s="8" t="s">
        <v>452</v>
      </c>
      <c r="C329" s="8">
        <v>72268623</v>
      </c>
      <c r="D329" s="8"/>
      <c r="E329" s="2" t="s">
        <v>554</v>
      </c>
      <c r="F329" s="2"/>
      <c r="G329" s="44"/>
      <c r="H329" s="45"/>
      <c r="I329" s="3" t="s">
        <v>24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1"/>
      <c r="Q329" s="11"/>
      <c r="R329" s="4"/>
      <c r="S329" s="4"/>
      <c r="T329" s="4"/>
      <c r="U329" s="4"/>
      <c r="V329" s="5">
        <f t="shared" si="24"/>
        <v>800000</v>
      </c>
      <c r="W329" s="6">
        <f t="shared" si="21"/>
        <v>2</v>
      </c>
      <c r="X329" s="6">
        <f t="shared" si="22"/>
        <v>2</v>
      </c>
      <c r="Y329" s="6">
        <f t="shared" si="23"/>
        <v>2</v>
      </c>
    </row>
    <row r="330" spans="1:25" x14ac:dyDescent="0.25">
      <c r="A330" s="2">
        <v>326</v>
      </c>
      <c r="B330" s="8" t="s">
        <v>453</v>
      </c>
      <c r="C330" s="8">
        <v>72309365</v>
      </c>
      <c r="D330" s="8"/>
      <c r="E330" s="2" t="s">
        <v>554</v>
      </c>
      <c r="F330" s="2"/>
      <c r="G330" s="44"/>
      <c r="H330" s="45"/>
      <c r="I330" s="3" t="s">
        <v>24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11"/>
      <c r="Q330" s="11"/>
      <c r="R330" s="4"/>
      <c r="S330" s="4"/>
      <c r="T330" s="4"/>
      <c r="U330" s="4"/>
      <c r="V330" s="5">
        <f t="shared" si="24"/>
        <v>800000</v>
      </c>
      <c r="W330" s="6">
        <f t="shared" si="21"/>
        <v>2</v>
      </c>
      <c r="X330" s="6">
        <f t="shared" si="22"/>
        <v>2</v>
      </c>
      <c r="Y330" s="6">
        <f t="shared" si="23"/>
        <v>2</v>
      </c>
    </row>
    <row r="331" spans="1:25" x14ac:dyDescent="0.25">
      <c r="A331" s="2">
        <v>327</v>
      </c>
      <c r="B331" s="8" t="s">
        <v>454</v>
      </c>
      <c r="C331" s="8">
        <v>32686445</v>
      </c>
      <c r="D331" s="8"/>
      <c r="E331" s="2" t="s">
        <v>554</v>
      </c>
      <c r="F331" s="2"/>
      <c r="G331" s="44"/>
      <c r="H331" s="45"/>
      <c r="I331" s="3" t="s">
        <v>24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11"/>
      <c r="Q331" s="11"/>
      <c r="R331" s="4"/>
      <c r="S331" s="4"/>
      <c r="T331" s="4"/>
      <c r="U331" s="4"/>
      <c r="V331" s="5">
        <f t="shared" si="24"/>
        <v>200000</v>
      </c>
      <c r="W331" s="6">
        <f t="shared" si="21"/>
        <v>0.5</v>
      </c>
      <c r="X331" s="6">
        <f t="shared" si="22"/>
        <v>2</v>
      </c>
      <c r="Y331" s="6">
        <f t="shared" si="23"/>
        <v>1</v>
      </c>
    </row>
    <row r="332" spans="1:25" x14ac:dyDescent="0.25">
      <c r="A332" s="2">
        <v>328</v>
      </c>
      <c r="B332" s="8" t="s">
        <v>455</v>
      </c>
      <c r="C332" s="8">
        <v>72309256</v>
      </c>
      <c r="D332" s="8"/>
      <c r="E332" s="2" t="s">
        <v>554</v>
      </c>
      <c r="F332" s="2"/>
      <c r="G332" s="44"/>
      <c r="H332" s="45"/>
      <c r="I332" s="3" t="s">
        <v>24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11"/>
      <c r="Q332" s="11"/>
      <c r="R332" s="4"/>
      <c r="S332" s="4"/>
      <c r="T332" s="4"/>
      <c r="U332" s="4"/>
      <c r="V332" s="5">
        <f t="shared" si="24"/>
        <v>60000</v>
      </c>
      <c r="W332" s="6">
        <f t="shared" si="21"/>
        <v>0.15</v>
      </c>
      <c r="X332" s="6">
        <f t="shared" si="22"/>
        <v>1</v>
      </c>
      <c r="Y332" s="6">
        <f t="shared" si="23"/>
        <v>1</v>
      </c>
    </row>
    <row r="333" spans="1:25" x14ac:dyDescent="0.25">
      <c r="A333" s="2">
        <v>329</v>
      </c>
      <c r="B333" s="8" t="s">
        <v>456</v>
      </c>
      <c r="C333" s="8">
        <v>1044427553</v>
      </c>
      <c r="D333" s="8"/>
      <c r="E333" s="2" t="s">
        <v>554</v>
      </c>
      <c r="F333" s="2"/>
      <c r="G333" s="44"/>
      <c r="H333" s="45"/>
      <c r="I333" s="3" t="s">
        <v>24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11"/>
      <c r="Q333" s="11"/>
      <c r="R333" s="4"/>
      <c r="S333" s="4"/>
      <c r="T333" s="4"/>
      <c r="U333" s="4"/>
      <c r="V333" s="5">
        <f t="shared" si="24"/>
        <v>165000</v>
      </c>
      <c r="W333" s="6">
        <f t="shared" si="21"/>
        <v>0.41249999999999998</v>
      </c>
      <c r="X333" s="6">
        <f t="shared" si="22"/>
        <v>2</v>
      </c>
      <c r="Y333" s="6">
        <f t="shared" si="23"/>
        <v>1</v>
      </c>
    </row>
    <row r="334" spans="1:25" x14ac:dyDescent="0.25">
      <c r="A334" s="2">
        <v>330</v>
      </c>
      <c r="B334" s="8" t="s">
        <v>457</v>
      </c>
      <c r="C334" s="8">
        <v>26030830</v>
      </c>
      <c r="D334" s="8">
        <v>4148690455</v>
      </c>
      <c r="E334" s="2" t="s">
        <v>29</v>
      </c>
      <c r="F334" s="2"/>
      <c r="G334" s="44"/>
      <c r="H334" s="45"/>
      <c r="I334" s="3" t="s">
        <v>24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11"/>
      <c r="Q334" s="11"/>
      <c r="R334" s="4"/>
      <c r="S334" s="4"/>
      <c r="T334" s="4"/>
      <c r="U334" s="4"/>
      <c r="V334" s="5">
        <f t="shared" si="24"/>
        <v>400000</v>
      </c>
      <c r="W334" s="6">
        <f t="shared" si="21"/>
        <v>1</v>
      </c>
      <c r="X334" s="6">
        <f t="shared" si="22"/>
        <v>1</v>
      </c>
      <c r="Y334" s="6">
        <f t="shared" si="23"/>
        <v>1</v>
      </c>
    </row>
    <row r="335" spans="1:25" x14ac:dyDescent="0.25">
      <c r="A335" s="2">
        <v>331</v>
      </c>
      <c r="B335" s="8" t="s">
        <v>458</v>
      </c>
      <c r="C335" s="8">
        <v>88269622</v>
      </c>
      <c r="D335" s="8">
        <v>3135768027</v>
      </c>
      <c r="E335" s="2"/>
      <c r="F335" s="2"/>
      <c r="G335" s="44"/>
      <c r="H335" s="45"/>
      <c r="I335" s="3" t="s">
        <v>24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0</v>
      </c>
      <c r="P335" s="11"/>
      <c r="Q335" s="11"/>
      <c r="R335" s="4"/>
      <c r="S335" s="4"/>
      <c r="T335" s="4"/>
      <c r="U335" s="4"/>
      <c r="V335" s="5">
        <f t="shared" si="24"/>
        <v>800000</v>
      </c>
      <c r="W335" s="6">
        <f t="shared" si="21"/>
        <v>2</v>
      </c>
      <c r="X335" s="6">
        <f t="shared" si="22"/>
        <v>2</v>
      </c>
      <c r="Y335" s="6">
        <f t="shared" si="23"/>
        <v>2</v>
      </c>
    </row>
    <row r="336" spans="1:25" x14ac:dyDescent="0.25">
      <c r="A336" s="2">
        <v>332</v>
      </c>
      <c r="B336" s="8" t="s">
        <v>459</v>
      </c>
      <c r="C336" s="8"/>
      <c r="D336" s="8"/>
      <c r="E336" s="2" t="s">
        <v>460</v>
      </c>
      <c r="F336" s="2"/>
      <c r="G336" s="44"/>
      <c r="H336" s="45"/>
      <c r="I336" s="3" t="s">
        <v>24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11"/>
      <c r="Q336" s="11"/>
      <c r="R336" s="4"/>
      <c r="S336" s="4"/>
      <c r="T336" s="4"/>
      <c r="U336" s="4"/>
      <c r="V336" s="5">
        <f t="shared" si="24"/>
        <v>150000</v>
      </c>
      <c r="W336" s="6">
        <f t="shared" si="21"/>
        <v>0.375</v>
      </c>
      <c r="X336" s="6">
        <f t="shared" si="22"/>
        <v>1</v>
      </c>
      <c r="Y336" s="6">
        <f t="shared" si="23"/>
        <v>1</v>
      </c>
    </row>
    <row r="337" spans="1:25" x14ac:dyDescent="0.25">
      <c r="A337" s="2">
        <v>333</v>
      </c>
      <c r="B337" s="8" t="s">
        <v>461</v>
      </c>
      <c r="C337" s="8">
        <v>27705490</v>
      </c>
      <c r="D337" s="8">
        <v>3133240741</v>
      </c>
      <c r="E337" s="2" t="s">
        <v>66</v>
      </c>
      <c r="F337" s="2"/>
      <c r="G337" s="44"/>
      <c r="H337" s="45"/>
      <c r="I337" s="3" t="s">
        <v>24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11"/>
      <c r="Q337" s="11"/>
      <c r="R337" s="4"/>
      <c r="S337" s="4"/>
      <c r="T337" s="4"/>
      <c r="U337" s="4"/>
      <c r="V337" s="5">
        <f t="shared" si="24"/>
        <v>800000</v>
      </c>
      <c r="W337" s="6">
        <f t="shared" si="21"/>
        <v>2</v>
      </c>
      <c r="X337" s="6">
        <f t="shared" si="22"/>
        <v>1</v>
      </c>
      <c r="Y337" s="6">
        <f t="shared" si="23"/>
        <v>2</v>
      </c>
    </row>
    <row r="338" spans="1:25" x14ac:dyDescent="0.25">
      <c r="A338" s="2">
        <v>334</v>
      </c>
      <c r="B338" s="8" t="s">
        <v>462</v>
      </c>
      <c r="C338" s="8">
        <v>72193575</v>
      </c>
      <c r="D338" s="8"/>
      <c r="E338" s="2" t="s">
        <v>289</v>
      </c>
      <c r="F338" s="2"/>
      <c r="G338" s="44"/>
      <c r="H338" s="45"/>
      <c r="I338" s="3" t="s">
        <v>24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1"/>
      <c r="Q338" s="11"/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x14ac:dyDescent="0.25">
      <c r="A339" s="2">
        <v>335</v>
      </c>
      <c r="B339" s="8" t="s">
        <v>463</v>
      </c>
      <c r="C339" s="8">
        <v>1144057934</v>
      </c>
      <c r="D339" s="8">
        <v>3106434849</v>
      </c>
      <c r="E339" s="2" t="s">
        <v>29</v>
      </c>
      <c r="F339" s="2"/>
      <c r="G339" s="44"/>
      <c r="H339" s="45"/>
      <c r="I339" s="3" t="s">
        <v>24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11"/>
      <c r="Q339" s="11"/>
      <c r="R339" s="4"/>
      <c r="S339" s="4"/>
      <c r="T339" s="4"/>
      <c r="U339" s="4"/>
      <c r="V339" s="5">
        <f t="shared" si="24"/>
        <v>800000</v>
      </c>
      <c r="W339" s="6">
        <f t="shared" si="21"/>
        <v>2</v>
      </c>
      <c r="X339" s="6">
        <f t="shared" si="22"/>
        <v>2</v>
      </c>
      <c r="Y339" s="6">
        <f t="shared" si="23"/>
        <v>2</v>
      </c>
    </row>
    <row r="340" spans="1:25" x14ac:dyDescent="0.25">
      <c r="A340" s="2">
        <v>336</v>
      </c>
      <c r="B340" s="8" t="s">
        <v>464</v>
      </c>
      <c r="C340" s="8">
        <v>16784811</v>
      </c>
      <c r="D340" s="8">
        <v>3232388033</v>
      </c>
      <c r="E340" s="2" t="s">
        <v>465</v>
      </c>
      <c r="F340" s="2"/>
      <c r="G340" s="44"/>
      <c r="H340" s="45"/>
      <c r="I340" s="3" t="s">
        <v>24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0</v>
      </c>
      <c r="P340" s="11"/>
      <c r="Q340" s="11"/>
      <c r="R340" s="4"/>
      <c r="S340" s="4"/>
      <c r="T340" s="4"/>
      <c r="U340" s="4"/>
      <c r="V340" s="5">
        <f t="shared" si="24"/>
        <v>800000</v>
      </c>
      <c r="W340" s="6">
        <f t="shared" si="21"/>
        <v>2</v>
      </c>
      <c r="X340" s="6">
        <f t="shared" si="22"/>
        <v>2</v>
      </c>
      <c r="Y340" s="6">
        <f t="shared" si="23"/>
        <v>2</v>
      </c>
    </row>
    <row r="341" spans="1:25" x14ac:dyDescent="0.25">
      <c r="A341" s="2">
        <v>337</v>
      </c>
      <c r="B341" s="8" t="s">
        <v>466</v>
      </c>
      <c r="C341" s="8">
        <v>34500768</v>
      </c>
      <c r="D341" s="8">
        <v>3136589048</v>
      </c>
      <c r="E341" s="2" t="s">
        <v>467</v>
      </c>
      <c r="F341" s="2"/>
      <c r="G341" s="44"/>
      <c r="H341" s="45"/>
      <c r="I341" s="3" t="s">
        <v>24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11"/>
      <c r="Q341" s="11"/>
      <c r="R341" s="4"/>
      <c r="S341" s="4"/>
      <c r="T341" s="4"/>
      <c r="U341" s="4"/>
      <c r="V341" s="5">
        <f t="shared" si="24"/>
        <v>100000</v>
      </c>
      <c r="W341" s="6">
        <f t="shared" si="21"/>
        <v>0.25</v>
      </c>
      <c r="X341" s="6">
        <f t="shared" si="22"/>
        <v>1</v>
      </c>
      <c r="Y341" s="6">
        <f t="shared" si="23"/>
        <v>1</v>
      </c>
    </row>
    <row r="342" spans="1:25" x14ac:dyDescent="0.25">
      <c r="A342" s="2">
        <v>338</v>
      </c>
      <c r="B342" s="8" t="s">
        <v>468</v>
      </c>
      <c r="C342" s="8">
        <v>22579381</v>
      </c>
      <c r="D342" s="8">
        <v>3006140088</v>
      </c>
      <c r="E342" s="2" t="s">
        <v>554</v>
      </c>
      <c r="F342" s="2"/>
      <c r="G342" s="44"/>
      <c r="H342" s="45"/>
      <c r="I342" s="3" t="s">
        <v>24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1"/>
      <c r="Q342" s="11"/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x14ac:dyDescent="0.25">
      <c r="A343" s="2">
        <v>339</v>
      </c>
      <c r="B343" s="8" t="s">
        <v>469</v>
      </c>
      <c r="C343" s="8"/>
      <c r="D343" s="8"/>
      <c r="E343" s="2"/>
      <c r="F343" s="2"/>
      <c r="G343" s="44"/>
      <c r="H343" s="45"/>
      <c r="I343" s="3" t="s">
        <v>24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11"/>
      <c r="Q343" s="11"/>
      <c r="R343" s="4"/>
      <c r="S343" s="4"/>
      <c r="T343" s="4"/>
      <c r="U343" s="4"/>
      <c r="V343" s="5">
        <f t="shared" si="24"/>
        <v>400000</v>
      </c>
      <c r="W343" s="6">
        <f t="shared" si="21"/>
        <v>1</v>
      </c>
      <c r="X343" s="6">
        <f t="shared" si="22"/>
        <v>1</v>
      </c>
      <c r="Y343" s="6">
        <f t="shared" si="23"/>
        <v>1</v>
      </c>
    </row>
    <row r="344" spans="1:25" x14ac:dyDescent="0.25">
      <c r="A344" s="2">
        <v>340</v>
      </c>
      <c r="B344" s="8" t="s">
        <v>470</v>
      </c>
      <c r="C344" s="8"/>
      <c r="D344" s="8"/>
      <c r="E344" s="2" t="s">
        <v>72</v>
      </c>
      <c r="F344" s="2"/>
      <c r="G344" s="44"/>
      <c r="H344" s="45"/>
      <c r="I344" s="3" t="s">
        <v>24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0</v>
      </c>
      <c r="P344" s="11"/>
      <c r="Q344" s="11"/>
      <c r="R344" s="4"/>
      <c r="S344" s="4"/>
      <c r="T344" s="4"/>
      <c r="U344" s="4"/>
      <c r="V344" s="5">
        <f t="shared" si="24"/>
        <v>400000</v>
      </c>
      <c r="W344" s="6">
        <f t="shared" si="21"/>
        <v>1</v>
      </c>
      <c r="X344" s="6">
        <f t="shared" si="22"/>
        <v>2</v>
      </c>
      <c r="Y344" s="6">
        <f t="shared" si="23"/>
        <v>1</v>
      </c>
    </row>
    <row r="345" spans="1:25" x14ac:dyDescent="0.25">
      <c r="A345" s="2">
        <v>341</v>
      </c>
      <c r="B345" s="8" t="s">
        <v>471</v>
      </c>
      <c r="C345" s="8">
        <v>10017038</v>
      </c>
      <c r="D345" s="8">
        <v>3154427396</v>
      </c>
      <c r="E345" s="2" t="s">
        <v>278</v>
      </c>
      <c r="F345" s="2"/>
      <c r="G345" s="44"/>
      <c r="H345" s="45"/>
      <c r="I345" s="3" t="s">
        <v>24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11"/>
      <c r="Q345" s="11"/>
      <c r="R345" s="4"/>
      <c r="S345" s="4"/>
      <c r="T345" s="4"/>
      <c r="U345" s="4"/>
      <c r="V345" s="5">
        <f t="shared" si="24"/>
        <v>800000</v>
      </c>
      <c r="W345" s="6">
        <f t="shared" si="21"/>
        <v>2</v>
      </c>
      <c r="X345" s="6">
        <f t="shared" si="22"/>
        <v>1</v>
      </c>
      <c r="Y345" s="6">
        <f t="shared" si="23"/>
        <v>2</v>
      </c>
    </row>
    <row r="346" spans="1:25" x14ac:dyDescent="0.25">
      <c r="A346" s="2">
        <v>342</v>
      </c>
      <c r="B346" s="8" t="s">
        <v>472</v>
      </c>
      <c r="C346" s="8">
        <v>13873577</v>
      </c>
      <c r="D346" s="8">
        <v>3184381905</v>
      </c>
      <c r="E346" s="2" t="s">
        <v>473</v>
      </c>
      <c r="F346" s="2"/>
      <c r="G346" s="44"/>
      <c r="H346" s="45"/>
      <c r="I346" s="3" t="s">
        <v>24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11"/>
      <c r="Q346" s="11"/>
      <c r="R346" s="4"/>
      <c r="S346" s="4"/>
      <c r="T346" s="4"/>
      <c r="U346" s="4"/>
      <c r="V346" s="5">
        <f t="shared" si="24"/>
        <v>800000</v>
      </c>
      <c r="W346" s="6">
        <f t="shared" si="21"/>
        <v>2</v>
      </c>
      <c r="X346" s="6">
        <f t="shared" si="22"/>
        <v>2</v>
      </c>
      <c r="Y346" s="6">
        <f t="shared" si="23"/>
        <v>2</v>
      </c>
    </row>
    <row r="347" spans="1:25" x14ac:dyDescent="0.25">
      <c r="A347" s="2">
        <v>343</v>
      </c>
      <c r="B347" s="8" t="s">
        <v>474</v>
      </c>
      <c r="C347" s="8">
        <v>13520281</v>
      </c>
      <c r="D347" s="8"/>
      <c r="E347" s="2" t="s">
        <v>382</v>
      </c>
      <c r="F347" s="2"/>
      <c r="G347" s="44"/>
      <c r="H347" s="45"/>
      <c r="I347" s="3" t="s">
        <v>24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11"/>
      <c r="Q347" s="11"/>
      <c r="R347" s="4"/>
      <c r="S347" s="4"/>
      <c r="T347" s="4"/>
      <c r="U347" s="4"/>
      <c r="V347" s="5">
        <f t="shared" si="24"/>
        <v>2000000</v>
      </c>
      <c r="W347" s="6">
        <f t="shared" si="21"/>
        <v>5</v>
      </c>
      <c r="X347" s="6">
        <f t="shared" si="22"/>
        <v>2</v>
      </c>
      <c r="Y347" s="6">
        <f t="shared" si="23"/>
        <v>5</v>
      </c>
    </row>
    <row r="348" spans="1:25" x14ac:dyDescent="0.25">
      <c r="A348" s="2">
        <v>344</v>
      </c>
      <c r="B348" s="8" t="s">
        <v>475</v>
      </c>
      <c r="C348" s="8">
        <v>1010132168</v>
      </c>
      <c r="D348" s="8">
        <v>3162491954</v>
      </c>
      <c r="E348" s="2" t="s">
        <v>301</v>
      </c>
      <c r="F348" s="2"/>
      <c r="G348" s="44"/>
      <c r="H348" s="45"/>
      <c r="I348" s="3" t="s">
        <v>24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11"/>
      <c r="Q348" s="11"/>
      <c r="R348" s="4"/>
      <c r="S348" s="4"/>
      <c r="T348" s="4"/>
      <c r="U348" s="4"/>
      <c r="V348" s="5">
        <f t="shared" si="24"/>
        <v>400000</v>
      </c>
      <c r="W348" s="6">
        <f t="shared" si="21"/>
        <v>1</v>
      </c>
      <c r="X348" s="6">
        <f t="shared" si="22"/>
        <v>1</v>
      </c>
      <c r="Y348" s="6">
        <f t="shared" si="23"/>
        <v>1</v>
      </c>
    </row>
    <row r="349" spans="1:25" x14ac:dyDescent="0.25">
      <c r="A349" s="2">
        <v>345</v>
      </c>
      <c r="B349" s="8" t="s">
        <v>476</v>
      </c>
      <c r="C349" s="8"/>
      <c r="D349" s="8"/>
      <c r="E349" s="2" t="s">
        <v>395</v>
      </c>
      <c r="F349" s="2"/>
      <c r="G349" s="44"/>
      <c r="H349" s="45"/>
      <c r="I349" s="3" t="s">
        <v>24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11"/>
      <c r="Q349" s="11"/>
      <c r="R349" s="4"/>
      <c r="S349" s="4"/>
      <c r="T349" s="4"/>
      <c r="U349" s="4"/>
      <c r="V349" s="5">
        <f t="shared" si="24"/>
        <v>1200000</v>
      </c>
      <c r="W349" s="6">
        <f t="shared" si="21"/>
        <v>3</v>
      </c>
      <c r="X349" s="6">
        <f t="shared" si="22"/>
        <v>2</v>
      </c>
      <c r="Y349" s="6">
        <f t="shared" si="23"/>
        <v>3</v>
      </c>
    </row>
    <row r="350" spans="1:25" x14ac:dyDescent="0.25">
      <c r="A350" s="2">
        <v>348</v>
      </c>
      <c r="B350" s="8" t="s">
        <v>477</v>
      </c>
      <c r="C350" s="8"/>
      <c r="D350" s="8"/>
      <c r="E350" s="2" t="s">
        <v>556</v>
      </c>
      <c r="F350" s="2"/>
      <c r="G350" s="44"/>
      <c r="H350" s="45"/>
      <c r="I350" s="3" t="s">
        <v>24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11"/>
      <c r="Q350" s="11"/>
      <c r="R350" s="4"/>
      <c r="S350" s="4"/>
      <c r="T350" s="4"/>
      <c r="U350" s="4"/>
      <c r="V350" s="5">
        <f t="shared" si="24"/>
        <v>800000</v>
      </c>
      <c r="W350" s="6">
        <f t="shared" si="21"/>
        <v>2</v>
      </c>
      <c r="X350" s="6">
        <f t="shared" si="22"/>
        <v>1</v>
      </c>
      <c r="Y350" s="6">
        <f t="shared" si="23"/>
        <v>2</v>
      </c>
    </row>
    <row r="351" spans="1:25" x14ac:dyDescent="0.25">
      <c r="A351" s="2">
        <v>349</v>
      </c>
      <c r="B351" s="8" t="s">
        <v>478</v>
      </c>
      <c r="C351" s="8">
        <v>7685262</v>
      </c>
      <c r="D351" s="8"/>
      <c r="E351" s="2" t="s">
        <v>382</v>
      </c>
      <c r="F351" s="2"/>
      <c r="G351" s="44"/>
      <c r="H351" s="45"/>
      <c r="I351" s="3" t="s">
        <v>24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1"/>
      <c r="Q351" s="11"/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x14ac:dyDescent="0.25">
      <c r="A352" s="2">
        <v>350</v>
      </c>
      <c r="B352" s="8" t="s">
        <v>564</v>
      </c>
      <c r="C352" s="8"/>
      <c r="D352" s="8"/>
      <c r="E352" s="2" t="s">
        <v>41</v>
      </c>
      <c r="F352" s="2"/>
      <c r="G352" s="44"/>
      <c r="H352" s="45"/>
      <c r="I352" s="3" t="s">
        <v>24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11"/>
      <c r="Q352" s="11"/>
      <c r="R352" s="4"/>
      <c r="S352" s="4"/>
      <c r="T352" s="4"/>
      <c r="U352" s="4"/>
      <c r="V352" s="5">
        <f t="shared" si="24"/>
        <v>400000</v>
      </c>
      <c r="W352" s="6">
        <f t="shared" si="21"/>
        <v>1</v>
      </c>
      <c r="X352" s="6">
        <f t="shared" si="22"/>
        <v>1</v>
      </c>
      <c r="Y352" s="6">
        <f t="shared" si="23"/>
        <v>1</v>
      </c>
    </row>
    <row r="353" spans="1:25" x14ac:dyDescent="0.25">
      <c r="A353" s="2">
        <v>351</v>
      </c>
      <c r="B353" s="8" t="s">
        <v>565</v>
      </c>
      <c r="C353" s="8"/>
      <c r="D353" s="8"/>
      <c r="E353" s="2" t="s">
        <v>566</v>
      </c>
      <c r="F353" s="2"/>
      <c r="G353" s="44"/>
      <c r="H353" s="45"/>
      <c r="I353" s="3" t="s">
        <v>24</v>
      </c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300000</v>
      </c>
      <c r="P353" s="11"/>
      <c r="Q353" s="11"/>
      <c r="R353" s="4"/>
      <c r="S353" s="4"/>
      <c r="T353" s="4"/>
      <c r="U353" s="4"/>
      <c r="V353" s="5">
        <f t="shared" si="24"/>
        <v>300000</v>
      </c>
      <c r="W353" s="6">
        <f t="shared" si="21"/>
        <v>0.75</v>
      </c>
      <c r="X353" s="6">
        <f t="shared" si="22"/>
        <v>1</v>
      </c>
      <c r="Y353" s="6">
        <f t="shared" si="23"/>
        <v>1</v>
      </c>
    </row>
    <row r="354" spans="1:25" x14ac:dyDescent="0.25">
      <c r="A354" s="2">
        <v>352</v>
      </c>
      <c r="B354" s="8" t="s">
        <v>567</v>
      </c>
      <c r="C354" s="8"/>
      <c r="D354" s="8"/>
      <c r="E354" s="2"/>
      <c r="F354" s="2"/>
      <c r="G354" s="44"/>
      <c r="H354" s="45"/>
      <c r="I354" s="3" t="s">
        <v>24</v>
      </c>
      <c r="J354" s="4">
        <v>0</v>
      </c>
      <c r="K354" s="4">
        <v>0</v>
      </c>
      <c r="L354" s="4">
        <v>0</v>
      </c>
      <c r="M354" s="4">
        <v>0</v>
      </c>
      <c r="N354" s="4">
        <v>18359000</v>
      </c>
      <c r="O354" s="4">
        <v>0</v>
      </c>
      <c r="P354" s="11"/>
      <c r="Q354" s="11"/>
      <c r="R354" s="4"/>
      <c r="S354" s="4"/>
      <c r="T354" s="4"/>
      <c r="U354" s="4"/>
      <c r="V354" s="5">
        <f t="shared" si="24"/>
        <v>18359000</v>
      </c>
      <c r="W354" s="6">
        <f t="shared" si="21"/>
        <v>45.897500000000001</v>
      </c>
      <c r="X354" s="6">
        <f t="shared" si="22"/>
        <v>1</v>
      </c>
      <c r="Y354" s="6">
        <f t="shared" si="23"/>
        <v>46</v>
      </c>
    </row>
    <row r="355" spans="1:25" x14ac:dyDescent="0.25">
      <c r="A355" s="2">
        <v>353</v>
      </c>
      <c r="B355" s="8" t="s">
        <v>567</v>
      </c>
      <c r="C355" s="8"/>
      <c r="D355" s="8"/>
      <c r="E355" s="2"/>
      <c r="F355" s="2"/>
      <c r="G355" s="44"/>
      <c r="H355" s="45"/>
      <c r="I355" s="3" t="s">
        <v>24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11"/>
      <c r="Q355" s="11"/>
      <c r="R355" s="4"/>
      <c r="S355" s="4"/>
      <c r="T355" s="4"/>
      <c r="U355" s="4"/>
      <c r="V355" s="5">
        <f t="shared" si="24"/>
        <v>8860000</v>
      </c>
      <c r="W355" s="6">
        <f t="shared" si="21"/>
        <v>22.15</v>
      </c>
      <c r="X355" s="6">
        <f t="shared" si="22"/>
        <v>1</v>
      </c>
      <c r="Y355" s="6">
        <f t="shared" si="23"/>
        <v>23</v>
      </c>
    </row>
    <row r="356" spans="1:25" x14ac:dyDescent="0.25">
      <c r="A356" s="2">
        <v>354</v>
      </c>
      <c r="B356" s="8"/>
      <c r="C356" s="8"/>
      <c r="D356" s="8"/>
      <c r="E356" s="2"/>
      <c r="F356" s="2"/>
      <c r="G356" s="44"/>
      <c r="H356" s="45"/>
      <c r="I356" s="3" t="s">
        <v>24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0</v>
      </c>
      <c r="P356" s="11"/>
      <c r="Q356" s="11"/>
      <c r="R356" s="4"/>
      <c r="S356" s="4"/>
      <c r="T356" s="4"/>
      <c r="U356" s="4"/>
      <c r="V356" s="5">
        <f t="shared" si="24"/>
        <v>0</v>
      </c>
      <c r="W356" s="6">
        <f t="shared" si="21"/>
        <v>0</v>
      </c>
      <c r="X356" s="6">
        <f t="shared" si="22"/>
        <v>0</v>
      </c>
      <c r="Y356" s="6">
        <f t="shared" si="23"/>
        <v>0</v>
      </c>
    </row>
    <row r="357" spans="1:25" x14ac:dyDescent="0.25">
      <c r="A357" s="2">
        <v>355</v>
      </c>
      <c r="B357" s="8"/>
      <c r="C357" s="8"/>
      <c r="D357" s="8"/>
      <c r="E357" s="2"/>
      <c r="F357" s="2"/>
      <c r="G357" s="44"/>
      <c r="H357" s="45"/>
      <c r="I357" s="3" t="s">
        <v>24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0</v>
      </c>
      <c r="P357" s="11"/>
      <c r="Q357" s="11"/>
      <c r="R357" s="4"/>
      <c r="S357" s="4"/>
      <c r="T357" s="4"/>
      <c r="U357" s="4"/>
      <c r="V357" s="5">
        <f t="shared" si="24"/>
        <v>0</v>
      </c>
      <c r="W357" s="6">
        <f t="shared" si="21"/>
        <v>0</v>
      </c>
      <c r="X357" s="6">
        <f t="shared" si="22"/>
        <v>0</v>
      </c>
      <c r="Y357" s="6">
        <f t="shared" si="23"/>
        <v>0</v>
      </c>
    </row>
    <row r="358" spans="1:25" x14ac:dyDescent="0.25">
      <c r="A358" s="2">
        <v>356</v>
      </c>
      <c r="B358" s="8"/>
      <c r="C358" s="8"/>
      <c r="D358" s="8"/>
      <c r="E358" s="2"/>
      <c r="F358" s="2"/>
      <c r="G358" s="44"/>
      <c r="H358" s="45"/>
      <c r="I358" s="3" t="s">
        <v>24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1"/>
      <c r="Q358" s="11"/>
      <c r="R358" s="4"/>
      <c r="S358" s="4"/>
      <c r="T358" s="4"/>
      <c r="U358" s="4"/>
      <c r="V358" s="5">
        <f t="shared" si="24"/>
        <v>0</v>
      </c>
      <c r="W358" s="6">
        <f t="shared" si="21"/>
        <v>0</v>
      </c>
      <c r="X358" s="6">
        <f t="shared" si="22"/>
        <v>0</v>
      </c>
      <c r="Y358" s="6">
        <f t="shared" si="23"/>
        <v>0</v>
      </c>
    </row>
    <row r="359" spans="1:25" x14ac:dyDescent="0.25">
      <c r="A359" s="2">
        <v>357</v>
      </c>
      <c r="B359" s="8"/>
      <c r="C359" s="8"/>
      <c r="D359" s="8"/>
      <c r="E359" s="2"/>
      <c r="F359" s="2"/>
      <c r="G359" s="44"/>
      <c r="H359" s="45"/>
      <c r="I359" s="3" t="s">
        <v>24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1"/>
      <c r="Q359" s="11"/>
      <c r="R359" s="4"/>
      <c r="S359" s="4"/>
      <c r="T359" s="4"/>
      <c r="U359" s="4"/>
      <c r="V359" s="5">
        <f t="shared" si="24"/>
        <v>0</v>
      </c>
      <c r="W359" s="6">
        <f t="shared" si="21"/>
        <v>0</v>
      </c>
      <c r="X359" s="6">
        <f t="shared" si="22"/>
        <v>0</v>
      </c>
      <c r="Y359" s="6">
        <f t="shared" si="23"/>
        <v>0</v>
      </c>
    </row>
    <row r="360" spans="1:25" x14ac:dyDescent="0.25">
      <c r="A360" s="2">
        <v>358</v>
      </c>
      <c r="B360" s="8"/>
      <c r="C360" s="8"/>
      <c r="D360" s="8"/>
      <c r="E360" s="2"/>
      <c r="F360" s="2"/>
      <c r="G360" s="44"/>
      <c r="H360" s="45"/>
      <c r="I360" s="3" t="s">
        <v>24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1"/>
      <c r="Q360" s="11"/>
      <c r="R360" s="4"/>
      <c r="S360" s="4"/>
      <c r="T360" s="4"/>
      <c r="U360" s="4"/>
      <c r="V360" s="5">
        <f t="shared" si="24"/>
        <v>0</v>
      </c>
      <c r="W360" s="6">
        <f t="shared" si="21"/>
        <v>0</v>
      </c>
      <c r="X360" s="6">
        <f t="shared" si="22"/>
        <v>0</v>
      </c>
      <c r="Y360" s="6">
        <f t="shared" si="23"/>
        <v>0</v>
      </c>
    </row>
    <row r="361" spans="1:25" x14ac:dyDescent="0.25">
      <c r="A361" s="2">
        <v>359</v>
      </c>
      <c r="B361" s="8"/>
      <c r="C361" s="8"/>
      <c r="D361" s="8"/>
      <c r="E361" s="2"/>
      <c r="F361" s="2"/>
      <c r="G361" s="44"/>
      <c r="H361" s="45"/>
      <c r="I361" s="3" t="s">
        <v>24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1"/>
      <c r="Q361" s="11"/>
      <c r="R361" s="4"/>
      <c r="S361" s="4"/>
      <c r="T361" s="4"/>
      <c r="U361" s="4"/>
      <c r="V361" s="5">
        <f t="shared" si="24"/>
        <v>0</v>
      </c>
      <c r="W361" s="6">
        <f t="shared" si="21"/>
        <v>0</v>
      </c>
      <c r="X361" s="6">
        <f t="shared" si="22"/>
        <v>0</v>
      </c>
      <c r="Y361" s="6">
        <f t="shared" si="23"/>
        <v>0</v>
      </c>
    </row>
    <row r="362" spans="1:25" x14ac:dyDescent="0.25">
      <c r="A362" s="2">
        <v>360</v>
      </c>
      <c r="B362" s="8"/>
      <c r="C362" s="8"/>
      <c r="D362" s="8"/>
      <c r="E362" s="2"/>
      <c r="F362" s="2"/>
      <c r="G362" s="44"/>
      <c r="H362" s="45"/>
      <c r="I362" s="3" t="s">
        <v>24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1"/>
      <c r="Q362" s="11"/>
      <c r="R362" s="4"/>
      <c r="S362" s="4"/>
      <c r="T362" s="4"/>
      <c r="U362" s="4"/>
      <c r="V362" s="5">
        <f t="shared" si="24"/>
        <v>0</v>
      </c>
      <c r="W362" s="6">
        <f t="shared" si="21"/>
        <v>0</v>
      </c>
      <c r="X362" s="6">
        <f t="shared" si="22"/>
        <v>0</v>
      </c>
      <c r="Y362" s="6">
        <f t="shared" si="23"/>
        <v>0</v>
      </c>
    </row>
    <row r="363" spans="1:25" x14ac:dyDescent="0.25">
      <c r="A363" s="2">
        <v>361</v>
      </c>
      <c r="B363" s="8"/>
      <c r="C363" s="8"/>
      <c r="D363" s="8"/>
      <c r="E363" s="2"/>
      <c r="F363" s="2"/>
      <c r="G363" s="44"/>
      <c r="H363" s="45"/>
      <c r="I363" s="3" t="s">
        <v>24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1"/>
      <c r="Q363" s="11"/>
      <c r="R363" s="4"/>
      <c r="S363" s="4"/>
      <c r="T363" s="4"/>
      <c r="U363" s="4"/>
      <c r="V363" s="5">
        <f t="shared" si="24"/>
        <v>0</v>
      </c>
      <c r="W363" s="6">
        <f t="shared" si="21"/>
        <v>0</v>
      </c>
      <c r="X363" s="6">
        <f t="shared" si="22"/>
        <v>0</v>
      </c>
      <c r="Y363" s="6">
        <f t="shared" si="23"/>
        <v>0</v>
      </c>
    </row>
    <row r="364" spans="1:25" x14ac:dyDescent="0.25">
      <c r="A364" s="2">
        <v>362</v>
      </c>
      <c r="B364" s="8"/>
      <c r="C364" s="8"/>
      <c r="D364" s="8"/>
      <c r="E364" s="2"/>
      <c r="F364" s="2"/>
      <c r="G364" s="44"/>
      <c r="H364" s="45"/>
      <c r="I364" s="3" t="s">
        <v>24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1"/>
      <c r="Q364" s="11"/>
      <c r="R364" s="4"/>
      <c r="S364" s="4"/>
      <c r="T364" s="4"/>
      <c r="U364" s="4"/>
      <c r="V364" s="5">
        <f t="shared" si="24"/>
        <v>0</v>
      </c>
      <c r="W364" s="6">
        <f t="shared" si="21"/>
        <v>0</v>
      </c>
      <c r="X364" s="6">
        <f t="shared" si="22"/>
        <v>0</v>
      </c>
      <c r="Y364" s="6">
        <f t="shared" si="23"/>
        <v>0</v>
      </c>
    </row>
    <row r="365" spans="1:25" x14ac:dyDescent="0.25">
      <c r="A365" s="2">
        <v>363</v>
      </c>
      <c r="B365" s="8"/>
      <c r="C365" s="8"/>
      <c r="D365" s="8"/>
      <c r="E365" s="2"/>
      <c r="F365" s="2"/>
      <c r="G365" s="44"/>
      <c r="H365" s="45"/>
      <c r="I365" s="3" t="s">
        <v>24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1"/>
      <c r="Q365" s="11"/>
      <c r="R365" s="4"/>
      <c r="S365" s="4"/>
      <c r="T365" s="4"/>
      <c r="U365" s="4"/>
      <c r="V365" s="5">
        <f t="shared" si="24"/>
        <v>0</v>
      </c>
      <c r="W365" s="6">
        <f t="shared" si="21"/>
        <v>0</v>
      </c>
      <c r="X365" s="6">
        <f t="shared" si="22"/>
        <v>0</v>
      </c>
      <c r="Y365" s="6">
        <f t="shared" si="23"/>
        <v>0</v>
      </c>
    </row>
    <row r="366" spans="1:25" x14ac:dyDescent="0.25">
      <c r="A366" s="2">
        <v>364</v>
      </c>
      <c r="B366" s="8"/>
      <c r="C366" s="8"/>
      <c r="D366" s="8"/>
      <c r="E366" s="2"/>
      <c r="F366" s="2"/>
      <c r="G366" s="44"/>
      <c r="H366" s="45"/>
      <c r="I366" s="3" t="s">
        <v>24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1"/>
      <c r="Q366" s="11"/>
      <c r="R366" s="4"/>
      <c r="S366" s="4"/>
      <c r="T366" s="4"/>
      <c r="U366" s="4"/>
      <c r="V366" s="5">
        <f t="shared" si="24"/>
        <v>0</v>
      </c>
      <c r="W366" s="6">
        <f t="shared" si="21"/>
        <v>0</v>
      </c>
      <c r="X366" s="6">
        <f t="shared" si="22"/>
        <v>0</v>
      </c>
      <c r="Y366" s="6">
        <f t="shared" si="23"/>
        <v>0</v>
      </c>
    </row>
    <row r="367" spans="1:25" x14ac:dyDescent="0.25">
      <c r="A367" s="2">
        <v>365</v>
      </c>
      <c r="B367" s="8"/>
      <c r="C367" s="8"/>
      <c r="D367" s="8"/>
      <c r="E367" s="2"/>
      <c r="F367" s="2"/>
      <c r="G367" s="44"/>
      <c r="H367" s="45"/>
      <c r="I367" s="3" t="s">
        <v>24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1"/>
      <c r="Q367" s="11"/>
      <c r="R367" s="4"/>
      <c r="S367" s="4"/>
      <c r="T367" s="4"/>
      <c r="U367" s="4"/>
      <c r="V367" s="5">
        <f t="shared" si="24"/>
        <v>0</v>
      </c>
      <c r="W367" s="6">
        <f t="shared" si="21"/>
        <v>0</v>
      </c>
      <c r="X367" s="6">
        <f t="shared" si="22"/>
        <v>0</v>
      </c>
      <c r="Y367" s="6">
        <f t="shared" si="23"/>
        <v>0</v>
      </c>
    </row>
    <row r="368" spans="1:25" x14ac:dyDescent="0.25">
      <c r="A368" s="2">
        <v>366</v>
      </c>
      <c r="B368" s="8"/>
      <c r="C368" s="8"/>
      <c r="D368" s="8"/>
      <c r="E368" s="2"/>
      <c r="F368" s="2"/>
      <c r="G368" s="44"/>
      <c r="H368" s="45"/>
      <c r="I368" s="3" t="s">
        <v>24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1"/>
      <c r="Q368" s="11"/>
      <c r="R368" s="4"/>
      <c r="S368" s="4"/>
      <c r="T368" s="4"/>
      <c r="U368" s="4"/>
      <c r="V368" s="5">
        <f t="shared" si="24"/>
        <v>0</v>
      </c>
      <c r="W368" s="6">
        <f t="shared" si="21"/>
        <v>0</v>
      </c>
      <c r="X368" s="6">
        <f t="shared" si="22"/>
        <v>0</v>
      </c>
      <c r="Y368" s="6">
        <f t="shared" si="23"/>
        <v>0</v>
      </c>
    </row>
    <row r="369" spans="1:25" x14ac:dyDescent="0.25">
      <c r="A369" s="2">
        <v>367</v>
      </c>
      <c r="B369" s="8"/>
      <c r="C369" s="8"/>
      <c r="D369" s="8"/>
      <c r="E369" s="2"/>
      <c r="F369" s="2"/>
      <c r="G369" s="44"/>
      <c r="H369" s="45"/>
      <c r="I369" s="3" t="s">
        <v>24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1"/>
      <c r="Q369" s="11"/>
      <c r="R369" s="4"/>
      <c r="S369" s="4"/>
      <c r="T369" s="4"/>
      <c r="U369" s="4"/>
      <c r="V369" s="5">
        <f t="shared" si="24"/>
        <v>0</v>
      </c>
      <c r="W369" s="6">
        <f t="shared" si="21"/>
        <v>0</v>
      </c>
      <c r="X369" s="6">
        <f t="shared" si="22"/>
        <v>0</v>
      </c>
      <c r="Y369" s="6">
        <f t="shared" si="23"/>
        <v>0</v>
      </c>
    </row>
    <row r="370" spans="1:25" x14ac:dyDescent="0.25">
      <c r="A370" s="2">
        <v>368</v>
      </c>
      <c r="B370" s="8"/>
      <c r="C370" s="8"/>
      <c r="D370" s="8"/>
      <c r="E370" s="2"/>
      <c r="F370" s="2"/>
      <c r="G370" s="44"/>
      <c r="H370" s="45"/>
      <c r="I370" s="3" t="s">
        <v>24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1"/>
      <c r="Q370" s="11"/>
      <c r="R370" s="4"/>
      <c r="S370" s="4"/>
      <c r="T370" s="4"/>
      <c r="U370" s="4"/>
      <c r="V370" s="5">
        <f t="shared" si="24"/>
        <v>0</v>
      </c>
      <c r="W370" s="6">
        <f t="shared" si="21"/>
        <v>0</v>
      </c>
      <c r="X370" s="6">
        <f t="shared" si="22"/>
        <v>0</v>
      </c>
      <c r="Y370" s="6">
        <f t="shared" si="23"/>
        <v>0</v>
      </c>
    </row>
    <row r="371" spans="1:25" s="48" customFormat="1" ht="12.75" x14ac:dyDescent="0.2">
      <c r="B371" s="49"/>
      <c r="C371" s="49"/>
      <c r="D371" s="49"/>
      <c r="E371" s="49"/>
      <c r="F371" s="49"/>
      <c r="G371" s="50"/>
      <c r="H371" s="51"/>
      <c r="I371" s="52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</row>
    <row r="372" spans="1:25" x14ac:dyDescent="0.25">
      <c r="A372" s="13"/>
      <c r="B372" s="13"/>
      <c r="C372" s="13"/>
      <c r="D372" s="13"/>
      <c r="E372" s="13"/>
      <c r="F372" s="13"/>
      <c r="G372" s="13"/>
      <c r="H372" s="13"/>
      <c r="I372" s="13"/>
      <c r="J372" s="14"/>
      <c r="K372" s="14"/>
      <c r="L372" s="14"/>
      <c r="M372" s="14"/>
      <c r="N372" s="14"/>
      <c r="O372" s="14"/>
      <c r="P372" s="15"/>
      <c r="Q372" s="15"/>
      <c r="R372" s="15"/>
      <c r="S372" s="14"/>
      <c r="T372" s="14"/>
      <c r="U372" s="14"/>
    </row>
    <row r="376" spans="1:25" x14ac:dyDescent="0.25">
      <c r="J376" s="16"/>
    </row>
  </sheetData>
  <autoFilter ref="A4:Y371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99"/>
  <sheetViews>
    <sheetView zoomScale="80" zoomScaleNormal="80" workbookViewId="0">
      <pane ySplit="4" topLeftCell="A57" activePane="bottomLeft" state="frozen"/>
      <selection pane="bottomLeft" activeCell="A98" sqref="A98:XFD98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3"/>
    </row>
    <row r="3" spans="1:23" x14ac:dyDescent="0.25">
      <c r="I3" s="43"/>
    </row>
    <row r="4" spans="1:23" x14ac:dyDescent="0.25">
      <c r="A4" s="1" t="s">
        <v>0</v>
      </c>
      <c r="B4" s="1" t="s">
        <v>479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569</v>
      </c>
      <c r="H4" s="1" t="s">
        <v>570</v>
      </c>
      <c r="I4" s="1" t="s">
        <v>571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480</v>
      </c>
      <c r="C5" s="17" t="s">
        <v>481</v>
      </c>
      <c r="D5" s="8"/>
      <c r="E5" s="8"/>
      <c r="F5" s="2"/>
      <c r="G5" s="2"/>
      <c r="H5" s="44"/>
      <c r="I5" s="45"/>
      <c r="J5" s="54" t="s">
        <v>24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482</v>
      </c>
      <c r="C6" s="17" t="s">
        <v>483</v>
      </c>
      <c r="D6" s="8"/>
      <c r="E6" s="8"/>
      <c r="F6" s="2"/>
      <c r="G6" s="2"/>
      <c r="H6" s="44"/>
      <c r="I6" s="45"/>
      <c r="J6" s="19" t="s">
        <v>37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484</v>
      </c>
      <c r="C7" s="20" t="s">
        <v>36</v>
      </c>
      <c r="D7" s="20"/>
      <c r="E7" s="20"/>
      <c r="F7" s="20"/>
      <c r="G7" s="20"/>
      <c r="H7" s="55">
        <v>-12000000</v>
      </c>
      <c r="I7" s="56"/>
      <c r="J7" s="19" t="s">
        <v>37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484</v>
      </c>
      <c r="C8" s="20" t="s">
        <v>36</v>
      </c>
      <c r="D8" s="20"/>
      <c r="E8" s="20"/>
      <c r="F8" s="20"/>
      <c r="G8" s="20"/>
      <c r="H8" s="55">
        <v>-5231807</v>
      </c>
      <c r="I8" s="56" t="s">
        <v>572</v>
      </c>
      <c r="J8" s="19" t="s">
        <v>37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484</v>
      </c>
      <c r="C9" s="20" t="s">
        <v>36</v>
      </c>
      <c r="D9" s="20"/>
      <c r="E9" s="20"/>
      <c r="F9" s="20"/>
      <c r="G9" s="20"/>
      <c r="H9" s="55">
        <v>-3500000</v>
      </c>
      <c r="I9" s="56" t="s">
        <v>580</v>
      </c>
      <c r="J9" s="19" t="s">
        <v>37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485</v>
      </c>
      <c r="C10" s="20" t="s">
        <v>486</v>
      </c>
      <c r="D10" s="20"/>
      <c r="E10" s="20"/>
      <c r="F10" s="20"/>
      <c r="G10" s="20"/>
      <c r="H10" s="55">
        <v>0</v>
      </c>
      <c r="I10" s="56" t="s">
        <v>572</v>
      </c>
      <c r="J10" s="19" t="s">
        <v>37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487</v>
      </c>
      <c r="C11" s="20" t="s">
        <v>488</v>
      </c>
      <c r="D11" s="20"/>
      <c r="E11" s="20"/>
      <c r="F11" s="20"/>
      <c r="G11" s="20"/>
      <c r="H11" s="55">
        <v>-20000000</v>
      </c>
      <c r="I11" s="56" t="s">
        <v>572</v>
      </c>
      <c r="J11" s="19" t="s">
        <v>37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484</v>
      </c>
      <c r="C12" s="20" t="s">
        <v>489</v>
      </c>
      <c r="D12" s="20"/>
      <c r="E12" s="20"/>
      <c r="F12" s="20"/>
      <c r="G12" s="20"/>
      <c r="H12" s="55"/>
      <c r="I12" s="56"/>
      <c r="J12" s="19" t="s">
        <v>37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484</v>
      </c>
      <c r="C13" s="20" t="s">
        <v>490</v>
      </c>
      <c r="D13" s="20"/>
      <c r="E13" s="20"/>
      <c r="F13" s="20"/>
      <c r="G13" s="20"/>
      <c r="H13" s="55">
        <v>0</v>
      </c>
      <c r="I13" s="56" t="s">
        <v>581</v>
      </c>
      <c r="J13" s="19" t="s">
        <v>37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484</v>
      </c>
      <c r="C14" s="20" t="s">
        <v>490</v>
      </c>
      <c r="D14" s="20"/>
      <c r="E14" s="20"/>
      <c r="F14" s="20"/>
      <c r="G14" s="20"/>
      <c r="H14" s="55">
        <v>0</v>
      </c>
      <c r="I14" s="56"/>
      <c r="J14" s="19" t="s">
        <v>37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491</v>
      </c>
      <c r="C15" s="20" t="s">
        <v>492</v>
      </c>
      <c r="D15" s="20"/>
      <c r="E15" s="20"/>
      <c r="F15" s="20"/>
      <c r="G15" s="20"/>
      <c r="H15" s="55">
        <v>-6700000</v>
      </c>
      <c r="I15" s="56" t="s">
        <v>572</v>
      </c>
      <c r="J15" s="19" t="s">
        <v>37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493</v>
      </c>
      <c r="C16" s="20" t="s">
        <v>494</v>
      </c>
      <c r="D16" s="20"/>
      <c r="E16" s="20"/>
      <c r="F16" s="20"/>
      <c r="G16" s="20"/>
      <c r="H16" s="55"/>
      <c r="I16" s="56"/>
      <c r="J16" s="19" t="s">
        <v>37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495</v>
      </c>
      <c r="C17" s="20" t="s">
        <v>496</v>
      </c>
      <c r="D17" s="20"/>
      <c r="E17" s="20"/>
      <c r="F17" s="20"/>
      <c r="G17" s="20"/>
      <c r="H17" s="55">
        <v>-12300000</v>
      </c>
      <c r="I17" s="56"/>
      <c r="J17" s="19" t="s">
        <v>37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497</v>
      </c>
      <c r="C18" s="20" t="s">
        <v>498</v>
      </c>
      <c r="D18" s="20"/>
      <c r="E18" s="20"/>
      <c r="F18" s="20"/>
      <c r="G18" s="20"/>
      <c r="H18" s="55"/>
      <c r="I18" s="56"/>
      <c r="J18" s="19" t="s">
        <v>37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480</v>
      </c>
      <c r="C19" s="20" t="s">
        <v>499</v>
      </c>
      <c r="D19" s="20"/>
      <c r="E19" s="20"/>
      <c r="F19" s="20"/>
      <c r="G19" s="20"/>
      <c r="H19" s="55">
        <v>-400000</v>
      </c>
      <c r="I19" s="56" t="s">
        <v>572</v>
      </c>
      <c r="J19" s="19" t="s">
        <v>37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484</v>
      </c>
      <c r="C20" s="20" t="s">
        <v>500</v>
      </c>
      <c r="D20" s="20"/>
      <c r="E20" s="20"/>
      <c r="F20" s="20"/>
      <c r="G20" s="20"/>
      <c r="H20" s="55">
        <v>0</v>
      </c>
      <c r="I20" s="56" t="s">
        <v>572</v>
      </c>
      <c r="J20" s="19" t="s">
        <v>37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501</v>
      </c>
      <c r="C21" s="20" t="s">
        <v>502</v>
      </c>
      <c r="D21" s="20"/>
      <c r="E21" s="20"/>
      <c r="F21" s="20"/>
      <c r="G21" s="20"/>
      <c r="H21" s="55"/>
      <c r="I21" s="56" t="s">
        <v>572</v>
      </c>
      <c r="J21" s="19" t="s">
        <v>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480</v>
      </c>
      <c r="C22" s="20" t="s">
        <v>503</v>
      </c>
      <c r="D22" s="20"/>
      <c r="E22" s="20"/>
      <c r="F22" s="20"/>
      <c r="G22" s="20"/>
      <c r="H22" s="55">
        <v>-6413915</v>
      </c>
      <c r="I22" s="56"/>
      <c r="J22" s="19" t="s">
        <v>37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480</v>
      </c>
      <c r="C23" s="20" t="s">
        <v>504</v>
      </c>
      <c r="D23" s="20"/>
      <c r="E23" s="20"/>
      <c r="F23" s="20"/>
      <c r="G23" s="20"/>
      <c r="H23" s="55">
        <v>0</v>
      </c>
      <c r="I23" s="56" t="s">
        <v>573</v>
      </c>
      <c r="J23" s="19" t="s">
        <v>37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495</v>
      </c>
      <c r="C24" s="20" t="s">
        <v>505</v>
      </c>
      <c r="D24" s="20"/>
      <c r="E24" s="20"/>
      <c r="F24" s="20"/>
      <c r="G24" s="20"/>
      <c r="H24" s="55"/>
      <c r="I24" s="56" t="s">
        <v>572</v>
      </c>
      <c r="J24" s="19" t="s">
        <v>37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506</v>
      </c>
      <c r="C25" s="20" t="s">
        <v>507</v>
      </c>
      <c r="D25" s="20"/>
      <c r="E25" s="20"/>
      <c r="F25" s="20"/>
      <c r="G25" s="20"/>
      <c r="H25" s="55">
        <v>0</v>
      </c>
      <c r="I25" s="56" t="s">
        <v>572</v>
      </c>
      <c r="J25" s="19" t="s">
        <v>37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508</v>
      </c>
      <c r="C26" s="20" t="s">
        <v>509</v>
      </c>
      <c r="D26" s="20"/>
      <c r="E26" s="20"/>
      <c r="F26" s="20"/>
      <c r="G26" s="20"/>
      <c r="H26" s="55"/>
      <c r="I26" s="56"/>
      <c r="J26" s="19" t="s">
        <v>37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510</v>
      </c>
      <c r="C27" s="20" t="s">
        <v>511</v>
      </c>
      <c r="D27" s="20"/>
      <c r="E27" s="20"/>
      <c r="F27" s="20"/>
      <c r="G27" s="20"/>
      <c r="H27" s="55"/>
      <c r="I27" s="56"/>
      <c r="J27" s="19" t="s">
        <v>37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485</v>
      </c>
      <c r="C28" s="20" t="s">
        <v>512</v>
      </c>
      <c r="D28" s="20"/>
      <c r="E28" s="20"/>
      <c r="F28" s="20"/>
      <c r="G28" s="20"/>
      <c r="H28" s="55"/>
      <c r="I28" s="56"/>
      <c r="J28" s="19" t="s">
        <v>37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493</v>
      </c>
      <c r="C29" s="20" t="s">
        <v>494</v>
      </c>
      <c r="D29" s="20"/>
      <c r="E29" s="20"/>
      <c r="F29" s="20"/>
      <c r="G29" s="20"/>
      <c r="H29" s="55"/>
      <c r="I29" s="56"/>
      <c r="J29" s="19" t="s">
        <v>37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508</v>
      </c>
      <c r="C30" s="20" t="s">
        <v>513</v>
      </c>
      <c r="D30" s="20"/>
      <c r="E30" s="20"/>
      <c r="F30" s="20"/>
      <c r="G30" s="20"/>
      <c r="H30" s="55"/>
      <c r="I30" s="56"/>
      <c r="J30" s="19" t="s">
        <v>37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510</v>
      </c>
      <c r="C31" s="20" t="s">
        <v>514</v>
      </c>
      <c r="D31" s="20"/>
      <c r="E31" s="20"/>
      <c r="F31" s="20"/>
      <c r="G31" s="20"/>
      <c r="H31" s="55"/>
      <c r="I31" s="56"/>
      <c r="J31" s="19" t="s">
        <v>37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510</v>
      </c>
      <c r="C32" s="20" t="s">
        <v>514</v>
      </c>
      <c r="D32" s="20"/>
      <c r="E32" s="20"/>
      <c r="F32" s="20"/>
      <c r="G32" s="20"/>
      <c r="H32" s="55"/>
      <c r="I32" s="56"/>
      <c r="J32" s="19" t="s">
        <v>37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508</v>
      </c>
      <c r="C33" s="20" t="s">
        <v>513</v>
      </c>
      <c r="D33" s="20"/>
      <c r="E33" s="20"/>
      <c r="F33" s="20"/>
      <c r="G33" s="20"/>
      <c r="H33" s="55"/>
      <c r="I33" s="56"/>
      <c r="J33" s="19" t="s">
        <v>37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493</v>
      </c>
      <c r="C34" s="20" t="s">
        <v>494</v>
      </c>
      <c r="D34" s="20"/>
      <c r="E34" s="20"/>
      <c r="F34" s="20"/>
      <c r="G34" s="20"/>
      <c r="H34" s="55"/>
      <c r="I34" s="56"/>
      <c r="J34" s="19" t="s">
        <v>37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508</v>
      </c>
      <c r="C35" s="20" t="s">
        <v>515</v>
      </c>
      <c r="D35" s="20"/>
      <c r="E35" s="20"/>
      <c r="F35" s="20"/>
      <c r="G35" s="20"/>
      <c r="H35" s="55"/>
      <c r="I35" s="56"/>
      <c r="J35" s="19" t="s">
        <v>37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510</v>
      </c>
      <c r="C36" s="20" t="s">
        <v>516</v>
      </c>
      <c r="D36" s="20"/>
      <c r="E36" s="20"/>
      <c r="F36" s="20"/>
      <c r="G36" s="20"/>
      <c r="H36" s="55"/>
      <c r="I36" s="56"/>
      <c r="J36" s="19" t="s">
        <v>37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480</v>
      </c>
      <c r="C37" s="20" t="s">
        <v>517</v>
      </c>
      <c r="D37" s="20"/>
      <c r="E37" s="20"/>
      <c r="F37" s="20"/>
      <c r="G37" s="20"/>
      <c r="H37" s="55"/>
      <c r="I37" s="56"/>
      <c r="J37" s="19" t="s">
        <v>37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518</v>
      </c>
      <c r="C38" s="20" t="s">
        <v>519</v>
      </c>
      <c r="D38" s="20"/>
      <c r="E38" s="20"/>
      <c r="F38" s="20"/>
      <c r="G38" s="20"/>
      <c r="H38" s="55"/>
      <c r="I38" s="56"/>
      <c r="J38" s="19" t="s">
        <v>37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493</v>
      </c>
      <c r="C39" s="20" t="s">
        <v>520</v>
      </c>
      <c r="D39" s="20"/>
      <c r="E39" s="20"/>
      <c r="F39" s="20"/>
      <c r="G39" s="20"/>
      <c r="H39" s="55"/>
      <c r="I39" s="56"/>
      <c r="J39" s="19" t="s">
        <v>37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495</v>
      </c>
      <c r="C40" s="20" t="s">
        <v>521</v>
      </c>
      <c r="D40" s="20"/>
      <c r="E40" s="20"/>
      <c r="F40" s="20"/>
      <c r="G40" s="20"/>
      <c r="H40" s="55"/>
      <c r="I40" s="56"/>
      <c r="J40" s="19" t="s">
        <v>37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508</v>
      </c>
      <c r="C41" s="20" t="s">
        <v>513</v>
      </c>
      <c r="D41" s="20"/>
      <c r="E41" s="20"/>
      <c r="F41" s="20"/>
      <c r="G41" s="20"/>
      <c r="H41" s="55"/>
      <c r="I41" s="56"/>
      <c r="J41" s="19" t="s">
        <v>37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518</v>
      </c>
      <c r="C42" s="20" t="s">
        <v>522</v>
      </c>
      <c r="D42" s="20"/>
      <c r="E42" s="20"/>
      <c r="F42" s="20"/>
      <c r="G42" s="20"/>
      <c r="H42" s="55"/>
      <c r="I42" s="56"/>
      <c r="J42" s="19" t="s">
        <v>37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485</v>
      </c>
      <c r="C43" s="20" t="s">
        <v>523</v>
      </c>
      <c r="D43" s="20"/>
      <c r="E43" s="20"/>
      <c r="F43" s="20"/>
      <c r="G43" s="20"/>
      <c r="H43" s="55"/>
      <c r="I43" s="56"/>
      <c r="J43" s="19" t="s">
        <v>37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510</v>
      </c>
      <c r="C44" s="20" t="s">
        <v>524</v>
      </c>
      <c r="D44" s="20"/>
      <c r="E44" s="20"/>
      <c r="F44" s="20"/>
      <c r="G44" s="20"/>
      <c r="H44" s="55"/>
      <c r="I44" s="56"/>
      <c r="J44" s="19" t="s">
        <v>37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510</v>
      </c>
      <c r="C45" s="20" t="s">
        <v>525</v>
      </c>
      <c r="D45" s="20"/>
      <c r="E45" s="20"/>
      <c r="F45" s="20"/>
      <c r="G45" s="20"/>
      <c r="H45" s="55"/>
      <c r="I45" s="56"/>
      <c r="J45" s="19" t="s">
        <v>37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508</v>
      </c>
      <c r="C46" s="20" t="s">
        <v>515</v>
      </c>
      <c r="D46" s="20"/>
      <c r="E46" s="20"/>
      <c r="F46" s="20"/>
      <c r="G46" s="20"/>
      <c r="H46" s="55"/>
      <c r="I46" s="56"/>
      <c r="J46" s="19" t="s">
        <v>37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485</v>
      </c>
      <c r="C47" s="20" t="s">
        <v>526</v>
      </c>
      <c r="D47" s="20"/>
      <c r="E47" s="20"/>
      <c r="F47" s="20"/>
      <c r="G47" s="20"/>
      <c r="H47" s="55"/>
      <c r="I47" s="56"/>
      <c r="J47" s="19" t="s">
        <v>37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480</v>
      </c>
      <c r="C48" s="20" t="s">
        <v>527</v>
      </c>
      <c r="D48" s="20"/>
      <c r="E48" s="20"/>
      <c r="F48" s="20"/>
      <c r="G48" s="20"/>
      <c r="H48" s="55"/>
      <c r="I48" s="56"/>
      <c r="J48" s="19" t="s">
        <v>37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493</v>
      </c>
      <c r="C49" s="20" t="s">
        <v>494</v>
      </c>
      <c r="D49" s="20"/>
      <c r="E49" s="20"/>
      <c r="F49" s="20"/>
      <c r="G49" s="20"/>
      <c r="H49" s="55"/>
      <c r="I49" s="56"/>
      <c r="J49" s="19" t="s">
        <v>37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510</v>
      </c>
      <c r="C50" s="20" t="s">
        <v>528</v>
      </c>
      <c r="D50" s="20"/>
      <c r="E50" s="20"/>
      <c r="F50" s="20"/>
      <c r="G50" s="20"/>
      <c r="H50" s="55"/>
      <c r="I50" s="56"/>
      <c r="J50" s="19" t="s">
        <v>37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510</v>
      </c>
      <c r="C51" s="20" t="s">
        <v>529</v>
      </c>
      <c r="D51" s="21"/>
      <c r="E51" s="21"/>
      <c r="F51" s="22"/>
      <c r="G51" s="22"/>
      <c r="H51" s="57"/>
      <c r="I51" s="58"/>
      <c r="J51" s="19" t="s">
        <v>37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485</v>
      </c>
      <c r="C52" s="20" t="s">
        <v>530</v>
      </c>
      <c r="D52" s="21"/>
      <c r="E52" s="21"/>
      <c r="F52" s="22"/>
      <c r="G52" s="22"/>
      <c r="H52" s="57"/>
      <c r="I52" s="58"/>
      <c r="J52" s="19" t="s">
        <v>37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508</v>
      </c>
      <c r="C53" s="20" t="s">
        <v>515</v>
      </c>
      <c r="D53" s="21"/>
      <c r="E53" s="21"/>
      <c r="F53" s="22"/>
      <c r="G53" s="22"/>
      <c r="H53" s="57"/>
      <c r="I53" s="58"/>
      <c r="J53" s="19" t="s">
        <v>37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508</v>
      </c>
      <c r="C54" s="20" t="s">
        <v>515</v>
      </c>
      <c r="D54" s="21"/>
      <c r="E54" s="21"/>
      <c r="F54" s="22"/>
      <c r="G54" s="22"/>
      <c r="H54" s="57"/>
      <c r="I54" s="58"/>
      <c r="J54" s="19" t="s">
        <v>37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501</v>
      </c>
      <c r="C55" s="20" t="s">
        <v>531</v>
      </c>
      <c r="D55" s="21"/>
      <c r="E55" s="21"/>
      <c r="F55" s="22"/>
      <c r="G55" s="22"/>
      <c r="H55" s="57"/>
      <c r="I55" s="58"/>
      <c r="J55" s="19" t="s">
        <v>37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491</v>
      </c>
      <c r="C56" s="20" t="s">
        <v>532</v>
      </c>
      <c r="D56" s="21"/>
      <c r="E56" s="21"/>
      <c r="F56" s="22"/>
      <c r="G56" s="22"/>
      <c r="H56" s="57"/>
      <c r="I56" s="58"/>
      <c r="J56" s="19" t="s">
        <v>37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510</v>
      </c>
      <c r="C57" s="20" t="s">
        <v>528</v>
      </c>
      <c r="D57" s="21"/>
      <c r="E57" s="21"/>
      <c r="F57" s="22"/>
      <c r="G57" s="22"/>
      <c r="H57" s="57"/>
      <c r="I57" s="58"/>
      <c r="J57" s="19" t="s">
        <v>37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491</v>
      </c>
      <c r="C58" s="20" t="s">
        <v>532</v>
      </c>
      <c r="D58" s="21"/>
      <c r="E58" s="21"/>
      <c r="F58" s="22"/>
      <c r="G58" s="22"/>
      <c r="H58" s="57"/>
      <c r="I58" s="58"/>
      <c r="J58" s="19" t="s">
        <v>37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508</v>
      </c>
      <c r="C59" s="20" t="s">
        <v>515</v>
      </c>
      <c r="D59" s="21"/>
      <c r="E59" s="21"/>
      <c r="F59" s="22"/>
      <c r="G59" s="22"/>
      <c r="H59" s="57"/>
      <c r="I59" s="58"/>
      <c r="J59" s="19" t="s">
        <v>37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160</v>
      </c>
      <c r="C60" s="23" t="s">
        <v>533</v>
      </c>
      <c r="D60" s="24"/>
      <c r="E60" s="24"/>
      <c r="F60" s="24"/>
      <c r="G60" s="24"/>
      <c r="H60" s="59"/>
      <c r="I60" s="60"/>
      <c r="J60" s="61" t="s">
        <v>37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485</v>
      </c>
      <c r="C61" s="23" t="s">
        <v>534</v>
      </c>
      <c r="D61" s="30"/>
      <c r="E61" s="30"/>
      <c r="F61" s="24"/>
      <c r="G61" s="24"/>
      <c r="H61" s="59"/>
      <c r="I61" s="60"/>
      <c r="J61" s="61" t="s">
        <v>37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493</v>
      </c>
      <c r="C62" s="23" t="s">
        <v>520</v>
      </c>
      <c r="D62" s="30"/>
      <c r="E62" s="30"/>
      <c r="F62" s="24"/>
      <c r="G62" s="24"/>
      <c r="H62" s="59"/>
      <c r="I62" s="60"/>
      <c r="J62" s="61" t="s">
        <v>37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508</v>
      </c>
      <c r="C63" s="23" t="s">
        <v>535</v>
      </c>
      <c r="D63" s="30"/>
      <c r="E63" s="30"/>
      <c r="F63" s="24"/>
      <c r="G63" s="24"/>
      <c r="H63" s="59"/>
      <c r="I63" s="60"/>
      <c r="J63" s="61" t="s">
        <v>37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536</v>
      </c>
      <c r="C64" s="23" t="s">
        <v>537</v>
      </c>
      <c r="D64" s="30"/>
      <c r="E64" s="30"/>
      <c r="F64" s="24"/>
      <c r="G64" s="24"/>
      <c r="H64" s="59"/>
      <c r="I64" s="60"/>
      <c r="J64" s="61" t="s">
        <v>37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501</v>
      </c>
      <c r="C65" s="23" t="s">
        <v>538</v>
      </c>
      <c r="D65" s="30"/>
      <c r="E65" s="30"/>
      <c r="F65" s="24"/>
      <c r="G65" s="24"/>
      <c r="H65" s="59"/>
      <c r="I65" s="60"/>
      <c r="J65" s="61" t="s">
        <v>37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510</v>
      </c>
      <c r="C66" s="23" t="s">
        <v>539</v>
      </c>
      <c r="D66" s="30"/>
      <c r="E66" s="30"/>
      <c r="F66" s="24"/>
      <c r="G66" s="24"/>
      <c r="H66" s="59"/>
      <c r="I66" s="60"/>
      <c r="J66" s="61"/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508</v>
      </c>
      <c r="C67" s="23" t="s">
        <v>540</v>
      </c>
      <c r="D67" s="30"/>
      <c r="E67" s="30"/>
      <c r="F67" s="24"/>
      <c r="G67" s="24"/>
      <c r="H67" s="59"/>
      <c r="I67" s="60"/>
      <c r="J67" s="61"/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493</v>
      </c>
      <c r="C68" s="23" t="s">
        <v>494</v>
      </c>
      <c r="D68" s="30"/>
      <c r="E68" s="30"/>
      <c r="F68" s="24"/>
      <c r="G68" s="24"/>
      <c r="H68" s="59"/>
      <c r="I68" s="60"/>
      <c r="J68" s="61"/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510</v>
      </c>
      <c r="C69" s="23" t="s">
        <v>541</v>
      </c>
      <c r="D69" s="30"/>
      <c r="E69" s="30"/>
      <c r="F69" s="24"/>
      <c r="G69" s="24"/>
      <c r="H69" s="59"/>
      <c r="I69" s="60"/>
      <c r="J69" s="61"/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518</v>
      </c>
      <c r="C70" s="23" t="s">
        <v>542</v>
      </c>
      <c r="D70" s="30"/>
      <c r="E70" s="30"/>
      <c r="F70" s="24"/>
      <c r="G70" s="24"/>
      <c r="H70" s="59"/>
      <c r="I70" s="60"/>
      <c r="J70" s="61"/>
      <c r="K70" s="11"/>
      <c r="L70" s="11" t="s">
        <v>543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491</v>
      </c>
      <c r="C71" s="23" t="s">
        <v>544</v>
      </c>
      <c r="D71" s="30"/>
      <c r="E71" s="30"/>
      <c r="F71" s="24"/>
      <c r="G71" s="24"/>
      <c r="H71" s="59"/>
      <c r="I71" s="60"/>
      <c r="J71" s="61"/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508</v>
      </c>
      <c r="C72" s="23" t="s">
        <v>515</v>
      </c>
      <c r="D72" s="30"/>
      <c r="E72" s="30"/>
      <c r="F72" s="24"/>
      <c r="G72" s="24"/>
      <c r="H72" s="59"/>
      <c r="I72" s="60"/>
      <c r="J72" s="61"/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510</v>
      </c>
      <c r="C73" s="23" t="s">
        <v>541</v>
      </c>
      <c r="D73" s="21"/>
      <c r="E73" s="21"/>
      <c r="F73" s="22"/>
      <c r="G73" s="22"/>
      <c r="H73" s="57"/>
      <c r="I73" s="58"/>
      <c r="J73" s="19"/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508</v>
      </c>
      <c r="C74" s="23" t="s">
        <v>545</v>
      </c>
      <c r="D74" s="21"/>
      <c r="E74" s="21"/>
      <c r="F74" s="22"/>
      <c r="G74" s="22"/>
      <c r="H74" s="57"/>
      <c r="I74" s="58"/>
      <c r="J74" s="19"/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484</v>
      </c>
      <c r="C75" s="23" t="s">
        <v>546</v>
      </c>
      <c r="D75" s="21"/>
      <c r="E75" s="21"/>
      <c r="F75" s="22"/>
      <c r="G75" s="22"/>
      <c r="H75" s="57"/>
      <c r="I75" s="58"/>
      <c r="J75" s="19"/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508</v>
      </c>
      <c r="C76" s="23" t="s">
        <v>515</v>
      </c>
      <c r="D76" s="21"/>
      <c r="E76" s="21"/>
      <c r="F76" s="22"/>
      <c r="G76" s="22"/>
      <c r="H76" s="57"/>
      <c r="I76" s="58"/>
      <c r="J76" s="62"/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508</v>
      </c>
      <c r="C77" s="23" t="s">
        <v>515</v>
      </c>
      <c r="D77" s="23"/>
      <c r="E77" s="23"/>
      <c r="F77" s="23"/>
      <c r="G77" s="23"/>
      <c r="H77" s="23"/>
      <c r="I77" s="23"/>
      <c r="J77" s="23" t="s">
        <v>37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510</v>
      </c>
      <c r="C78" s="23" t="s">
        <v>547</v>
      </c>
      <c r="D78" s="23"/>
      <c r="E78" s="23"/>
      <c r="F78" s="23"/>
      <c r="G78" s="23"/>
      <c r="H78" s="23"/>
      <c r="I78" s="23"/>
      <c r="J78" s="23" t="s">
        <v>37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548</v>
      </c>
      <c r="C79" s="23" t="s">
        <v>549</v>
      </c>
      <c r="D79" s="23"/>
      <c r="E79" s="23"/>
      <c r="F79" s="23"/>
      <c r="G79" s="23"/>
      <c r="H79" s="23"/>
      <c r="I79" s="23"/>
      <c r="J79" s="23" t="s">
        <v>37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493</v>
      </c>
      <c r="C80" s="23" t="s">
        <v>494</v>
      </c>
      <c r="D80" s="23"/>
      <c r="E80" s="23"/>
      <c r="F80" s="23"/>
      <c r="G80" s="23"/>
      <c r="H80" s="23"/>
      <c r="I80" s="23"/>
      <c r="J80" s="23" t="s">
        <v>37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491</v>
      </c>
      <c r="C81" s="23" t="s">
        <v>532</v>
      </c>
      <c r="D81" s="23"/>
      <c r="E81" s="23"/>
      <c r="F81" s="23"/>
      <c r="G81" s="23"/>
      <c r="H81" s="23"/>
      <c r="I81" s="23"/>
      <c r="J81" s="23"/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510</v>
      </c>
      <c r="C82" s="23" t="s">
        <v>550</v>
      </c>
      <c r="D82" s="23"/>
      <c r="E82" s="23"/>
      <c r="F82" s="23"/>
      <c r="G82" s="23"/>
      <c r="H82" s="23"/>
      <c r="I82" s="23"/>
      <c r="J82" s="23"/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510</v>
      </c>
      <c r="C83" s="23" t="s">
        <v>551</v>
      </c>
      <c r="D83" s="23"/>
      <c r="E83" s="23"/>
      <c r="F83" s="23"/>
      <c r="G83" s="23"/>
      <c r="H83" s="23"/>
      <c r="I83" s="23"/>
      <c r="J83" s="23"/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508</v>
      </c>
      <c r="C84" s="23" t="s">
        <v>515</v>
      </c>
      <c r="D84" s="23"/>
      <c r="E84" s="23"/>
      <c r="F84" s="23"/>
      <c r="G84" s="23"/>
      <c r="H84" s="23"/>
      <c r="I84" s="23"/>
      <c r="J84" s="23"/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491</v>
      </c>
      <c r="C85" s="23" t="s">
        <v>532</v>
      </c>
      <c r="D85" s="23"/>
      <c r="E85" s="23"/>
      <c r="F85" s="23"/>
      <c r="G85" s="23"/>
      <c r="H85" s="23"/>
      <c r="I85" s="23"/>
      <c r="J85" s="23"/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493</v>
      </c>
      <c r="C86" s="23" t="s">
        <v>494</v>
      </c>
      <c r="D86" s="23"/>
      <c r="E86" s="23"/>
      <c r="F86" s="23"/>
      <c r="G86" s="23"/>
      <c r="H86" s="23"/>
      <c r="I86" s="23"/>
      <c r="J86" s="23"/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508</v>
      </c>
      <c r="C87" s="23" t="s">
        <v>515</v>
      </c>
      <c r="D87" s="23"/>
      <c r="E87" s="23"/>
      <c r="F87" s="23"/>
      <c r="G87" s="23"/>
      <c r="H87" s="23"/>
      <c r="I87" s="23"/>
      <c r="J87" s="23"/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491</v>
      </c>
      <c r="C88" s="23" t="s">
        <v>532</v>
      </c>
      <c r="D88" s="23"/>
      <c r="E88" s="23"/>
      <c r="F88" s="23"/>
      <c r="G88" s="23"/>
      <c r="H88" s="23"/>
      <c r="I88" s="23"/>
      <c r="J88" s="23"/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510</v>
      </c>
      <c r="C89" s="23" t="s">
        <v>552</v>
      </c>
      <c r="D89" s="23"/>
      <c r="E89" s="23"/>
      <c r="F89" s="23"/>
      <c r="G89" s="23"/>
      <c r="H89" s="23"/>
      <c r="I89" s="23"/>
      <c r="J89" s="23"/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508</v>
      </c>
      <c r="C90" s="23" t="s">
        <v>515</v>
      </c>
      <c r="D90" s="23"/>
      <c r="E90" s="23"/>
      <c r="F90" s="23"/>
      <c r="G90" s="23"/>
      <c r="H90" s="23"/>
      <c r="I90" s="23"/>
      <c r="J90" s="23"/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493</v>
      </c>
      <c r="C91" s="23" t="s">
        <v>494</v>
      </c>
      <c r="D91" s="23"/>
      <c r="E91" s="23"/>
      <c r="F91" s="23"/>
      <c r="G91" s="23"/>
      <c r="H91" s="23"/>
      <c r="I91" s="23"/>
      <c r="J91" s="23"/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508</v>
      </c>
      <c r="C92" s="23" t="s">
        <v>553</v>
      </c>
      <c r="D92" s="23"/>
      <c r="E92" s="23"/>
      <c r="F92" s="23"/>
      <c r="G92" s="23"/>
      <c r="H92" s="23"/>
      <c r="I92" s="23"/>
      <c r="J92" s="23"/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/>
      <c r="B93" s="22"/>
      <c r="C93" s="23"/>
      <c r="D93" s="23"/>
      <c r="E93" s="23"/>
      <c r="F93" s="23"/>
      <c r="G93" s="23"/>
      <c r="H93" s="23"/>
      <c r="I93" s="23"/>
      <c r="J93" s="23"/>
      <c r="K93" s="11"/>
      <c r="L93" s="11"/>
      <c r="M93" s="11"/>
      <c r="N93" s="11"/>
      <c r="O93" s="11"/>
      <c r="P93" s="11"/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/>
      <c r="C94" s="23"/>
      <c r="D94" s="23"/>
      <c r="E94" s="23"/>
      <c r="F94" s="23"/>
      <c r="G94" s="23"/>
      <c r="H94" s="23"/>
      <c r="I94" s="23"/>
      <c r="J94" s="23"/>
      <c r="K94" s="11"/>
      <c r="L94" s="11"/>
      <c r="M94" s="11"/>
      <c r="N94" s="11"/>
      <c r="O94" s="11"/>
      <c r="P94" s="11"/>
      <c r="Q94" s="11"/>
      <c r="R94" s="34"/>
      <c r="S94" s="35"/>
      <c r="T94" s="31"/>
      <c r="U94" s="31"/>
      <c r="V94" s="11"/>
      <c r="W94" s="11"/>
    </row>
    <row r="95" spans="1:23" x14ac:dyDescent="0.25">
      <c r="A95" s="22"/>
      <c r="B95" s="22"/>
      <c r="C95" s="23"/>
      <c r="D95" s="23"/>
      <c r="E95" s="23"/>
      <c r="F95" s="23"/>
      <c r="G95" s="23"/>
      <c r="H95" s="23"/>
      <c r="I95" s="23"/>
      <c r="J95" s="23"/>
      <c r="K95" s="11"/>
      <c r="L95" s="11"/>
      <c r="M95" s="11"/>
      <c r="N95" s="11"/>
      <c r="O95" s="11"/>
      <c r="P95" s="11"/>
      <c r="Q95" s="11"/>
      <c r="R95" s="34"/>
      <c r="S95" s="35"/>
      <c r="T95" s="31"/>
      <c r="U95" s="31"/>
      <c r="V95" s="11"/>
      <c r="W95" s="11"/>
    </row>
    <row r="96" spans="1:23" x14ac:dyDescent="0.25">
      <c r="A96" s="22"/>
      <c r="B96" s="22"/>
      <c r="C96" s="23"/>
      <c r="D96" s="23"/>
      <c r="E96" s="23"/>
      <c r="F96" s="23"/>
      <c r="G96" s="23"/>
      <c r="H96" s="23"/>
      <c r="I96" s="23"/>
      <c r="J96" s="23"/>
      <c r="K96" s="11"/>
      <c r="L96" s="11"/>
      <c r="M96" s="11"/>
      <c r="N96" s="11"/>
      <c r="O96" s="11"/>
      <c r="P96" s="11"/>
      <c r="Q96" s="11"/>
      <c r="R96" s="34"/>
      <c r="S96" s="35"/>
      <c r="T96" s="31"/>
      <c r="U96" s="31"/>
      <c r="V96" s="11"/>
      <c r="W96" s="11"/>
    </row>
    <row r="97" spans="1:23" x14ac:dyDescent="0.25">
      <c r="A97" s="22"/>
      <c r="B97" s="22"/>
      <c r="C97" s="23"/>
      <c r="D97" s="23"/>
      <c r="E97" s="23"/>
      <c r="F97" s="23"/>
      <c r="G97" s="23"/>
      <c r="H97" s="23"/>
      <c r="I97" s="23"/>
      <c r="J97" s="23"/>
      <c r="K97" s="11"/>
      <c r="L97" s="11"/>
      <c r="M97" s="11"/>
      <c r="N97" s="11"/>
      <c r="O97" s="11"/>
      <c r="P97" s="11"/>
      <c r="Q97" s="11"/>
      <c r="R97" s="34"/>
      <c r="S97" s="34"/>
      <c r="T97" s="31"/>
      <c r="U97" s="31"/>
      <c r="V97" s="11"/>
      <c r="W97" s="11"/>
    </row>
    <row r="98" spans="1:23" x14ac:dyDescent="0.25">
      <c r="A98" s="13"/>
      <c r="B98" s="13"/>
      <c r="C98" s="49"/>
      <c r="D98" s="49"/>
      <c r="E98" s="49"/>
      <c r="F98" s="49"/>
      <c r="G98" s="49"/>
      <c r="H98" s="50"/>
      <c r="I98" s="51"/>
      <c r="J98" s="52"/>
      <c r="K98" s="53"/>
      <c r="L98" s="53"/>
      <c r="M98" s="53"/>
      <c r="N98" s="53"/>
      <c r="O98" s="53"/>
      <c r="P98" s="53"/>
      <c r="Q98" s="63"/>
      <c r="R98" s="63"/>
      <c r="S98" s="63"/>
      <c r="T98" s="53"/>
      <c r="U98" s="53"/>
      <c r="V98" s="53"/>
      <c r="W98" s="53"/>
    </row>
    <row r="99" spans="1:23" x14ac:dyDescent="0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4"/>
      <c r="L99" s="14"/>
      <c r="M99" s="14"/>
      <c r="N99" s="14"/>
      <c r="O99" s="14"/>
      <c r="P99" s="14"/>
      <c r="Q99" s="15"/>
      <c r="R99" s="15"/>
      <c r="S99" s="15"/>
      <c r="T99" s="14"/>
      <c r="U99" s="14"/>
    </row>
  </sheetData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2026-06-21T04:42:36Z</dcterms:modified>
</cp:coreProperties>
</file>